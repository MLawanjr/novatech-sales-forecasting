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 USER\Downloads\"/>
    </mc:Choice>
  </mc:AlternateContent>
  <xr:revisionPtr revIDLastSave="0" documentId="13_ncr:1_{83506FEE-4BFA-4D44-984F-1476CE2D731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Naive" sheetId="1" r:id="rId1"/>
    <sheet name="Naive Forcast" sheetId="7" r:id="rId2"/>
    <sheet name="Moving Average" sheetId="2" r:id="rId3"/>
    <sheet name="MV Forcast" sheetId="8" r:id="rId4"/>
    <sheet name="Exponential smoothing " sheetId="3" r:id="rId5"/>
    <sheet name="EX-S Forcast" sheetId="9" r:id="rId6"/>
    <sheet name="Linear Forecast" sheetId="4" r:id="rId7"/>
    <sheet name="LF Forcast" sheetId="10" r:id="rId8"/>
    <sheet name="SLR" sheetId="5" r:id="rId9"/>
    <sheet name="SLR Forcast" sheetId="6" r:id="rId10"/>
  </sheets>
  <definedNames>
    <definedName name="solver_opt" localSheetId="6">'Linear Forecast'!$D$2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7" i="10" l="1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H2" i="6"/>
  <c r="H3" i="6"/>
  <c r="H4" i="6"/>
  <c r="H5" i="6"/>
  <c r="H6" i="6"/>
  <c r="H7" i="6"/>
  <c r="H8" i="6"/>
  <c r="K9" i="4"/>
  <c r="K8" i="4"/>
  <c r="K7" i="4"/>
  <c r="K6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2" i="4"/>
  <c r="K3" i="4"/>
  <c r="K2" i="4"/>
  <c r="O11" i="5"/>
  <c r="O10" i="5"/>
  <c r="O9" i="5"/>
  <c r="O8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2" i="5"/>
  <c r="O2" i="5"/>
  <c r="O3" i="5"/>
  <c r="K11" i="3"/>
  <c r="K10" i="3"/>
  <c r="K9" i="3"/>
  <c r="K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" i="3"/>
  <c r="K11" i="2"/>
  <c r="K10" i="2"/>
  <c r="K9" i="2"/>
  <c r="K8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5" i="2"/>
  <c r="K11" i="1"/>
  <c r="K10" i="1"/>
  <c r="K9" i="1"/>
  <c r="K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4" i="1"/>
  <c r="G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4" i="1"/>
  <c r="F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4" i="1"/>
  <c r="E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4" i="1"/>
  <c r="D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4" i="1"/>
  <c r="C3" i="1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X19" i="5"/>
  <c r="A19" i="5"/>
  <c r="X18" i="5"/>
  <c r="A18" i="5"/>
  <c r="X17" i="5"/>
  <c r="A17" i="5"/>
  <c r="X16" i="5"/>
  <c r="A16" i="5"/>
  <c r="X15" i="5"/>
  <c r="A15" i="5"/>
  <c r="X14" i="5"/>
  <c r="A14" i="5"/>
  <c r="X13" i="5"/>
  <c r="A13" i="5"/>
  <c r="X12" i="5"/>
  <c r="A12" i="5"/>
  <c r="X11" i="5"/>
  <c r="A11" i="5"/>
  <c r="X10" i="5"/>
  <c r="A10" i="5"/>
  <c r="X9" i="5"/>
  <c r="A9" i="5"/>
  <c r="X8" i="5"/>
  <c r="A8" i="5"/>
  <c r="A7" i="5"/>
  <c r="A6" i="5"/>
  <c r="A5" i="5"/>
  <c r="A4" i="5"/>
  <c r="A3" i="5"/>
  <c r="A2" i="5"/>
  <c r="D2" i="3"/>
  <c r="E2" i="3" s="1"/>
  <c r="E367" i="10" l="1"/>
  <c r="D367" i="10"/>
  <c r="E368" i="10"/>
  <c r="D368" i="10"/>
  <c r="D369" i="10"/>
  <c r="E369" i="10"/>
  <c r="D370" i="10"/>
  <c r="E370" i="10"/>
  <c r="E371" i="10"/>
  <c r="D371" i="10"/>
  <c r="D372" i="10"/>
  <c r="E372" i="10"/>
  <c r="E373" i="10"/>
  <c r="D373" i="10"/>
  <c r="D374" i="10"/>
  <c r="E374" i="10"/>
  <c r="D375" i="10"/>
  <c r="E375" i="10"/>
  <c r="E376" i="10"/>
  <c r="D376" i="10"/>
  <c r="D377" i="10"/>
  <c r="E377" i="10"/>
  <c r="D378" i="10"/>
  <c r="E378" i="10"/>
  <c r="E379" i="10"/>
  <c r="D379" i="10"/>
  <c r="E380" i="10"/>
  <c r="D380" i="10"/>
  <c r="D381" i="10"/>
  <c r="E381" i="10"/>
  <c r="E382" i="10"/>
  <c r="D382" i="10"/>
  <c r="D383" i="10"/>
  <c r="E383" i="10"/>
  <c r="E384" i="10"/>
  <c r="D384" i="10"/>
  <c r="D385" i="10"/>
  <c r="E385" i="10"/>
  <c r="D386" i="10"/>
  <c r="E386" i="10"/>
  <c r="D387" i="10"/>
  <c r="E387" i="10"/>
  <c r="E388" i="10"/>
  <c r="D388" i="10"/>
  <c r="E389" i="10"/>
  <c r="D389" i="10"/>
  <c r="D390" i="10"/>
  <c r="E390" i="10"/>
  <c r="E391" i="10"/>
  <c r="D391" i="10"/>
  <c r="D392" i="10"/>
  <c r="E392" i="10"/>
  <c r="D393" i="10"/>
  <c r="E393" i="10"/>
  <c r="D394" i="10"/>
  <c r="E394" i="10"/>
  <c r="D395" i="10"/>
  <c r="E395" i="10"/>
  <c r="D396" i="10"/>
  <c r="E396" i="10"/>
  <c r="E397" i="10"/>
  <c r="D397" i="10"/>
  <c r="D398" i="10"/>
  <c r="E398" i="10"/>
  <c r="D399" i="10"/>
  <c r="E399" i="10"/>
  <c r="D400" i="10"/>
  <c r="E400" i="10"/>
  <c r="E401" i="10"/>
  <c r="D401" i="10"/>
  <c r="E402" i="10"/>
  <c r="D402" i="10"/>
  <c r="E403" i="10"/>
  <c r="D403" i="10"/>
  <c r="D404" i="10"/>
  <c r="E404" i="10"/>
  <c r="D405" i="10"/>
  <c r="E405" i="10"/>
  <c r="D406" i="10"/>
  <c r="E406" i="10"/>
  <c r="E407" i="10"/>
  <c r="D407" i="10"/>
  <c r="D408" i="10"/>
  <c r="E408" i="10"/>
  <c r="D409" i="10"/>
  <c r="E409" i="10"/>
  <c r="D410" i="10"/>
  <c r="E410" i="10"/>
  <c r="D411" i="10"/>
  <c r="E411" i="10"/>
  <c r="D412" i="10"/>
  <c r="E412" i="10"/>
  <c r="D413" i="10"/>
  <c r="E413" i="10"/>
  <c r="D414" i="10"/>
  <c r="E414" i="10"/>
  <c r="E415" i="10"/>
  <c r="D415" i="10"/>
  <c r="E416" i="10"/>
  <c r="D416" i="10"/>
  <c r="E417" i="10"/>
  <c r="D417" i="10"/>
  <c r="D418" i="10"/>
  <c r="E418" i="10"/>
  <c r="E419" i="10"/>
  <c r="D419" i="10"/>
  <c r="D420" i="10"/>
  <c r="E420" i="10"/>
  <c r="D421" i="10"/>
  <c r="E421" i="10"/>
  <c r="E422" i="10"/>
  <c r="D422" i="10"/>
  <c r="D423" i="10"/>
  <c r="E423" i="10"/>
  <c r="E424" i="10"/>
  <c r="D424" i="10"/>
  <c r="E425" i="10"/>
  <c r="D425" i="10"/>
  <c r="E426" i="10"/>
  <c r="D426" i="10"/>
  <c r="D427" i="10"/>
  <c r="E427" i="10"/>
  <c r="E428" i="10"/>
  <c r="D428" i="10"/>
  <c r="D429" i="10"/>
  <c r="E429" i="10"/>
  <c r="E430" i="10"/>
  <c r="D430" i="10"/>
  <c r="E431" i="10"/>
  <c r="D431" i="10"/>
  <c r="E432" i="10"/>
  <c r="D432" i="10"/>
  <c r="E433" i="10"/>
  <c r="D433" i="10"/>
  <c r="E434" i="10"/>
  <c r="D434" i="10"/>
  <c r="D435" i="10"/>
  <c r="E435" i="10"/>
  <c r="D436" i="10"/>
  <c r="E436" i="10"/>
  <c r="E437" i="10"/>
  <c r="D437" i="10"/>
  <c r="D438" i="10"/>
  <c r="E438" i="10"/>
  <c r="D439" i="10"/>
  <c r="E439" i="10"/>
  <c r="E440" i="10"/>
  <c r="D440" i="10"/>
  <c r="D441" i="10"/>
  <c r="E441" i="10"/>
  <c r="D442" i="10"/>
  <c r="E442" i="10"/>
  <c r="D443" i="10"/>
  <c r="E443" i="10"/>
  <c r="D444" i="10"/>
  <c r="E444" i="10"/>
  <c r="D445" i="10"/>
  <c r="E445" i="10"/>
  <c r="D446" i="10"/>
  <c r="E446" i="10"/>
  <c r="D447" i="10"/>
  <c r="E447" i="10"/>
  <c r="E448" i="10"/>
  <c r="D448" i="10"/>
  <c r="D449" i="10"/>
  <c r="E449" i="10"/>
  <c r="D450" i="10"/>
  <c r="E450" i="10"/>
  <c r="D451" i="10"/>
  <c r="E451" i="10"/>
  <c r="D452" i="10"/>
  <c r="E452" i="10"/>
  <c r="E453" i="10"/>
  <c r="D453" i="10"/>
  <c r="D454" i="10"/>
  <c r="E454" i="10"/>
  <c r="D455" i="10"/>
  <c r="E455" i="10"/>
  <c r="D456" i="10"/>
  <c r="E456" i="10"/>
  <c r="E457" i="10"/>
  <c r="D457" i="10"/>
  <c r="E458" i="10"/>
  <c r="D458" i="10"/>
  <c r="D367" i="9"/>
  <c r="E367" i="9"/>
  <c r="D368" i="9"/>
  <c r="E368" i="9"/>
  <c r="D369" i="9"/>
  <c r="E369" i="9"/>
  <c r="E370" i="9"/>
  <c r="D370" i="9"/>
  <c r="D371" i="9"/>
  <c r="E371" i="9"/>
  <c r="E372" i="9"/>
  <c r="D372" i="9"/>
  <c r="D373" i="9"/>
  <c r="E373" i="9"/>
  <c r="E374" i="9"/>
  <c r="D374" i="9"/>
  <c r="D375" i="9"/>
  <c r="E375" i="9"/>
  <c r="D376" i="9"/>
  <c r="E376" i="9"/>
  <c r="E377" i="9"/>
  <c r="D377" i="9"/>
  <c r="E378" i="9"/>
  <c r="D378" i="9"/>
  <c r="D379" i="9"/>
  <c r="E379" i="9"/>
  <c r="D380" i="9"/>
  <c r="E380" i="9"/>
  <c r="D381" i="9"/>
  <c r="E381" i="9"/>
  <c r="E382" i="9"/>
  <c r="D382" i="9"/>
  <c r="E383" i="9"/>
  <c r="D383" i="9"/>
  <c r="D384" i="9"/>
  <c r="E384" i="9"/>
  <c r="D385" i="9"/>
  <c r="E385" i="9"/>
  <c r="E386" i="9"/>
  <c r="D386" i="9"/>
  <c r="D387" i="9"/>
  <c r="E387" i="9"/>
  <c r="E388" i="9"/>
  <c r="D388" i="9"/>
  <c r="D389" i="9"/>
  <c r="E389" i="9"/>
  <c r="D390" i="9"/>
  <c r="E390" i="9"/>
  <c r="D391" i="9"/>
  <c r="E391" i="9"/>
  <c r="E392" i="9"/>
  <c r="D392" i="9"/>
  <c r="D393" i="9"/>
  <c r="E393" i="9"/>
  <c r="E394" i="9"/>
  <c r="D394" i="9"/>
  <c r="E395" i="9"/>
  <c r="D395" i="9"/>
  <c r="E396" i="9"/>
  <c r="D396" i="9"/>
  <c r="E397" i="9"/>
  <c r="D397" i="9"/>
  <c r="E398" i="9"/>
  <c r="D398" i="9"/>
  <c r="D399" i="9"/>
  <c r="E399" i="9"/>
  <c r="D400" i="9"/>
  <c r="E400" i="9"/>
  <c r="E401" i="9"/>
  <c r="D401" i="9"/>
  <c r="E402" i="9"/>
  <c r="D402" i="9"/>
  <c r="E403" i="9"/>
  <c r="D403" i="9"/>
  <c r="D404" i="9"/>
  <c r="E404" i="9"/>
  <c r="D405" i="9"/>
  <c r="E405" i="9"/>
  <c r="E406" i="9"/>
  <c r="D406" i="9"/>
  <c r="D407" i="9"/>
  <c r="E407" i="9"/>
  <c r="E408" i="9"/>
  <c r="D408" i="9"/>
  <c r="D409" i="9"/>
  <c r="E409" i="9"/>
  <c r="D410" i="9"/>
  <c r="E410" i="9"/>
  <c r="D411" i="9"/>
  <c r="E411" i="9"/>
  <c r="D412" i="9"/>
  <c r="E412" i="9"/>
  <c r="E413" i="9"/>
  <c r="D413" i="9"/>
  <c r="E414" i="9"/>
  <c r="D414" i="9"/>
  <c r="E415" i="9"/>
  <c r="D415" i="9"/>
  <c r="D416" i="9"/>
  <c r="E416" i="9"/>
  <c r="D417" i="9"/>
  <c r="E417" i="9"/>
  <c r="E418" i="9"/>
  <c r="D418" i="9"/>
  <c r="E419" i="9"/>
  <c r="D419" i="9"/>
  <c r="E420" i="9"/>
  <c r="D420" i="9"/>
  <c r="E421" i="9"/>
  <c r="D421" i="9"/>
  <c r="D422" i="9"/>
  <c r="E422" i="9"/>
  <c r="D423" i="9"/>
  <c r="E423" i="9"/>
  <c r="E424" i="9"/>
  <c r="D424" i="9"/>
  <c r="D425" i="9"/>
  <c r="E425" i="9"/>
  <c r="E426" i="9"/>
  <c r="D426" i="9"/>
  <c r="D427" i="9"/>
  <c r="E427" i="9"/>
  <c r="E428" i="9"/>
  <c r="D428" i="9"/>
  <c r="E429" i="9"/>
  <c r="D429" i="9"/>
  <c r="E430" i="9"/>
  <c r="D430" i="9"/>
  <c r="D431" i="9"/>
  <c r="E431" i="9"/>
  <c r="D432" i="9"/>
  <c r="E432" i="9"/>
  <c r="E433" i="9"/>
  <c r="D433" i="9"/>
  <c r="D434" i="9"/>
  <c r="E434" i="9"/>
  <c r="D435" i="9"/>
  <c r="E435" i="9"/>
  <c r="D436" i="9"/>
  <c r="E436" i="9"/>
  <c r="D437" i="9"/>
  <c r="E437" i="9"/>
  <c r="E438" i="9"/>
  <c r="D438" i="9"/>
  <c r="E439" i="9"/>
  <c r="D439" i="9"/>
  <c r="D440" i="9"/>
  <c r="E440" i="9"/>
  <c r="D441" i="9"/>
  <c r="E441" i="9"/>
  <c r="D442" i="9"/>
  <c r="E442" i="9"/>
  <c r="D443" i="9"/>
  <c r="E443" i="9"/>
  <c r="E444" i="9"/>
  <c r="D444" i="9"/>
  <c r="E445" i="9"/>
  <c r="D445" i="9"/>
  <c r="E446" i="9"/>
  <c r="D446" i="9"/>
  <c r="E447" i="9"/>
  <c r="D447" i="9"/>
  <c r="D448" i="9"/>
  <c r="E448" i="9"/>
  <c r="D449" i="9"/>
  <c r="E449" i="9"/>
  <c r="E450" i="9"/>
  <c r="D450" i="9"/>
  <c r="D451" i="9"/>
  <c r="E451" i="9"/>
  <c r="E452" i="9"/>
  <c r="D452" i="9"/>
  <c r="D453" i="9"/>
  <c r="E453" i="9"/>
  <c r="D454" i="9"/>
  <c r="E454" i="9"/>
  <c r="D455" i="9"/>
  <c r="E455" i="9"/>
  <c r="E456" i="9"/>
  <c r="D456" i="9"/>
  <c r="E457" i="9"/>
  <c r="D457" i="9"/>
  <c r="D458" i="9"/>
  <c r="E458" i="9"/>
  <c r="E364" i="8"/>
  <c r="D364" i="8"/>
  <c r="E365" i="8"/>
  <c r="D365" i="8"/>
  <c r="E366" i="8"/>
  <c r="D366" i="8"/>
  <c r="D367" i="8"/>
  <c r="E367" i="8"/>
  <c r="E368" i="8"/>
  <c r="D368" i="8"/>
  <c r="E369" i="8"/>
  <c r="D369" i="8"/>
  <c r="E370" i="8"/>
  <c r="D370" i="8"/>
  <c r="D371" i="8"/>
  <c r="E371" i="8"/>
  <c r="D372" i="8"/>
  <c r="E372" i="8"/>
  <c r="E373" i="8"/>
  <c r="D373" i="8"/>
  <c r="D374" i="8"/>
  <c r="E374" i="8"/>
  <c r="D375" i="8"/>
  <c r="E375" i="8"/>
  <c r="E376" i="8"/>
  <c r="D376" i="8"/>
  <c r="E377" i="8"/>
  <c r="D377" i="8"/>
  <c r="E378" i="8"/>
  <c r="D378" i="8"/>
  <c r="D379" i="8"/>
  <c r="E379" i="8"/>
  <c r="E380" i="8"/>
  <c r="D380" i="8"/>
  <c r="D381" i="8"/>
  <c r="E381" i="8"/>
  <c r="E382" i="8"/>
  <c r="D382" i="8"/>
  <c r="D383" i="8"/>
  <c r="E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E391" i="8"/>
  <c r="D391" i="8"/>
  <c r="D392" i="8"/>
  <c r="E392" i="8"/>
  <c r="D393" i="8"/>
  <c r="E393" i="8"/>
  <c r="D394" i="8"/>
  <c r="E394" i="8"/>
  <c r="D395" i="8"/>
  <c r="E395" i="8"/>
  <c r="D396" i="8"/>
  <c r="E396" i="8"/>
  <c r="D397" i="8"/>
  <c r="E397" i="8"/>
  <c r="D398" i="8"/>
  <c r="E398" i="8"/>
  <c r="D399" i="8"/>
  <c r="E399" i="8"/>
  <c r="E400" i="8"/>
  <c r="D400" i="8"/>
  <c r="D401" i="8"/>
  <c r="E401" i="8"/>
  <c r="E402" i="8"/>
  <c r="D402" i="8"/>
  <c r="E403" i="8"/>
  <c r="D403" i="8"/>
  <c r="D404" i="8"/>
  <c r="E404" i="8"/>
  <c r="E405" i="8"/>
  <c r="D405" i="8"/>
  <c r="E406" i="8"/>
  <c r="D406" i="8"/>
  <c r="D407" i="8"/>
  <c r="E407" i="8"/>
  <c r="E408" i="8"/>
  <c r="D408" i="8"/>
  <c r="D409" i="8"/>
  <c r="E409" i="8"/>
  <c r="D410" i="8"/>
  <c r="E410" i="8"/>
  <c r="E411" i="8"/>
  <c r="D411" i="8"/>
  <c r="D412" i="8"/>
  <c r="E412" i="8"/>
  <c r="D413" i="8"/>
  <c r="E413" i="8"/>
  <c r="E414" i="8"/>
  <c r="D414" i="8"/>
  <c r="E415" i="8"/>
  <c r="D415" i="8"/>
  <c r="D416" i="8"/>
  <c r="E416" i="8"/>
  <c r="E417" i="8"/>
  <c r="D417" i="8"/>
  <c r="D418" i="8"/>
  <c r="E418" i="8"/>
  <c r="D419" i="8"/>
  <c r="E419" i="8"/>
  <c r="D420" i="8"/>
  <c r="E420" i="8"/>
  <c r="D421" i="8"/>
  <c r="E421" i="8"/>
  <c r="D422" i="8"/>
  <c r="E422" i="8"/>
  <c r="D423" i="8"/>
  <c r="E423" i="8"/>
  <c r="D424" i="8"/>
  <c r="E424" i="8"/>
  <c r="D425" i="8"/>
  <c r="E425" i="8"/>
  <c r="E426" i="8"/>
  <c r="D426" i="8"/>
  <c r="E427" i="8"/>
  <c r="D427" i="8"/>
  <c r="D428" i="8"/>
  <c r="E428" i="8"/>
  <c r="D429" i="8"/>
  <c r="E429" i="8"/>
  <c r="D430" i="8"/>
  <c r="E430" i="8"/>
  <c r="E431" i="8"/>
  <c r="D431" i="8"/>
  <c r="E432" i="8"/>
  <c r="D432" i="8"/>
  <c r="D433" i="8"/>
  <c r="E433" i="8"/>
  <c r="D434" i="8"/>
  <c r="E434" i="8"/>
  <c r="E435" i="8"/>
  <c r="D435" i="8"/>
  <c r="E436" i="8"/>
  <c r="D436" i="8"/>
  <c r="D437" i="8"/>
  <c r="E437" i="8"/>
  <c r="E438" i="8"/>
  <c r="D438" i="8"/>
  <c r="D439" i="8"/>
  <c r="E439" i="8"/>
  <c r="E440" i="8"/>
  <c r="D440" i="8"/>
  <c r="D441" i="8"/>
  <c r="E441" i="8"/>
  <c r="E442" i="8"/>
  <c r="D442" i="8"/>
  <c r="D443" i="8"/>
  <c r="E443" i="8"/>
  <c r="E444" i="8"/>
  <c r="D444" i="8"/>
  <c r="E445" i="8"/>
  <c r="D445" i="8"/>
  <c r="D446" i="8"/>
  <c r="E446" i="8"/>
  <c r="E447" i="8"/>
  <c r="D447" i="8"/>
  <c r="D448" i="8"/>
  <c r="E448" i="8"/>
  <c r="D449" i="8"/>
  <c r="E449" i="8"/>
  <c r="E450" i="8"/>
  <c r="D450" i="8"/>
  <c r="E451" i="8"/>
  <c r="D451" i="8"/>
  <c r="D452" i="8"/>
  <c r="E452" i="8"/>
  <c r="D453" i="8"/>
  <c r="E453" i="8"/>
  <c r="E454" i="8"/>
  <c r="D454" i="8"/>
  <c r="D367" i="7"/>
  <c r="E367" i="7"/>
  <c r="D368" i="7"/>
  <c r="E368" i="7"/>
  <c r="D369" i="7"/>
  <c r="E369" i="7"/>
  <c r="D370" i="7"/>
  <c r="E370" i="7"/>
  <c r="E371" i="7"/>
  <c r="D371" i="7"/>
  <c r="D372" i="7"/>
  <c r="E372" i="7"/>
  <c r="E373" i="7"/>
  <c r="D373" i="7"/>
  <c r="E374" i="7"/>
  <c r="D374" i="7"/>
  <c r="E375" i="7"/>
  <c r="D375" i="7"/>
  <c r="E376" i="7"/>
  <c r="D376" i="7"/>
  <c r="D377" i="7"/>
  <c r="E377" i="7"/>
  <c r="D378" i="7"/>
  <c r="E378" i="7"/>
  <c r="D379" i="7"/>
  <c r="E379" i="7"/>
  <c r="D380" i="7"/>
  <c r="E380" i="7"/>
  <c r="D381" i="7"/>
  <c r="E381" i="7"/>
  <c r="D382" i="7"/>
  <c r="E382" i="7"/>
  <c r="E383" i="7"/>
  <c r="D383" i="7"/>
  <c r="D384" i="7"/>
  <c r="E384" i="7"/>
  <c r="D385" i="7"/>
  <c r="E385" i="7"/>
  <c r="D386" i="7"/>
  <c r="E386" i="7"/>
  <c r="E387" i="7"/>
  <c r="D387" i="7"/>
  <c r="D388" i="7"/>
  <c r="E388" i="7"/>
  <c r="E389" i="7"/>
  <c r="D389" i="7"/>
  <c r="D390" i="7"/>
  <c r="E390" i="7"/>
  <c r="D391" i="7"/>
  <c r="E391" i="7"/>
  <c r="D392" i="7"/>
  <c r="E392" i="7"/>
  <c r="E393" i="7"/>
  <c r="D393" i="7"/>
  <c r="D394" i="7"/>
  <c r="E394" i="7"/>
  <c r="D395" i="7"/>
  <c r="E395" i="7"/>
  <c r="D396" i="7"/>
  <c r="E396" i="7"/>
  <c r="E397" i="7"/>
  <c r="D397" i="7"/>
  <c r="E398" i="7"/>
  <c r="D398" i="7"/>
  <c r="D399" i="7"/>
  <c r="E399" i="7"/>
  <c r="E400" i="7"/>
  <c r="D400" i="7"/>
  <c r="D401" i="7"/>
  <c r="E401" i="7"/>
  <c r="D402" i="7"/>
  <c r="E402" i="7"/>
  <c r="D403" i="7"/>
  <c r="E403" i="7"/>
  <c r="D404" i="7"/>
  <c r="E404" i="7"/>
  <c r="D405" i="7"/>
  <c r="E405" i="7"/>
  <c r="D406" i="7"/>
  <c r="E406" i="7"/>
  <c r="D407" i="7"/>
  <c r="E407" i="7"/>
  <c r="D408" i="7"/>
  <c r="E408" i="7"/>
  <c r="D409" i="7"/>
  <c r="E409" i="7"/>
  <c r="D410" i="7"/>
  <c r="E410" i="7"/>
  <c r="E411" i="7"/>
  <c r="D411" i="7"/>
  <c r="E412" i="7"/>
  <c r="D412" i="7"/>
  <c r="E413" i="7"/>
  <c r="D413" i="7"/>
  <c r="E414" i="7"/>
  <c r="D414" i="7"/>
  <c r="D415" i="7"/>
  <c r="E415" i="7"/>
  <c r="E416" i="7"/>
  <c r="D416" i="7"/>
  <c r="D417" i="7"/>
  <c r="E417" i="7"/>
  <c r="E418" i="7"/>
  <c r="D418" i="7"/>
  <c r="D419" i="7"/>
  <c r="E419" i="7"/>
  <c r="E420" i="7"/>
  <c r="D420" i="7"/>
  <c r="E421" i="7"/>
  <c r="D421" i="7"/>
  <c r="E422" i="7"/>
  <c r="D422" i="7"/>
  <c r="E423" i="7"/>
  <c r="D423" i="7"/>
  <c r="E424" i="7"/>
  <c r="D424" i="7"/>
  <c r="E425" i="7"/>
  <c r="D425" i="7"/>
  <c r="E426" i="7"/>
  <c r="D426" i="7"/>
  <c r="D427" i="7"/>
  <c r="E427" i="7"/>
  <c r="E428" i="7"/>
  <c r="D428" i="7"/>
  <c r="D429" i="7"/>
  <c r="E429" i="7"/>
  <c r="D430" i="7"/>
  <c r="E430" i="7"/>
  <c r="D431" i="7"/>
  <c r="E431" i="7"/>
  <c r="E432" i="7"/>
  <c r="D432" i="7"/>
  <c r="E433" i="7"/>
  <c r="D433" i="7"/>
  <c r="D434" i="7"/>
  <c r="E434" i="7"/>
  <c r="D435" i="7"/>
  <c r="E435" i="7"/>
  <c r="E436" i="7"/>
  <c r="D436" i="7"/>
  <c r="E437" i="7"/>
  <c r="D437" i="7"/>
  <c r="E438" i="7"/>
  <c r="D438" i="7"/>
  <c r="E439" i="7"/>
  <c r="D439" i="7"/>
  <c r="E440" i="7"/>
  <c r="D440" i="7"/>
  <c r="E441" i="7"/>
  <c r="D441" i="7"/>
  <c r="E442" i="7"/>
  <c r="D442" i="7"/>
  <c r="D443" i="7"/>
  <c r="E443" i="7"/>
  <c r="E444" i="7"/>
  <c r="D444" i="7"/>
  <c r="E445" i="7"/>
  <c r="D445" i="7"/>
  <c r="E446" i="7"/>
  <c r="D446" i="7"/>
  <c r="E447" i="7"/>
  <c r="D447" i="7"/>
  <c r="E448" i="7"/>
  <c r="D448" i="7"/>
  <c r="D449" i="7"/>
  <c r="E449" i="7"/>
  <c r="D450" i="7"/>
  <c r="E450" i="7"/>
  <c r="D451" i="7"/>
  <c r="E451" i="7"/>
  <c r="D452" i="7"/>
  <c r="E452" i="7"/>
  <c r="D453" i="7"/>
  <c r="E453" i="7"/>
  <c r="D454" i="7"/>
  <c r="E454" i="7"/>
  <c r="D455" i="7"/>
  <c r="E455" i="7"/>
  <c r="E456" i="7"/>
  <c r="D456" i="7"/>
  <c r="D457" i="7"/>
  <c r="E457" i="7"/>
  <c r="D458" i="7"/>
  <c r="E458" i="7"/>
  <c r="D367" i="6"/>
  <c r="E367" i="6"/>
  <c r="D368" i="6"/>
  <c r="E368" i="6"/>
  <c r="D369" i="6"/>
  <c r="E369" i="6"/>
  <c r="D370" i="6"/>
  <c r="E370" i="6"/>
  <c r="D371" i="6"/>
  <c r="E371" i="6"/>
  <c r="D372" i="6"/>
  <c r="E372" i="6"/>
  <c r="E373" i="6"/>
  <c r="D373" i="6"/>
  <c r="D374" i="6"/>
  <c r="E374" i="6"/>
  <c r="E375" i="6"/>
  <c r="D375" i="6"/>
  <c r="E376" i="6"/>
  <c r="D376" i="6"/>
  <c r="D377" i="6"/>
  <c r="E377" i="6"/>
  <c r="D378" i="6"/>
  <c r="E378" i="6"/>
  <c r="D379" i="6"/>
  <c r="E379" i="6"/>
  <c r="D380" i="6"/>
  <c r="E380" i="6"/>
  <c r="E381" i="6"/>
  <c r="D381" i="6"/>
  <c r="E382" i="6"/>
  <c r="D382" i="6"/>
  <c r="E383" i="6"/>
  <c r="D383" i="6"/>
  <c r="E384" i="6"/>
  <c r="D384" i="6"/>
  <c r="E385" i="6"/>
  <c r="D385" i="6"/>
  <c r="D386" i="6"/>
  <c r="E386" i="6"/>
  <c r="E387" i="6"/>
  <c r="D387" i="6"/>
  <c r="D388" i="6"/>
  <c r="E388" i="6"/>
  <c r="D389" i="6"/>
  <c r="E389" i="6"/>
  <c r="E390" i="6"/>
  <c r="D390" i="6"/>
  <c r="E391" i="6"/>
  <c r="D391" i="6"/>
  <c r="D392" i="6"/>
  <c r="E392" i="6"/>
  <c r="D393" i="6"/>
  <c r="E393" i="6"/>
  <c r="D394" i="6"/>
  <c r="E394" i="6"/>
  <c r="D395" i="6"/>
  <c r="E395" i="6"/>
  <c r="D396" i="6"/>
  <c r="E396" i="6"/>
  <c r="D397" i="6"/>
  <c r="E397" i="6"/>
  <c r="E398" i="6"/>
  <c r="D398" i="6"/>
  <c r="D399" i="6"/>
  <c r="E399" i="6"/>
  <c r="D400" i="6"/>
  <c r="E400" i="6"/>
  <c r="D401" i="6"/>
  <c r="E401" i="6"/>
  <c r="E402" i="6"/>
  <c r="D402" i="6"/>
  <c r="E403" i="6"/>
  <c r="D403" i="6"/>
  <c r="D404" i="6"/>
  <c r="E404" i="6"/>
  <c r="E405" i="6"/>
  <c r="D405" i="6"/>
  <c r="D406" i="6"/>
  <c r="E406" i="6"/>
  <c r="E407" i="6"/>
  <c r="D407" i="6"/>
  <c r="D408" i="6"/>
  <c r="E408" i="6"/>
  <c r="D409" i="6"/>
  <c r="E409" i="6"/>
  <c r="D410" i="6"/>
  <c r="E410" i="6"/>
  <c r="D411" i="6"/>
  <c r="E411" i="6"/>
  <c r="D412" i="6"/>
  <c r="E412" i="6"/>
  <c r="D413" i="6"/>
  <c r="E413" i="6"/>
  <c r="E414" i="6"/>
  <c r="D414" i="6"/>
  <c r="E415" i="6"/>
  <c r="D415" i="6"/>
  <c r="E416" i="6"/>
  <c r="D416" i="6"/>
  <c r="E417" i="6"/>
  <c r="D417" i="6"/>
  <c r="E418" i="6"/>
  <c r="D418" i="6"/>
  <c r="E419" i="6"/>
  <c r="D419" i="6"/>
  <c r="E420" i="6"/>
  <c r="D420" i="6"/>
  <c r="D421" i="6"/>
  <c r="E421" i="6"/>
  <c r="E422" i="6"/>
  <c r="D422" i="6"/>
  <c r="D423" i="6"/>
  <c r="E423" i="6"/>
  <c r="D424" i="6"/>
  <c r="E424" i="6"/>
  <c r="D425" i="6"/>
  <c r="E425" i="6"/>
  <c r="D426" i="6"/>
  <c r="E426" i="6"/>
  <c r="D427" i="6"/>
  <c r="E427" i="6"/>
  <c r="E428" i="6"/>
  <c r="D428" i="6"/>
  <c r="E429" i="6"/>
  <c r="D429" i="6"/>
  <c r="D430" i="6"/>
  <c r="E430" i="6"/>
  <c r="D431" i="6"/>
  <c r="E431" i="6"/>
  <c r="D432" i="6"/>
  <c r="E432" i="6"/>
  <c r="D433" i="6"/>
  <c r="E433" i="6"/>
  <c r="D434" i="6"/>
  <c r="E434" i="6"/>
  <c r="D435" i="6"/>
  <c r="E435" i="6"/>
  <c r="D436" i="6"/>
  <c r="E436" i="6"/>
  <c r="E437" i="6"/>
  <c r="D437" i="6"/>
  <c r="D438" i="6"/>
  <c r="E438" i="6"/>
  <c r="D439" i="6"/>
  <c r="E439" i="6"/>
  <c r="D440" i="6"/>
  <c r="E440" i="6"/>
  <c r="D441" i="6"/>
  <c r="E441" i="6"/>
  <c r="D442" i="6"/>
  <c r="E442" i="6"/>
  <c r="D443" i="6"/>
  <c r="E443" i="6"/>
  <c r="E444" i="6"/>
  <c r="D444" i="6"/>
  <c r="D445" i="6"/>
  <c r="E445" i="6"/>
  <c r="D446" i="6"/>
  <c r="E446" i="6"/>
  <c r="D447" i="6"/>
  <c r="E447" i="6"/>
  <c r="D448" i="6"/>
  <c r="E448" i="6"/>
  <c r="D449" i="6"/>
  <c r="E449" i="6"/>
  <c r="E450" i="6"/>
  <c r="D450" i="6"/>
  <c r="D451" i="6"/>
  <c r="E451" i="6"/>
  <c r="D452" i="6"/>
  <c r="E452" i="6"/>
  <c r="D453" i="6"/>
  <c r="E453" i="6"/>
  <c r="D454" i="6"/>
  <c r="E454" i="6"/>
  <c r="D455" i="6"/>
  <c r="E455" i="6"/>
  <c r="D456" i="6"/>
  <c r="E456" i="6"/>
  <c r="E457" i="6"/>
  <c r="D457" i="6"/>
  <c r="D458" i="6"/>
  <c r="E458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2" i="5"/>
  <c r="W16" i="5"/>
  <c r="Y16" i="5" s="1"/>
  <c r="F245" i="5" s="1"/>
  <c r="W13" i="5"/>
  <c r="Y13" i="5" s="1"/>
  <c r="F153" i="5" s="1"/>
  <c r="W15" i="5"/>
  <c r="Y15" i="5" s="1"/>
  <c r="F214" i="5" s="1"/>
  <c r="W19" i="5"/>
  <c r="Y19" i="5" s="1"/>
  <c r="W10" i="5"/>
  <c r="Y10" i="5" s="1"/>
  <c r="F61" i="5" s="1"/>
  <c r="W8" i="5"/>
  <c r="Y8" i="5" s="1"/>
  <c r="W18" i="5"/>
  <c r="Y18" i="5" s="1"/>
  <c r="F306" i="5" s="1"/>
  <c r="W12" i="5"/>
  <c r="Y12" i="5" s="1"/>
  <c r="F122" i="5" s="1"/>
  <c r="W9" i="5"/>
  <c r="Y9" i="5" s="1"/>
  <c r="W14" i="5"/>
  <c r="Y14" i="5" s="1"/>
  <c r="F183" i="5" s="1"/>
  <c r="W11" i="5"/>
  <c r="Y11" i="5" s="1"/>
  <c r="F92" i="5" s="1"/>
  <c r="W17" i="5"/>
  <c r="Y17" i="5" s="1"/>
  <c r="F275" i="5" s="1"/>
  <c r="F2" i="3"/>
  <c r="G2" i="3"/>
  <c r="G4" i="5" l="1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F345" i="5"/>
  <c r="G345" i="5" s="1"/>
  <c r="F357" i="5"/>
  <c r="G357" i="5" s="1"/>
  <c r="F337" i="5"/>
  <c r="G337" i="5" s="1"/>
  <c r="F340" i="5"/>
  <c r="G340" i="5" s="1"/>
  <c r="F365" i="5"/>
  <c r="G365" i="5" s="1"/>
  <c r="F349" i="5"/>
  <c r="G349" i="5" s="1"/>
  <c r="F354" i="5"/>
  <c r="G354" i="5" s="1"/>
  <c r="F358" i="5"/>
  <c r="G358" i="5" s="1"/>
  <c r="F362" i="5"/>
  <c r="G362" i="5" s="1"/>
  <c r="F361" i="5"/>
  <c r="G361" i="5" s="1"/>
  <c r="F350" i="5"/>
  <c r="G350" i="5" s="1"/>
  <c r="F364" i="5"/>
  <c r="G364" i="5" s="1"/>
  <c r="F336" i="5"/>
  <c r="G336" i="5" s="1"/>
  <c r="F342" i="5"/>
  <c r="G342" i="5" s="1"/>
  <c r="F343" i="5"/>
  <c r="G343" i="5" s="1"/>
  <c r="F347" i="5"/>
  <c r="G347" i="5" s="1"/>
  <c r="F352" i="5"/>
  <c r="G352" i="5" s="1"/>
  <c r="F356" i="5"/>
  <c r="G356" i="5" s="1"/>
  <c r="F360" i="5"/>
  <c r="G360" i="5" s="1"/>
  <c r="F341" i="5"/>
  <c r="G341" i="5" s="1"/>
  <c r="F338" i="5"/>
  <c r="G338" i="5" s="1"/>
  <c r="F346" i="5"/>
  <c r="G346" i="5" s="1"/>
  <c r="F351" i="5"/>
  <c r="G351" i="5" s="1"/>
  <c r="F355" i="5"/>
  <c r="G355" i="5" s="1"/>
  <c r="F359" i="5"/>
  <c r="G359" i="5" s="1"/>
  <c r="F363" i="5"/>
  <c r="G363" i="5" s="1"/>
  <c r="F366" i="5"/>
  <c r="G366" i="5" s="1"/>
  <c r="F339" i="5"/>
  <c r="G339" i="5" s="1"/>
  <c r="F344" i="5"/>
  <c r="G344" i="5" s="1"/>
  <c r="F348" i="5"/>
  <c r="G348" i="5" s="1"/>
  <c r="F353" i="5"/>
  <c r="G353" i="5" s="1"/>
  <c r="F3" i="5"/>
  <c r="G3" i="5" s="1"/>
  <c r="F2" i="5"/>
  <c r="G2" i="5" s="1"/>
  <c r="F34" i="5"/>
  <c r="G34" i="5" s="1"/>
  <c r="F33" i="5"/>
  <c r="G33" i="5" s="1"/>
</calcChain>
</file>

<file path=xl/sharedStrings.xml><?xml version="1.0" encoding="utf-8"?>
<sst xmlns="http://schemas.openxmlformats.org/spreadsheetml/2006/main" count="115" uniqueCount="58">
  <si>
    <t>Date</t>
  </si>
  <si>
    <t>Daily sales</t>
  </si>
  <si>
    <t>Naïve Approach</t>
  </si>
  <si>
    <t>Naive Error</t>
  </si>
  <si>
    <t>Absolute Error</t>
  </si>
  <si>
    <t>Absolute Squared Error</t>
  </si>
  <si>
    <t>Absolute Percentage Error</t>
  </si>
  <si>
    <t>MAE</t>
  </si>
  <si>
    <t>MSE</t>
  </si>
  <si>
    <t>MAPE</t>
  </si>
  <si>
    <t>Accuracy</t>
  </si>
  <si>
    <t>Moving Average Approach</t>
  </si>
  <si>
    <t>MA Error</t>
  </si>
  <si>
    <t>Exponential Smoothing Approach</t>
  </si>
  <si>
    <t>ES Error</t>
  </si>
  <si>
    <t>Period</t>
  </si>
  <si>
    <t>Linear forecast</t>
  </si>
  <si>
    <t>Months</t>
  </si>
  <si>
    <t>SLR Forecast</t>
  </si>
  <si>
    <t>Seasonality</t>
  </si>
  <si>
    <t>SLR Forecast * Seasonality</t>
  </si>
  <si>
    <t>Intercept</t>
  </si>
  <si>
    <t>Slope</t>
  </si>
  <si>
    <t>Seasonality Index</t>
  </si>
  <si>
    <t>Monthly Mean</t>
  </si>
  <si>
    <t>Annual Average</t>
  </si>
  <si>
    <t>Seasonlity Index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</si>
  <si>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</si>
  <si>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</si>
  <si>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</si>
  <si>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</si>
  <si>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</si>
  <si>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</si>
  <si>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</si>
  <si>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</si>
  <si>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</si>
  <si>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</si>
  <si>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</si>
  <si>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</si>
  <si>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Timeline</t>
  </si>
  <si>
    <t>Values</t>
  </si>
  <si>
    <t>Forecast</t>
  </si>
  <si>
    <t>Lower Confidence Bound</t>
  </si>
  <si>
    <t>Upper Confidence Bound</t>
  </si>
  <si>
    <t>Statistic</t>
  </si>
  <si>
    <t>Value</t>
  </si>
  <si>
    <t>Alpha</t>
  </si>
  <si>
    <t>Beta</t>
  </si>
  <si>
    <t>Gamma</t>
  </si>
  <si>
    <t>MASE</t>
  </si>
  <si>
    <t>SMAPE</t>
  </si>
  <si>
    <t>RMSE</t>
  </si>
  <si>
    <t>Forecast(Daily sales)</t>
  </si>
  <si>
    <t>Lower Confidence Bound(Daily sales)</t>
  </si>
  <si>
    <t>Upper Confidence Bound(Daily sales)</t>
  </si>
  <si>
    <t>Forecast(Absolute Squared Error)</t>
  </si>
  <si>
    <t>Lower Confidence Bound(Absolute Squared Error)</t>
  </si>
  <si>
    <t>Upper Confidence Bound(Absolute Squared 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</si>
</sst>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yy"/>
    <numFmt numFmtId="167" formatCode="_-* #,##0.0_-;\-* #,##0.0_-;_-* &quot;-&quot;??_-;_-@_-"/>
  </numFmts>
  <fonts count="8">
    <font>
      <sz val="12"/>
      <color theme="1"/>
      <name val="Calibri"/>
      <scheme val="minor"/>
    </font>
    <font>
      <b/>
      <sz val="10"/>
      <color rgb="FF000000"/>
      <name val="Arimo"/>
    </font>
    <font>
      <b/>
      <sz val="12"/>
      <color theme="1"/>
      <name val="Calibri"/>
      <family val="2"/>
    </font>
    <font>
      <sz val="10"/>
      <color rgb="FF000000"/>
      <name val="Arimo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4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  <xf numFmtId="0" fontId="4" fillId="0" borderId="0" xfId="0" applyFont="1"/>
    <xf numFmtId="9" fontId="5" fillId="0" borderId="0" xfId="0" applyNumberFormat="1" applyFont="1"/>
    <xf numFmtId="0" fontId="2" fillId="0" borderId="1" xfId="0" applyFont="1" applyBorder="1"/>
    <xf numFmtId="2" fontId="5" fillId="0" borderId="1" xfId="0" applyNumberFormat="1" applyFont="1" applyBorder="1"/>
    <xf numFmtId="2" fontId="5" fillId="0" borderId="0" xfId="0" applyNumberFormat="1" applyFont="1"/>
    <xf numFmtId="0" fontId="2" fillId="0" borderId="2" xfId="0" applyFont="1" applyBorder="1"/>
    <xf numFmtId="9" fontId="5" fillId="0" borderId="2" xfId="0" applyNumberFormat="1" applyFont="1" applyBorder="1"/>
    <xf numFmtId="0" fontId="2" fillId="0" borderId="3" xfId="0" applyFont="1" applyBorder="1"/>
    <xf numFmtId="10" fontId="5" fillId="0" borderId="3" xfId="0" applyNumberFormat="1" applyFont="1" applyBorder="1"/>
    <xf numFmtId="1" fontId="2" fillId="0" borderId="0" xfId="0" applyNumberFormat="1" applyFont="1"/>
    <xf numFmtId="2" fontId="2" fillId="0" borderId="0" xfId="0" applyNumberFormat="1" applyFont="1"/>
    <xf numFmtId="1" fontId="5" fillId="0" borderId="0" xfId="0" applyNumberFormat="1" applyFont="1"/>
    <xf numFmtId="0" fontId="2" fillId="0" borderId="4" xfId="0" applyFont="1" applyBorder="1"/>
    <xf numFmtId="9" fontId="5" fillId="0" borderId="4" xfId="0" applyNumberFormat="1" applyFont="1" applyBorder="1"/>
    <xf numFmtId="0" fontId="5" fillId="0" borderId="1" xfId="0" applyFont="1" applyBorder="1"/>
    <xf numFmtId="0" fontId="5" fillId="0" borderId="4" xfId="0" applyFont="1" applyBorder="1"/>
    <xf numFmtId="0" fontId="6" fillId="2" borderId="5" xfId="0" applyFont="1" applyFill="1" applyBorder="1"/>
    <xf numFmtId="0" fontId="5" fillId="0" borderId="0" xfId="0" applyFont="1"/>
    <xf numFmtId="1" fontId="5" fillId="0" borderId="4" xfId="0" applyNumberFormat="1" applyFont="1" applyBorder="1"/>
    <xf numFmtId="2" fontId="5" fillId="0" borderId="4" xfId="0" applyNumberFormat="1" applyFont="1" applyBorder="1"/>
    <xf numFmtId="0" fontId="0" fillId="0" borderId="0" xfId="1" applyNumberFormat="1" applyFont="1"/>
    <xf numFmtId="43" fontId="5" fillId="0" borderId="0" xfId="1" applyFont="1"/>
    <xf numFmtId="0" fontId="5" fillId="0" borderId="0" xfId="1" applyNumberFormat="1" applyFont="1"/>
    <xf numFmtId="2" fontId="5" fillId="0" borderId="0" xfId="1" applyNumberFormat="1" applyFont="1"/>
    <xf numFmtId="43" fontId="5" fillId="0" borderId="1" xfId="1" applyFont="1" applyBorder="1"/>
    <xf numFmtId="167" fontId="5" fillId="0" borderId="0" xfId="1" applyNumberFormat="1" applyFont="1"/>
    <xf numFmtId="9" fontId="5" fillId="0" borderId="0" xfId="2" applyFont="1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9" fontId="0" fillId="0" borderId="0" xfId="0" applyNumberForma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8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d/m/yyyy"/>
    </dxf>
    <dxf>
      <numFmt numFmtId="2" formatCode="0.00"/>
    </dxf>
    <dxf>
      <numFmt numFmtId="2" formatCode="0.00"/>
    </dxf>
    <dxf>
      <numFmt numFmtId="164" formatCode="d/m/yyyy"/>
    </dxf>
    <dxf>
      <numFmt numFmtId="13" formatCode="0%"/>
    </dxf>
    <dxf>
      <numFmt numFmtId="13" formatCode="0%"/>
    </dxf>
    <dxf>
      <numFmt numFmtId="13" formatCode="0%"/>
    </dxf>
    <dxf>
      <numFmt numFmtId="164" formatCode="d/m/yyyy"/>
    </dxf>
    <dxf>
      <numFmt numFmtId="2" formatCode="0.00"/>
    </dxf>
    <dxf>
      <numFmt numFmtId="2" formatCode="0.00"/>
    </dxf>
    <dxf>
      <numFmt numFmtId="164" formatCode="d/m/yyyy"/>
    </dxf>
    <dxf>
      <numFmt numFmtId="4" formatCode="#,##0.00"/>
    </dxf>
    <dxf>
      <numFmt numFmtId="2" formatCode="0.00"/>
    </dxf>
    <dxf>
      <numFmt numFmtId="2" formatCode="0.00"/>
    </dxf>
    <dxf>
      <numFmt numFmtId="164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Naive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Naive!$A$2:$A$366</c:f>
              <c:numCache>
                <c:formatCode>d/m/yyyy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Naive!$B$2:$B$366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C-4ED6-A3A9-1CABCA243A8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Naive!$A$2:$A$366</c:f>
              <c:numCache>
                <c:formatCode>d/m/yyyy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Naive!$C$2:$C$366</c:f>
              <c:numCache>
                <c:formatCode>General</c:formatCode>
                <c:ptCount val="365"/>
                <c:pt idx="1">
                  <c:v>35</c:v>
                </c:pt>
                <c:pt idx="2">
                  <c:v>32</c:v>
                </c:pt>
                <c:pt idx="3">
                  <c:v>30</c:v>
                </c:pt>
                <c:pt idx="4">
                  <c:v>31</c:v>
                </c:pt>
                <c:pt idx="5">
                  <c:v>44</c:v>
                </c:pt>
                <c:pt idx="6">
                  <c:v>29</c:v>
                </c:pt>
                <c:pt idx="7">
                  <c:v>45</c:v>
                </c:pt>
                <c:pt idx="8">
                  <c:v>43</c:v>
                </c:pt>
                <c:pt idx="9">
                  <c:v>38</c:v>
                </c:pt>
                <c:pt idx="10">
                  <c:v>27</c:v>
                </c:pt>
                <c:pt idx="11">
                  <c:v>38</c:v>
                </c:pt>
                <c:pt idx="12">
                  <c:v>33</c:v>
                </c:pt>
                <c:pt idx="13">
                  <c:v>55</c:v>
                </c:pt>
                <c:pt idx="14">
                  <c:v>47</c:v>
                </c:pt>
                <c:pt idx="15">
                  <c:v>45</c:v>
                </c:pt>
                <c:pt idx="16">
                  <c:v>37</c:v>
                </c:pt>
                <c:pt idx="17">
                  <c:v>50</c:v>
                </c:pt>
                <c:pt idx="18">
                  <c:v>43</c:v>
                </c:pt>
                <c:pt idx="19">
                  <c:v>41</c:v>
                </c:pt>
                <c:pt idx="20">
                  <c:v>52</c:v>
                </c:pt>
                <c:pt idx="21">
                  <c:v>34</c:v>
                </c:pt>
                <c:pt idx="22">
                  <c:v>53</c:v>
                </c:pt>
                <c:pt idx="23">
                  <c:v>39</c:v>
                </c:pt>
                <c:pt idx="24">
                  <c:v>32</c:v>
                </c:pt>
                <c:pt idx="25">
                  <c:v>37</c:v>
                </c:pt>
                <c:pt idx="26">
                  <c:v>43</c:v>
                </c:pt>
                <c:pt idx="27">
                  <c:v>39</c:v>
                </c:pt>
                <c:pt idx="28">
                  <c:v>35</c:v>
                </c:pt>
                <c:pt idx="29">
                  <c:v>44</c:v>
                </c:pt>
                <c:pt idx="30">
                  <c:v>38</c:v>
                </c:pt>
                <c:pt idx="31">
                  <c:v>24</c:v>
                </c:pt>
                <c:pt idx="32">
                  <c:v>23</c:v>
                </c:pt>
                <c:pt idx="33">
                  <c:v>31</c:v>
                </c:pt>
                <c:pt idx="34">
                  <c:v>44</c:v>
                </c:pt>
                <c:pt idx="35">
                  <c:v>38</c:v>
                </c:pt>
                <c:pt idx="36">
                  <c:v>50</c:v>
                </c:pt>
                <c:pt idx="37">
                  <c:v>38</c:v>
                </c:pt>
                <c:pt idx="38">
                  <c:v>51</c:v>
                </c:pt>
                <c:pt idx="39">
                  <c:v>31</c:v>
                </c:pt>
                <c:pt idx="40">
                  <c:v>31</c:v>
                </c:pt>
                <c:pt idx="41">
                  <c:v>51</c:v>
                </c:pt>
                <c:pt idx="42">
                  <c:v>36</c:v>
                </c:pt>
                <c:pt idx="43">
                  <c:v>45</c:v>
                </c:pt>
                <c:pt idx="44">
                  <c:v>51</c:v>
                </c:pt>
                <c:pt idx="45">
                  <c:v>34</c:v>
                </c:pt>
                <c:pt idx="46">
                  <c:v>52</c:v>
                </c:pt>
                <c:pt idx="47">
                  <c:v>47</c:v>
                </c:pt>
                <c:pt idx="48">
                  <c:v>45</c:v>
                </c:pt>
                <c:pt idx="49">
                  <c:v>46</c:v>
                </c:pt>
                <c:pt idx="50">
                  <c:v>39</c:v>
                </c:pt>
                <c:pt idx="51">
                  <c:v>48</c:v>
                </c:pt>
                <c:pt idx="52">
                  <c:v>37</c:v>
                </c:pt>
                <c:pt idx="53">
                  <c:v>35</c:v>
                </c:pt>
                <c:pt idx="54">
                  <c:v>52</c:v>
                </c:pt>
                <c:pt idx="55">
                  <c:v>42</c:v>
                </c:pt>
                <c:pt idx="56">
                  <c:v>45</c:v>
                </c:pt>
                <c:pt idx="57">
                  <c:v>39</c:v>
                </c:pt>
                <c:pt idx="58">
                  <c:v>37</c:v>
                </c:pt>
                <c:pt idx="59">
                  <c:v>30</c:v>
                </c:pt>
                <c:pt idx="60">
                  <c:v>35</c:v>
                </c:pt>
                <c:pt idx="61">
                  <c:v>28</c:v>
                </c:pt>
                <c:pt idx="62">
                  <c:v>45</c:v>
                </c:pt>
                <c:pt idx="63">
                  <c:v>34</c:v>
                </c:pt>
                <c:pt idx="64">
                  <c:v>36</c:v>
                </c:pt>
                <c:pt idx="65">
                  <c:v>50</c:v>
                </c:pt>
                <c:pt idx="66">
                  <c:v>44</c:v>
                </c:pt>
                <c:pt idx="67">
                  <c:v>39</c:v>
                </c:pt>
                <c:pt idx="68">
                  <c:v>32</c:v>
                </c:pt>
                <c:pt idx="69">
                  <c:v>39</c:v>
                </c:pt>
                <c:pt idx="70">
                  <c:v>45</c:v>
                </c:pt>
                <c:pt idx="71">
                  <c:v>43</c:v>
                </c:pt>
                <c:pt idx="72">
                  <c:v>39</c:v>
                </c:pt>
                <c:pt idx="73">
                  <c:v>31</c:v>
                </c:pt>
                <c:pt idx="74">
                  <c:v>27</c:v>
                </c:pt>
                <c:pt idx="75">
                  <c:v>30</c:v>
                </c:pt>
                <c:pt idx="76">
                  <c:v>42</c:v>
                </c:pt>
                <c:pt idx="77">
                  <c:v>46</c:v>
                </c:pt>
                <c:pt idx="78">
                  <c:v>41</c:v>
                </c:pt>
                <c:pt idx="79">
                  <c:v>36</c:v>
                </c:pt>
                <c:pt idx="80">
                  <c:v>45</c:v>
                </c:pt>
                <c:pt idx="81">
                  <c:v>46</c:v>
                </c:pt>
                <c:pt idx="82">
                  <c:v>43</c:v>
                </c:pt>
                <c:pt idx="83">
                  <c:v>38</c:v>
                </c:pt>
                <c:pt idx="84">
                  <c:v>34</c:v>
                </c:pt>
                <c:pt idx="85">
                  <c:v>35</c:v>
                </c:pt>
                <c:pt idx="86">
                  <c:v>56</c:v>
                </c:pt>
                <c:pt idx="87">
                  <c:v>36</c:v>
                </c:pt>
                <c:pt idx="88">
                  <c:v>32</c:v>
                </c:pt>
                <c:pt idx="89">
                  <c:v>50</c:v>
                </c:pt>
                <c:pt idx="90">
                  <c:v>41</c:v>
                </c:pt>
                <c:pt idx="91">
                  <c:v>39</c:v>
                </c:pt>
                <c:pt idx="92">
                  <c:v>41</c:v>
                </c:pt>
                <c:pt idx="93">
                  <c:v>47</c:v>
                </c:pt>
                <c:pt idx="94">
                  <c:v>34</c:v>
                </c:pt>
                <c:pt idx="95">
                  <c:v>36</c:v>
                </c:pt>
                <c:pt idx="96">
                  <c:v>33</c:v>
                </c:pt>
                <c:pt idx="97">
                  <c:v>35</c:v>
                </c:pt>
                <c:pt idx="98">
                  <c:v>38</c:v>
                </c:pt>
                <c:pt idx="99">
                  <c:v>38</c:v>
                </c:pt>
                <c:pt idx="100">
                  <c:v>34</c:v>
                </c:pt>
                <c:pt idx="101">
                  <c:v>53</c:v>
                </c:pt>
                <c:pt idx="102">
                  <c:v>34</c:v>
                </c:pt>
                <c:pt idx="103">
                  <c:v>34</c:v>
                </c:pt>
                <c:pt idx="104">
                  <c:v>38</c:v>
                </c:pt>
                <c:pt idx="105">
                  <c:v>35</c:v>
                </c:pt>
                <c:pt idx="106">
                  <c:v>32</c:v>
                </c:pt>
                <c:pt idx="107">
                  <c:v>42</c:v>
                </c:pt>
                <c:pt idx="108">
                  <c:v>34</c:v>
                </c:pt>
                <c:pt idx="109">
                  <c:v>46</c:v>
                </c:pt>
                <c:pt idx="110">
                  <c:v>30</c:v>
                </c:pt>
                <c:pt idx="111">
                  <c:v>46</c:v>
                </c:pt>
                <c:pt idx="112">
                  <c:v>45</c:v>
                </c:pt>
                <c:pt idx="113">
                  <c:v>54</c:v>
                </c:pt>
                <c:pt idx="114">
                  <c:v>34</c:v>
                </c:pt>
                <c:pt idx="115">
                  <c:v>37</c:v>
                </c:pt>
                <c:pt idx="116">
                  <c:v>35</c:v>
                </c:pt>
                <c:pt idx="117">
                  <c:v>40</c:v>
                </c:pt>
                <c:pt idx="118">
                  <c:v>42</c:v>
                </c:pt>
                <c:pt idx="119">
                  <c:v>58</c:v>
                </c:pt>
                <c:pt idx="120">
                  <c:v>51</c:v>
                </c:pt>
                <c:pt idx="121">
                  <c:v>32</c:v>
                </c:pt>
                <c:pt idx="122">
                  <c:v>35</c:v>
                </c:pt>
                <c:pt idx="123">
                  <c:v>38</c:v>
                </c:pt>
                <c:pt idx="124">
                  <c:v>33</c:v>
                </c:pt>
                <c:pt idx="125">
                  <c:v>39</c:v>
                </c:pt>
                <c:pt idx="126">
                  <c:v>47</c:v>
                </c:pt>
                <c:pt idx="127">
                  <c:v>38</c:v>
                </c:pt>
                <c:pt idx="128">
                  <c:v>52</c:v>
                </c:pt>
                <c:pt idx="129">
                  <c:v>30</c:v>
                </c:pt>
                <c:pt idx="130">
                  <c:v>34</c:v>
                </c:pt>
                <c:pt idx="131">
                  <c:v>40</c:v>
                </c:pt>
                <c:pt idx="132">
                  <c:v>35</c:v>
                </c:pt>
                <c:pt idx="133">
                  <c:v>42</c:v>
                </c:pt>
                <c:pt idx="134">
                  <c:v>41</c:v>
                </c:pt>
                <c:pt idx="135">
                  <c:v>42</c:v>
                </c:pt>
                <c:pt idx="136">
                  <c:v>38</c:v>
                </c:pt>
                <c:pt idx="137">
                  <c:v>24</c:v>
                </c:pt>
                <c:pt idx="138">
                  <c:v>34</c:v>
                </c:pt>
                <c:pt idx="139">
                  <c:v>43</c:v>
                </c:pt>
                <c:pt idx="140">
                  <c:v>36</c:v>
                </c:pt>
                <c:pt idx="141">
                  <c:v>55</c:v>
                </c:pt>
                <c:pt idx="142">
                  <c:v>41</c:v>
                </c:pt>
                <c:pt idx="143">
                  <c:v>45</c:v>
                </c:pt>
                <c:pt idx="144">
                  <c:v>41</c:v>
                </c:pt>
                <c:pt idx="145">
                  <c:v>37</c:v>
                </c:pt>
                <c:pt idx="146">
                  <c:v>43</c:v>
                </c:pt>
                <c:pt idx="147">
                  <c:v>39</c:v>
                </c:pt>
                <c:pt idx="148">
                  <c:v>33</c:v>
                </c:pt>
                <c:pt idx="149">
                  <c:v>43</c:v>
                </c:pt>
                <c:pt idx="150">
                  <c:v>40</c:v>
                </c:pt>
                <c:pt idx="151">
                  <c:v>38</c:v>
                </c:pt>
                <c:pt idx="152">
                  <c:v>45</c:v>
                </c:pt>
                <c:pt idx="153">
                  <c:v>46</c:v>
                </c:pt>
                <c:pt idx="154">
                  <c:v>34</c:v>
                </c:pt>
                <c:pt idx="155">
                  <c:v>35</c:v>
                </c:pt>
                <c:pt idx="156">
                  <c:v>48</c:v>
                </c:pt>
                <c:pt idx="157">
                  <c:v>51</c:v>
                </c:pt>
                <c:pt idx="158">
                  <c:v>36</c:v>
                </c:pt>
                <c:pt idx="159">
                  <c:v>33</c:v>
                </c:pt>
                <c:pt idx="160">
                  <c:v>46</c:v>
                </c:pt>
                <c:pt idx="161">
                  <c:v>42</c:v>
                </c:pt>
                <c:pt idx="162">
                  <c:v>48</c:v>
                </c:pt>
                <c:pt idx="163">
                  <c:v>34</c:v>
                </c:pt>
                <c:pt idx="164">
                  <c:v>41</c:v>
                </c:pt>
                <c:pt idx="165">
                  <c:v>35</c:v>
                </c:pt>
                <c:pt idx="166">
                  <c:v>40</c:v>
                </c:pt>
                <c:pt idx="167">
                  <c:v>34</c:v>
                </c:pt>
                <c:pt idx="168">
                  <c:v>30</c:v>
                </c:pt>
                <c:pt idx="169">
                  <c:v>36</c:v>
                </c:pt>
                <c:pt idx="170">
                  <c:v>40</c:v>
                </c:pt>
                <c:pt idx="171">
                  <c:v>39</c:v>
                </c:pt>
                <c:pt idx="172">
                  <c:v>45</c:v>
                </c:pt>
                <c:pt idx="173">
                  <c:v>38</c:v>
                </c:pt>
                <c:pt idx="174">
                  <c:v>47</c:v>
                </c:pt>
                <c:pt idx="175">
                  <c:v>33</c:v>
                </c:pt>
                <c:pt idx="176">
                  <c:v>30</c:v>
                </c:pt>
                <c:pt idx="177">
                  <c:v>42</c:v>
                </c:pt>
                <c:pt idx="178">
                  <c:v>43</c:v>
                </c:pt>
                <c:pt idx="179">
                  <c:v>41</c:v>
                </c:pt>
                <c:pt idx="180">
                  <c:v>41</c:v>
                </c:pt>
                <c:pt idx="181">
                  <c:v>59</c:v>
                </c:pt>
                <c:pt idx="182">
                  <c:v>43</c:v>
                </c:pt>
                <c:pt idx="183">
                  <c:v>45</c:v>
                </c:pt>
                <c:pt idx="184">
                  <c:v>38</c:v>
                </c:pt>
                <c:pt idx="185">
                  <c:v>37</c:v>
                </c:pt>
                <c:pt idx="186">
                  <c:v>45</c:v>
                </c:pt>
                <c:pt idx="187">
                  <c:v>42</c:v>
                </c:pt>
                <c:pt idx="188">
                  <c:v>57</c:v>
                </c:pt>
                <c:pt idx="189">
                  <c:v>46</c:v>
                </c:pt>
                <c:pt idx="190">
                  <c:v>51</c:v>
                </c:pt>
                <c:pt idx="191">
                  <c:v>41</c:v>
                </c:pt>
                <c:pt idx="192">
                  <c:v>47</c:v>
                </c:pt>
                <c:pt idx="193">
                  <c:v>26</c:v>
                </c:pt>
                <c:pt idx="194">
                  <c:v>35</c:v>
                </c:pt>
                <c:pt idx="195">
                  <c:v>44</c:v>
                </c:pt>
                <c:pt idx="196">
                  <c:v>41</c:v>
                </c:pt>
                <c:pt idx="197">
                  <c:v>42</c:v>
                </c:pt>
                <c:pt idx="198">
                  <c:v>36</c:v>
                </c:pt>
                <c:pt idx="199">
                  <c:v>45</c:v>
                </c:pt>
                <c:pt idx="200">
                  <c:v>45</c:v>
                </c:pt>
                <c:pt idx="201">
                  <c:v>45</c:v>
                </c:pt>
                <c:pt idx="202">
                  <c:v>47</c:v>
                </c:pt>
                <c:pt idx="203">
                  <c:v>38</c:v>
                </c:pt>
                <c:pt idx="204">
                  <c:v>42</c:v>
                </c:pt>
                <c:pt idx="205">
                  <c:v>35</c:v>
                </c:pt>
                <c:pt idx="206">
                  <c:v>36</c:v>
                </c:pt>
                <c:pt idx="207">
                  <c:v>39</c:v>
                </c:pt>
                <c:pt idx="208">
                  <c:v>45</c:v>
                </c:pt>
                <c:pt idx="209">
                  <c:v>43</c:v>
                </c:pt>
                <c:pt idx="210">
                  <c:v>47</c:v>
                </c:pt>
                <c:pt idx="211">
                  <c:v>36</c:v>
                </c:pt>
                <c:pt idx="212">
                  <c:v>41</c:v>
                </c:pt>
                <c:pt idx="213">
                  <c:v>50</c:v>
                </c:pt>
                <c:pt idx="214">
                  <c:v>39</c:v>
                </c:pt>
                <c:pt idx="215">
                  <c:v>41</c:v>
                </c:pt>
                <c:pt idx="216">
                  <c:v>46</c:v>
                </c:pt>
                <c:pt idx="217">
                  <c:v>64</c:v>
                </c:pt>
                <c:pt idx="218">
                  <c:v>45</c:v>
                </c:pt>
                <c:pt idx="219">
                  <c:v>34</c:v>
                </c:pt>
                <c:pt idx="220">
                  <c:v>38</c:v>
                </c:pt>
                <c:pt idx="221">
                  <c:v>44</c:v>
                </c:pt>
                <c:pt idx="222">
                  <c:v>48</c:v>
                </c:pt>
                <c:pt idx="223">
                  <c:v>46</c:v>
                </c:pt>
                <c:pt idx="224">
                  <c:v>44</c:v>
                </c:pt>
                <c:pt idx="225">
                  <c:v>37</c:v>
                </c:pt>
                <c:pt idx="226">
                  <c:v>39</c:v>
                </c:pt>
                <c:pt idx="227">
                  <c:v>44</c:v>
                </c:pt>
                <c:pt idx="228">
                  <c:v>45</c:v>
                </c:pt>
                <c:pt idx="229">
                  <c:v>33</c:v>
                </c:pt>
                <c:pt idx="230">
                  <c:v>44</c:v>
                </c:pt>
                <c:pt idx="231">
                  <c:v>38</c:v>
                </c:pt>
                <c:pt idx="232">
                  <c:v>46</c:v>
                </c:pt>
                <c:pt idx="233">
                  <c:v>46</c:v>
                </c:pt>
                <c:pt idx="234">
                  <c:v>40</c:v>
                </c:pt>
                <c:pt idx="235">
                  <c:v>39</c:v>
                </c:pt>
                <c:pt idx="236">
                  <c:v>44</c:v>
                </c:pt>
                <c:pt idx="237">
                  <c:v>48</c:v>
                </c:pt>
                <c:pt idx="238">
                  <c:v>50</c:v>
                </c:pt>
                <c:pt idx="239">
                  <c:v>41</c:v>
                </c:pt>
                <c:pt idx="240">
                  <c:v>42</c:v>
                </c:pt>
                <c:pt idx="241">
                  <c:v>51</c:v>
                </c:pt>
                <c:pt idx="242">
                  <c:v>41</c:v>
                </c:pt>
                <c:pt idx="243">
                  <c:v>44</c:v>
                </c:pt>
                <c:pt idx="244">
                  <c:v>38</c:v>
                </c:pt>
                <c:pt idx="245">
                  <c:v>68</c:v>
                </c:pt>
                <c:pt idx="246">
                  <c:v>40</c:v>
                </c:pt>
                <c:pt idx="247">
                  <c:v>42</c:v>
                </c:pt>
                <c:pt idx="248">
                  <c:v>51</c:v>
                </c:pt>
                <c:pt idx="249">
                  <c:v>44</c:v>
                </c:pt>
                <c:pt idx="250">
                  <c:v>45</c:v>
                </c:pt>
                <c:pt idx="251">
                  <c:v>36</c:v>
                </c:pt>
                <c:pt idx="252">
                  <c:v>57</c:v>
                </c:pt>
                <c:pt idx="253">
                  <c:v>44</c:v>
                </c:pt>
                <c:pt idx="254">
                  <c:v>42</c:v>
                </c:pt>
                <c:pt idx="255">
                  <c:v>53</c:v>
                </c:pt>
                <c:pt idx="256">
                  <c:v>42</c:v>
                </c:pt>
                <c:pt idx="257">
                  <c:v>34</c:v>
                </c:pt>
                <c:pt idx="258">
                  <c:v>40</c:v>
                </c:pt>
                <c:pt idx="259">
                  <c:v>56</c:v>
                </c:pt>
                <c:pt idx="260">
                  <c:v>44</c:v>
                </c:pt>
                <c:pt idx="261">
                  <c:v>53</c:v>
                </c:pt>
                <c:pt idx="262">
                  <c:v>55</c:v>
                </c:pt>
                <c:pt idx="263">
                  <c:v>39</c:v>
                </c:pt>
                <c:pt idx="264">
                  <c:v>59</c:v>
                </c:pt>
                <c:pt idx="265">
                  <c:v>55</c:v>
                </c:pt>
                <c:pt idx="266">
                  <c:v>73</c:v>
                </c:pt>
                <c:pt idx="267">
                  <c:v>55</c:v>
                </c:pt>
                <c:pt idx="268">
                  <c:v>44</c:v>
                </c:pt>
                <c:pt idx="269">
                  <c:v>43</c:v>
                </c:pt>
                <c:pt idx="270">
                  <c:v>40</c:v>
                </c:pt>
                <c:pt idx="271">
                  <c:v>47</c:v>
                </c:pt>
                <c:pt idx="272">
                  <c:v>51</c:v>
                </c:pt>
                <c:pt idx="273">
                  <c:v>56</c:v>
                </c:pt>
                <c:pt idx="274">
                  <c:v>49</c:v>
                </c:pt>
                <c:pt idx="275">
                  <c:v>54</c:v>
                </c:pt>
                <c:pt idx="276">
                  <c:v>56</c:v>
                </c:pt>
                <c:pt idx="277">
                  <c:v>47</c:v>
                </c:pt>
                <c:pt idx="278">
                  <c:v>44</c:v>
                </c:pt>
                <c:pt idx="279">
                  <c:v>43</c:v>
                </c:pt>
                <c:pt idx="280">
                  <c:v>42</c:v>
                </c:pt>
                <c:pt idx="281">
                  <c:v>45</c:v>
                </c:pt>
                <c:pt idx="282">
                  <c:v>50</c:v>
                </c:pt>
                <c:pt idx="283">
                  <c:v>48</c:v>
                </c:pt>
                <c:pt idx="284">
                  <c:v>43</c:v>
                </c:pt>
                <c:pt idx="285">
                  <c:v>40</c:v>
                </c:pt>
                <c:pt idx="286">
                  <c:v>59</c:v>
                </c:pt>
                <c:pt idx="287">
                  <c:v>41</c:v>
                </c:pt>
                <c:pt idx="288">
                  <c:v>42</c:v>
                </c:pt>
                <c:pt idx="289">
                  <c:v>51</c:v>
                </c:pt>
                <c:pt idx="290">
                  <c:v>49</c:v>
                </c:pt>
                <c:pt idx="291">
                  <c:v>45</c:v>
                </c:pt>
                <c:pt idx="292">
                  <c:v>43</c:v>
                </c:pt>
                <c:pt idx="293">
                  <c:v>42</c:v>
                </c:pt>
                <c:pt idx="294">
                  <c:v>38</c:v>
                </c:pt>
                <c:pt idx="295">
                  <c:v>47</c:v>
                </c:pt>
                <c:pt idx="296">
                  <c:v>38</c:v>
                </c:pt>
                <c:pt idx="297">
                  <c:v>36</c:v>
                </c:pt>
                <c:pt idx="298">
                  <c:v>42</c:v>
                </c:pt>
                <c:pt idx="299">
                  <c:v>35</c:v>
                </c:pt>
                <c:pt idx="300">
                  <c:v>28</c:v>
                </c:pt>
                <c:pt idx="301">
                  <c:v>44</c:v>
                </c:pt>
                <c:pt idx="302">
                  <c:v>36</c:v>
                </c:pt>
                <c:pt idx="303">
                  <c:v>45</c:v>
                </c:pt>
                <c:pt idx="304">
                  <c:v>46</c:v>
                </c:pt>
                <c:pt idx="305">
                  <c:v>48</c:v>
                </c:pt>
                <c:pt idx="306">
                  <c:v>49</c:v>
                </c:pt>
                <c:pt idx="307">
                  <c:v>43</c:v>
                </c:pt>
                <c:pt idx="308">
                  <c:v>42</c:v>
                </c:pt>
                <c:pt idx="309">
                  <c:v>59</c:v>
                </c:pt>
                <c:pt idx="310">
                  <c:v>45</c:v>
                </c:pt>
                <c:pt idx="311">
                  <c:v>52</c:v>
                </c:pt>
                <c:pt idx="312">
                  <c:v>46</c:v>
                </c:pt>
                <c:pt idx="313">
                  <c:v>42</c:v>
                </c:pt>
                <c:pt idx="314">
                  <c:v>40</c:v>
                </c:pt>
                <c:pt idx="315">
                  <c:v>40</c:v>
                </c:pt>
                <c:pt idx="316">
                  <c:v>45</c:v>
                </c:pt>
                <c:pt idx="317">
                  <c:v>35</c:v>
                </c:pt>
                <c:pt idx="318">
                  <c:v>35</c:v>
                </c:pt>
                <c:pt idx="319">
                  <c:v>40</c:v>
                </c:pt>
                <c:pt idx="320">
                  <c:v>39</c:v>
                </c:pt>
                <c:pt idx="321">
                  <c:v>33</c:v>
                </c:pt>
                <c:pt idx="322">
                  <c:v>42</c:v>
                </c:pt>
                <c:pt idx="323">
                  <c:v>47</c:v>
                </c:pt>
                <c:pt idx="324">
                  <c:v>51</c:v>
                </c:pt>
                <c:pt idx="325">
                  <c:v>44</c:v>
                </c:pt>
                <c:pt idx="326">
                  <c:v>40</c:v>
                </c:pt>
                <c:pt idx="327">
                  <c:v>57</c:v>
                </c:pt>
                <c:pt idx="328">
                  <c:v>49</c:v>
                </c:pt>
                <c:pt idx="329">
                  <c:v>45</c:v>
                </c:pt>
                <c:pt idx="330">
                  <c:v>49</c:v>
                </c:pt>
                <c:pt idx="331">
                  <c:v>51</c:v>
                </c:pt>
                <c:pt idx="332">
                  <c:v>46</c:v>
                </c:pt>
                <c:pt idx="333">
                  <c:v>44</c:v>
                </c:pt>
                <c:pt idx="334">
                  <c:v>52</c:v>
                </c:pt>
                <c:pt idx="335">
                  <c:v>45</c:v>
                </c:pt>
                <c:pt idx="336">
                  <c:v>32</c:v>
                </c:pt>
                <c:pt idx="337">
                  <c:v>46</c:v>
                </c:pt>
                <c:pt idx="338">
                  <c:v>41</c:v>
                </c:pt>
                <c:pt idx="339">
                  <c:v>34</c:v>
                </c:pt>
                <c:pt idx="340">
                  <c:v>33</c:v>
                </c:pt>
                <c:pt idx="341">
                  <c:v>36</c:v>
                </c:pt>
                <c:pt idx="342">
                  <c:v>49</c:v>
                </c:pt>
                <c:pt idx="343">
                  <c:v>43</c:v>
                </c:pt>
                <c:pt idx="344">
                  <c:v>43</c:v>
                </c:pt>
                <c:pt idx="345">
                  <c:v>34</c:v>
                </c:pt>
                <c:pt idx="346">
                  <c:v>39</c:v>
                </c:pt>
                <c:pt idx="347">
                  <c:v>35</c:v>
                </c:pt>
                <c:pt idx="348">
                  <c:v>52</c:v>
                </c:pt>
                <c:pt idx="349">
                  <c:v>47</c:v>
                </c:pt>
                <c:pt idx="350">
                  <c:v>52</c:v>
                </c:pt>
                <c:pt idx="351">
                  <c:v>39</c:v>
                </c:pt>
                <c:pt idx="352">
                  <c:v>40</c:v>
                </c:pt>
                <c:pt idx="353">
                  <c:v>42</c:v>
                </c:pt>
                <c:pt idx="354">
                  <c:v>42</c:v>
                </c:pt>
                <c:pt idx="355">
                  <c:v>53</c:v>
                </c:pt>
                <c:pt idx="356">
                  <c:v>39</c:v>
                </c:pt>
                <c:pt idx="357">
                  <c:v>40</c:v>
                </c:pt>
                <c:pt idx="358">
                  <c:v>38</c:v>
                </c:pt>
                <c:pt idx="359">
                  <c:v>44</c:v>
                </c:pt>
                <c:pt idx="360">
                  <c:v>34</c:v>
                </c:pt>
                <c:pt idx="361">
                  <c:v>37</c:v>
                </c:pt>
                <c:pt idx="362">
                  <c:v>52</c:v>
                </c:pt>
                <c:pt idx="363">
                  <c:v>48</c:v>
                </c:pt>
                <c:pt idx="364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4C-4ED6-A3A9-1CABCA243A8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Naive!$A$2:$A$366</c:f>
              <c:numCache>
                <c:formatCode>d/m/yyyy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Naive!$D$2:$D$366</c:f>
              <c:numCache>
                <c:formatCode>General</c:formatCode>
                <c:ptCount val="365"/>
                <c:pt idx="1">
                  <c:v>-3</c:v>
                </c:pt>
                <c:pt idx="2">
                  <c:v>-2</c:v>
                </c:pt>
                <c:pt idx="3">
                  <c:v>1</c:v>
                </c:pt>
                <c:pt idx="4">
                  <c:v>13</c:v>
                </c:pt>
                <c:pt idx="5">
                  <c:v>-15</c:v>
                </c:pt>
                <c:pt idx="6">
                  <c:v>16</c:v>
                </c:pt>
                <c:pt idx="7">
                  <c:v>-2</c:v>
                </c:pt>
                <c:pt idx="8">
                  <c:v>-5</c:v>
                </c:pt>
                <c:pt idx="9">
                  <c:v>-11</c:v>
                </c:pt>
                <c:pt idx="10">
                  <c:v>11</c:v>
                </c:pt>
                <c:pt idx="11">
                  <c:v>-5</c:v>
                </c:pt>
                <c:pt idx="12">
                  <c:v>22</c:v>
                </c:pt>
                <c:pt idx="13">
                  <c:v>-8</c:v>
                </c:pt>
                <c:pt idx="14">
                  <c:v>-2</c:v>
                </c:pt>
                <c:pt idx="15">
                  <c:v>-8</c:v>
                </c:pt>
                <c:pt idx="16">
                  <c:v>13</c:v>
                </c:pt>
                <c:pt idx="17">
                  <c:v>-7</c:v>
                </c:pt>
                <c:pt idx="18">
                  <c:v>-2</c:v>
                </c:pt>
                <c:pt idx="19">
                  <c:v>11</c:v>
                </c:pt>
                <c:pt idx="20">
                  <c:v>-18</c:v>
                </c:pt>
                <c:pt idx="21">
                  <c:v>19</c:v>
                </c:pt>
                <c:pt idx="22">
                  <c:v>-14</c:v>
                </c:pt>
                <c:pt idx="23">
                  <c:v>-7</c:v>
                </c:pt>
                <c:pt idx="24">
                  <c:v>5</c:v>
                </c:pt>
                <c:pt idx="25">
                  <c:v>6</c:v>
                </c:pt>
                <c:pt idx="26">
                  <c:v>-4</c:v>
                </c:pt>
                <c:pt idx="27">
                  <c:v>-4</c:v>
                </c:pt>
                <c:pt idx="28">
                  <c:v>9</c:v>
                </c:pt>
                <c:pt idx="29">
                  <c:v>-6</c:v>
                </c:pt>
                <c:pt idx="30">
                  <c:v>-14</c:v>
                </c:pt>
                <c:pt idx="31">
                  <c:v>-1</c:v>
                </c:pt>
                <c:pt idx="32">
                  <c:v>8</c:v>
                </c:pt>
                <c:pt idx="33">
                  <c:v>13</c:v>
                </c:pt>
                <c:pt idx="34">
                  <c:v>-6</c:v>
                </c:pt>
                <c:pt idx="35">
                  <c:v>12</c:v>
                </c:pt>
                <c:pt idx="36">
                  <c:v>-12</c:v>
                </c:pt>
                <c:pt idx="37">
                  <c:v>13</c:v>
                </c:pt>
                <c:pt idx="38">
                  <c:v>-20</c:v>
                </c:pt>
                <c:pt idx="39">
                  <c:v>0</c:v>
                </c:pt>
                <c:pt idx="40">
                  <c:v>20</c:v>
                </c:pt>
                <c:pt idx="41">
                  <c:v>-15</c:v>
                </c:pt>
                <c:pt idx="42">
                  <c:v>9</c:v>
                </c:pt>
                <c:pt idx="43">
                  <c:v>6</c:v>
                </c:pt>
                <c:pt idx="44">
                  <c:v>-17</c:v>
                </c:pt>
                <c:pt idx="45">
                  <c:v>18</c:v>
                </c:pt>
                <c:pt idx="46">
                  <c:v>-5</c:v>
                </c:pt>
                <c:pt idx="47">
                  <c:v>-2</c:v>
                </c:pt>
                <c:pt idx="48">
                  <c:v>1</c:v>
                </c:pt>
                <c:pt idx="49">
                  <c:v>-7</c:v>
                </c:pt>
                <c:pt idx="50">
                  <c:v>9</c:v>
                </c:pt>
                <c:pt idx="51">
                  <c:v>-11</c:v>
                </c:pt>
                <c:pt idx="52">
                  <c:v>-2</c:v>
                </c:pt>
                <c:pt idx="53">
                  <c:v>17</c:v>
                </c:pt>
                <c:pt idx="54">
                  <c:v>-10</c:v>
                </c:pt>
                <c:pt idx="55">
                  <c:v>3</c:v>
                </c:pt>
                <c:pt idx="56">
                  <c:v>-6</c:v>
                </c:pt>
                <c:pt idx="57">
                  <c:v>-2</c:v>
                </c:pt>
                <c:pt idx="58">
                  <c:v>-7</c:v>
                </c:pt>
                <c:pt idx="59">
                  <c:v>5</c:v>
                </c:pt>
                <c:pt idx="60">
                  <c:v>-7</c:v>
                </c:pt>
                <c:pt idx="61">
                  <c:v>17</c:v>
                </c:pt>
                <c:pt idx="62">
                  <c:v>-11</c:v>
                </c:pt>
                <c:pt idx="63">
                  <c:v>2</c:v>
                </c:pt>
                <c:pt idx="64">
                  <c:v>14</c:v>
                </c:pt>
                <c:pt idx="65">
                  <c:v>-6</c:v>
                </c:pt>
                <c:pt idx="66">
                  <c:v>-5</c:v>
                </c:pt>
                <c:pt idx="67">
                  <c:v>-7</c:v>
                </c:pt>
                <c:pt idx="68">
                  <c:v>7</c:v>
                </c:pt>
                <c:pt idx="69">
                  <c:v>6</c:v>
                </c:pt>
                <c:pt idx="70">
                  <c:v>-2</c:v>
                </c:pt>
                <c:pt idx="71">
                  <c:v>-4</c:v>
                </c:pt>
                <c:pt idx="72">
                  <c:v>-8</c:v>
                </c:pt>
                <c:pt idx="73">
                  <c:v>-4</c:v>
                </c:pt>
                <c:pt idx="74">
                  <c:v>3</c:v>
                </c:pt>
                <c:pt idx="75">
                  <c:v>12</c:v>
                </c:pt>
                <c:pt idx="76">
                  <c:v>4</c:v>
                </c:pt>
                <c:pt idx="77">
                  <c:v>-5</c:v>
                </c:pt>
                <c:pt idx="78">
                  <c:v>-5</c:v>
                </c:pt>
                <c:pt idx="79">
                  <c:v>9</c:v>
                </c:pt>
                <c:pt idx="80">
                  <c:v>1</c:v>
                </c:pt>
                <c:pt idx="81">
                  <c:v>-3</c:v>
                </c:pt>
                <c:pt idx="82">
                  <c:v>-5</c:v>
                </c:pt>
                <c:pt idx="83">
                  <c:v>-4</c:v>
                </c:pt>
                <c:pt idx="84">
                  <c:v>1</c:v>
                </c:pt>
                <c:pt idx="85">
                  <c:v>21</c:v>
                </c:pt>
                <c:pt idx="86">
                  <c:v>-20</c:v>
                </c:pt>
                <c:pt idx="87">
                  <c:v>-4</c:v>
                </c:pt>
                <c:pt idx="88">
                  <c:v>18</c:v>
                </c:pt>
                <c:pt idx="89">
                  <c:v>-9</c:v>
                </c:pt>
                <c:pt idx="90">
                  <c:v>-2</c:v>
                </c:pt>
                <c:pt idx="91">
                  <c:v>2</c:v>
                </c:pt>
                <c:pt idx="92">
                  <c:v>6</c:v>
                </c:pt>
                <c:pt idx="93">
                  <c:v>-13</c:v>
                </c:pt>
                <c:pt idx="94">
                  <c:v>2</c:v>
                </c:pt>
                <c:pt idx="95">
                  <c:v>-3</c:v>
                </c:pt>
                <c:pt idx="96">
                  <c:v>2</c:v>
                </c:pt>
                <c:pt idx="97">
                  <c:v>3</c:v>
                </c:pt>
                <c:pt idx="98">
                  <c:v>0</c:v>
                </c:pt>
                <c:pt idx="99">
                  <c:v>-4</c:v>
                </c:pt>
                <c:pt idx="100">
                  <c:v>19</c:v>
                </c:pt>
                <c:pt idx="101">
                  <c:v>-19</c:v>
                </c:pt>
                <c:pt idx="102">
                  <c:v>0</c:v>
                </c:pt>
                <c:pt idx="103">
                  <c:v>4</c:v>
                </c:pt>
                <c:pt idx="104">
                  <c:v>-3</c:v>
                </c:pt>
                <c:pt idx="105">
                  <c:v>-3</c:v>
                </c:pt>
                <c:pt idx="106">
                  <c:v>10</c:v>
                </c:pt>
                <c:pt idx="107">
                  <c:v>-8</c:v>
                </c:pt>
                <c:pt idx="108">
                  <c:v>12</c:v>
                </c:pt>
                <c:pt idx="109">
                  <c:v>-16</c:v>
                </c:pt>
                <c:pt idx="110">
                  <c:v>16</c:v>
                </c:pt>
                <c:pt idx="111">
                  <c:v>-1</c:v>
                </c:pt>
                <c:pt idx="112">
                  <c:v>9</c:v>
                </c:pt>
                <c:pt idx="113">
                  <c:v>-20</c:v>
                </c:pt>
                <c:pt idx="114">
                  <c:v>3</c:v>
                </c:pt>
                <c:pt idx="115">
                  <c:v>-2</c:v>
                </c:pt>
                <c:pt idx="116">
                  <c:v>5</c:v>
                </c:pt>
                <c:pt idx="117">
                  <c:v>2</c:v>
                </c:pt>
                <c:pt idx="118">
                  <c:v>16</c:v>
                </c:pt>
                <c:pt idx="119">
                  <c:v>-7</c:v>
                </c:pt>
                <c:pt idx="120">
                  <c:v>-19</c:v>
                </c:pt>
                <c:pt idx="121">
                  <c:v>3</c:v>
                </c:pt>
                <c:pt idx="122">
                  <c:v>3</c:v>
                </c:pt>
                <c:pt idx="123">
                  <c:v>-5</c:v>
                </c:pt>
                <c:pt idx="124">
                  <c:v>6</c:v>
                </c:pt>
                <c:pt idx="125">
                  <c:v>8</c:v>
                </c:pt>
                <c:pt idx="126">
                  <c:v>-9</c:v>
                </c:pt>
                <c:pt idx="127">
                  <c:v>14</c:v>
                </c:pt>
                <c:pt idx="128">
                  <c:v>-22</c:v>
                </c:pt>
                <c:pt idx="129">
                  <c:v>4</c:v>
                </c:pt>
                <c:pt idx="130">
                  <c:v>6</c:v>
                </c:pt>
                <c:pt idx="131">
                  <c:v>-5</c:v>
                </c:pt>
                <c:pt idx="132">
                  <c:v>7</c:v>
                </c:pt>
                <c:pt idx="133">
                  <c:v>-1</c:v>
                </c:pt>
                <c:pt idx="134">
                  <c:v>1</c:v>
                </c:pt>
                <c:pt idx="135">
                  <c:v>-4</c:v>
                </c:pt>
                <c:pt idx="136">
                  <c:v>-14</c:v>
                </c:pt>
                <c:pt idx="137">
                  <c:v>10</c:v>
                </c:pt>
                <c:pt idx="138">
                  <c:v>9</c:v>
                </c:pt>
                <c:pt idx="139">
                  <c:v>-7</c:v>
                </c:pt>
                <c:pt idx="140">
                  <c:v>19</c:v>
                </c:pt>
                <c:pt idx="141">
                  <c:v>-14</c:v>
                </c:pt>
                <c:pt idx="142">
                  <c:v>4</c:v>
                </c:pt>
                <c:pt idx="143">
                  <c:v>-4</c:v>
                </c:pt>
                <c:pt idx="144">
                  <c:v>-4</c:v>
                </c:pt>
                <c:pt idx="145">
                  <c:v>6</c:v>
                </c:pt>
                <c:pt idx="146">
                  <c:v>-4</c:v>
                </c:pt>
                <c:pt idx="147">
                  <c:v>-6</c:v>
                </c:pt>
                <c:pt idx="148">
                  <c:v>10</c:v>
                </c:pt>
                <c:pt idx="149">
                  <c:v>-3</c:v>
                </c:pt>
                <c:pt idx="150">
                  <c:v>-2</c:v>
                </c:pt>
                <c:pt idx="151">
                  <c:v>7</c:v>
                </c:pt>
                <c:pt idx="152">
                  <c:v>1</c:v>
                </c:pt>
                <c:pt idx="153">
                  <c:v>-12</c:v>
                </c:pt>
                <c:pt idx="154">
                  <c:v>1</c:v>
                </c:pt>
                <c:pt idx="155">
                  <c:v>13</c:v>
                </c:pt>
                <c:pt idx="156">
                  <c:v>3</c:v>
                </c:pt>
                <c:pt idx="157">
                  <c:v>-15</c:v>
                </c:pt>
                <c:pt idx="158">
                  <c:v>-3</c:v>
                </c:pt>
                <c:pt idx="159">
                  <c:v>13</c:v>
                </c:pt>
                <c:pt idx="160">
                  <c:v>-4</c:v>
                </c:pt>
                <c:pt idx="161">
                  <c:v>6</c:v>
                </c:pt>
                <c:pt idx="162">
                  <c:v>-14</c:v>
                </c:pt>
                <c:pt idx="163">
                  <c:v>7</c:v>
                </c:pt>
                <c:pt idx="164">
                  <c:v>-6</c:v>
                </c:pt>
                <c:pt idx="165">
                  <c:v>5</c:v>
                </c:pt>
                <c:pt idx="166">
                  <c:v>-6</c:v>
                </c:pt>
                <c:pt idx="167">
                  <c:v>-4</c:v>
                </c:pt>
                <c:pt idx="168">
                  <c:v>6</c:v>
                </c:pt>
                <c:pt idx="169">
                  <c:v>4</c:v>
                </c:pt>
                <c:pt idx="170">
                  <c:v>-1</c:v>
                </c:pt>
                <c:pt idx="171">
                  <c:v>6</c:v>
                </c:pt>
                <c:pt idx="172">
                  <c:v>-7</c:v>
                </c:pt>
                <c:pt idx="173">
                  <c:v>9</c:v>
                </c:pt>
                <c:pt idx="174">
                  <c:v>-14</c:v>
                </c:pt>
                <c:pt idx="175">
                  <c:v>-3</c:v>
                </c:pt>
                <c:pt idx="176">
                  <c:v>12</c:v>
                </c:pt>
                <c:pt idx="177">
                  <c:v>1</c:v>
                </c:pt>
                <c:pt idx="178">
                  <c:v>-2</c:v>
                </c:pt>
                <c:pt idx="179">
                  <c:v>0</c:v>
                </c:pt>
                <c:pt idx="180">
                  <c:v>18</c:v>
                </c:pt>
                <c:pt idx="181">
                  <c:v>-16</c:v>
                </c:pt>
                <c:pt idx="182">
                  <c:v>2</c:v>
                </c:pt>
                <c:pt idx="183">
                  <c:v>-7</c:v>
                </c:pt>
                <c:pt idx="184">
                  <c:v>-1</c:v>
                </c:pt>
                <c:pt idx="185">
                  <c:v>8</c:v>
                </c:pt>
                <c:pt idx="186">
                  <c:v>-3</c:v>
                </c:pt>
                <c:pt idx="187">
                  <c:v>15</c:v>
                </c:pt>
                <c:pt idx="188">
                  <c:v>-11</c:v>
                </c:pt>
                <c:pt idx="189">
                  <c:v>5</c:v>
                </c:pt>
                <c:pt idx="190">
                  <c:v>-10</c:v>
                </c:pt>
                <c:pt idx="191">
                  <c:v>6</c:v>
                </c:pt>
                <c:pt idx="192">
                  <c:v>-21</c:v>
                </c:pt>
                <c:pt idx="193">
                  <c:v>9</c:v>
                </c:pt>
                <c:pt idx="194">
                  <c:v>9</c:v>
                </c:pt>
                <c:pt idx="195">
                  <c:v>-3</c:v>
                </c:pt>
                <c:pt idx="196">
                  <c:v>1</c:v>
                </c:pt>
                <c:pt idx="197">
                  <c:v>-6</c:v>
                </c:pt>
                <c:pt idx="198">
                  <c:v>9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-9</c:v>
                </c:pt>
                <c:pt idx="203">
                  <c:v>4</c:v>
                </c:pt>
                <c:pt idx="204">
                  <c:v>-7</c:v>
                </c:pt>
                <c:pt idx="205">
                  <c:v>1</c:v>
                </c:pt>
                <c:pt idx="206">
                  <c:v>3</c:v>
                </c:pt>
                <c:pt idx="207">
                  <c:v>6</c:v>
                </c:pt>
                <c:pt idx="208">
                  <c:v>-2</c:v>
                </c:pt>
                <c:pt idx="209">
                  <c:v>4</c:v>
                </c:pt>
                <c:pt idx="210">
                  <c:v>-11</c:v>
                </c:pt>
                <c:pt idx="211">
                  <c:v>5</c:v>
                </c:pt>
                <c:pt idx="212">
                  <c:v>9</c:v>
                </c:pt>
                <c:pt idx="213">
                  <c:v>-11</c:v>
                </c:pt>
                <c:pt idx="214">
                  <c:v>2</c:v>
                </c:pt>
                <c:pt idx="215">
                  <c:v>5</c:v>
                </c:pt>
                <c:pt idx="216">
                  <c:v>18</c:v>
                </c:pt>
                <c:pt idx="217">
                  <c:v>-19</c:v>
                </c:pt>
                <c:pt idx="218">
                  <c:v>-11</c:v>
                </c:pt>
                <c:pt idx="219">
                  <c:v>4</c:v>
                </c:pt>
                <c:pt idx="220">
                  <c:v>6</c:v>
                </c:pt>
                <c:pt idx="221">
                  <c:v>4</c:v>
                </c:pt>
                <c:pt idx="222">
                  <c:v>-2</c:v>
                </c:pt>
                <c:pt idx="223">
                  <c:v>-2</c:v>
                </c:pt>
                <c:pt idx="224">
                  <c:v>-7</c:v>
                </c:pt>
                <c:pt idx="225">
                  <c:v>2</c:v>
                </c:pt>
                <c:pt idx="226">
                  <c:v>5</c:v>
                </c:pt>
                <c:pt idx="227">
                  <c:v>1</c:v>
                </c:pt>
                <c:pt idx="228">
                  <c:v>-12</c:v>
                </c:pt>
                <c:pt idx="229">
                  <c:v>11</c:v>
                </c:pt>
                <c:pt idx="230">
                  <c:v>-6</c:v>
                </c:pt>
                <c:pt idx="231">
                  <c:v>8</c:v>
                </c:pt>
                <c:pt idx="232">
                  <c:v>0</c:v>
                </c:pt>
                <c:pt idx="233">
                  <c:v>-6</c:v>
                </c:pt>
                <c:pt idx="234">
                  <c:v>-1</c:v>
                </c:pt>
                <c:pt idx="235">
                  <c:v>5</c:v>
                </c:pt>
                <c:pt idx="236">
                  <c:v>4</c:v>
                </c:pt>
                <c:pt idx="237">
                  <c:v>2</c:v>
                </c:pt>
                <c:pt idx="238">
                  <c:v>-9</c:v>
                </c:pt>
                <c:pt idx="239">
                  <c:v>1</c:v>
                </c:pt>
                <c:pt idx="240">
                  <c:v>9</c:v>
                </c:pt>
                <c:pt idx="241">
                  <c:v>-10</c:v>
                </c:pt>
                <c:pt idx="242">
                  <c:v>3</c:v>
                </c:pt>
                <c:pt idx="243">
                  <c:v>-6</c:v>
                </c:pt>
                <c:pt idx="244">
                  <c:v>30</c:v>
                </c:pt>
                <c:pt idx="245">
                  <c:v>-28</c:v>
                </c:pt>
                <c:pt idx="246">
                  <c:v>2</c:v>
                </c:pt>
                <c:pt idx="247">
                  <c:v>9</c:v>
                </c:pt>
                <c:pt idx="248">
                  <c:v>-7</c:v>
                </c:pt>
                <c:pt idx="249">
                  <c:v>1</c:v>
                </c:pt>
                <c:pt idx="250">
                  <c:v>-9</c:v>
                </c:pt>
                <c:pt idx="251">
                  <c:v>21</c:v>
                </c:pt>
                <c:pt idx="252">
                  <c:v>-13</c:v>
                </c:pt>
                <c:pt idx="253">
                  <c:v>-2</c:v>
                </c:pt>
                <c:pt idx="254">
                  <c:v>11</c:v>
                </c:pt>
                <c:pt idx="255">
                  <c:v>-11</c:v>
                </c:pt>
                <c:pt idx="256">
                  <c:v>-8</c:v>
                </c:pt>
                <c:pt idx="257">
                  <c:v>6</c:v>
                </c:pt>
                <c:pt idx="258">
                  <c:v>16</c:v>
                </c:pt>
                <c:pt idx="259">
                  <c:v>-12</c:v>
                </c:pt>
                <c:pt idx="260">
                  <c:v>9</c:v>
                </c:pt>
                <c:pt idx="261">
                  <c:v>2</c:v>
                </c:pt>
                <c:pt idx="262">
                  <c:v>-16</c:v>
                </c:pt>
                <c:pt idx="263">
                  <c:v>20</c:v>
                </c:pt>
                <c:pt idx="264">
                  <c:v>-4</c:v>
                </c:pt>
                <c:pt idx="265">
                  <c:v>18</c:v>
                </c:pt>
                <c:pt idx="266">
                  <c:v>-18</c:v>
                </c:pt>
                <c:pt idx="267">
                  <c:v>-11</c:v>
                </c:pt>
                <c:pt idx="268">
                  <c:v>-1</c:v>
                </c:pt>
                <c:pt idx="269">
                  <c:v>-3</c:v>
                </c:pt>
                <c:pt idx="270">
                  <c:v>7</c:v>
                </c:pt>
                <c:pt idx="271">
                  <c:v>4</c:v>
                </c:pt>
                <c:pt idx="272">
                  <c:v>5</c:v>
                </c:pt>
                <c:pt idx="273">
                  <c:v>-7</c:v>
                </c:pt>
                <c:pt idx="274">
                  <c:v>5</c:v>
                </c:pt>
                <c:pt idx="275">
                  <c:v>2</c:v>
                </c:pt>
                <c:pt idx="276">
                  <c:v>-9</c:v>
                </c:pt>
                <c:pt idx="277">
                  <c:v>-3</c:v>
                </c:pt>
                <c:pt idx="278">
                  <c:v>-1</c:v>
                </c:pt>
                <c:pt idx="279">
                  <c:v>-1</c:v>
                </c:pt>
                <c:pt idx="280">
                  <c:v>3</c:v>
                </c:pt>
                <c:pt idx="281">
                  <c:v>5</c:v>
                </c:pt>
                <c:pt idx="282">
                  <c:v>-2</c:v>
                </c:pt>
                <c:pt idx="283">
                  <c:v>-5</c:v>
                </c:pt>
                <c:pt idx="284">
                  <c:v>-3</c:v>
                </c:pt>
                <c:pt idx="285">
                  <c:v>19</c:v>
                </c:pt>
                <c:pt idx="286">
                  <c:v>-18</c:v>
                </c:pt>
                <c:pt idx="287">
                  <c:v>1</c:v>
                </c:pt>
                <c:pt idx="288">
                  <c:v>9</c:v>
                </c:pt>
                <c:pt idx="289">
                  <c:v>-2</c:v>
                </c:pt>
                <c:pt idx="290">
                  <c:v>-4</c:v>
                </c:pt>
                <c:pt idx="291">
                  <c:v>-2</c:v>
                </c:pt>
                <c:pt idx="292">
                  <c:v>-1</c:v>
                </c:pt>
                <c:pt idx="293">
                  <c:v>-4</c:v>
                </c:pt>
                <c:pt idx="294">
                  <c:v>9</c:v>
                </c:pt>
                <c:pt idx="295">
                  <c:v>-9</c:v>
                </c:pt>
                <c:pt idx="296">
                  <c:v>-2</c:v>
                </c:pt>
                <c:pt idx="297">
                  <c:v>6</c:v>
                </c:pt>
                <c:pt idx="298">
                  <c:v>-7</c:v>
                </c:pt>
                <c:pt idx="299">
                  <c:v>-7</c:v>
                </c:pt>
                <c:pt idx="300">
                  <c:v>16</c:v>
                </c:pt>
                <c:pt idx="301">
                  <c:v>-8</c:v>
                </c:pt>
                <c:pt idx="302">
                  <c:v>9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-6</c:v>
                </c:pt>
                <c:pt idx="307">
                  <c:v>-1</c:v>
                </c:pt>
                <c:pt idx="308">
                  <c:v>17</c:v>
                </c:pt>
                <c:pt idx="309">
                  <c:v>-14</c:v>
                </c:pt>
                <c:pt idx="310">
                  <c:v>7</c:v>
                </c:pt>
                <c:pt idx="311">
                  <c:v>-6</c:v>
                </c:pt>
                <c:pt idx="312">
                  <c:v>-4</c:v>
                </c:pt>
                <c:pt idx="313">
                  <c:v>-2</c:v>
                </c:pt>
                <c:pt idx="314">
                  <c:v>0</c:v>
                </c:pt>
                <c:pt idx="315">
                  <c:v>5</c:v>
                </c:pt>
                <c:pt idx="316">
                  <c:v>-10</c:v>
                </c:pt>
                <c:pt idx="317">
                  <c:v>0</c:v>
                </c:pt>
                <c:pt idx="318">
                  <c:v>5</c:v>
                </c:pt>
                <c:pt idx="319">
                  <c:v>-1</c:v>
                </c:pt>
                <c:pt idx="320">
                  <c:v>-6</c:v>
                </c:pt>
                <c:pt idx="321">
                  <c:v>9</c:v>
                </c:pt>
                <c:pt idx="322">
                  <c:v>5</c:v>
                </c:pt>
                <c:pt idx="323">
                  <c:v>4</c:v>
                </c:pt>
                <c:pt idx="324">
                  <c:v>-7</c:v>
                </c:pt>
                <c:pt idx="325">
                  <c:v>-4</c:v>
                </c:pt>
                <c:pt idx="326">
                  <c:v>17</c:v>
                </c:pt>
                <c:pt idx="327">
                  <c:v>-8</c:v>
                </c:pt>
                <c:pt idx="328">
                  <c:v>-4</c:v>
                </c:pt>
                <c:pt idx="329">
                  <c:v>4</c:v>
                </c:pt>
                <c:pt idx="330">
                  <c:v>2</c:v>
                </c:pt>
                <c:pt idx="331">
                  <c:v>-5</c:v>
                </c:pt>
                <c:pt idx="332">
                  <c:v>-2</c:v>
                </c:pt>
                <c:pt idx="333">
                  <c:v>8</c:v>
                </c:pt>
                <c:pt idx="334">
                  <c:v>-7</c:v>
                </c:pt>
                <c:pt idx="335">
                  <c:v>-13</c:v>
                </c:pt>
                <c:pt idx="336">
                  <c:v>14</c:v>
                </c:pt>
                <c:pt idx="337">
                  <c:v>-5</c:v>
                </c:pt>
                <c:pt idx="338">
                  <c:v>-7</c:v>
                </c:pt>
                <c:pt idx="339">
                  <c:v>-1</c:v>
                </c:pt>
                <c:pt idx="340">
                  <c:v>3</c:v>
                </c:pt>
                <c:pt idx="341">
                  <c:v>13</c:v>
                </c:pt>
                <c:pt idx="342">
                  <c:v>-6</c:v>
                </c:pt>
                <c:pt idx="343">
                  <c:v>0</c:v>
                </c:pt>
                <c:pt idx="344">
                  <c:v>-9</c:v>
                </c:pt>
                <c:pt idx="345">
                  <c:v>5</c:v>
                </c:pt>
                <c:pt idx="346">
                  <c:v>-4</c:v>
                </c:pt>
                <c:pt idx="347">
                  <c:v>17</c:v>
                </c:pt>
                <c:pt idx="348">
                  <c:v>-5</c:v>
                </c:pt>
                <c:pt idx="349">
                  <c:v>5</c:v>
                </c:pt>
                <c:pt idx="350">
                  <c:v>-13</c:v>
                </c:pt>
                <c:pt idx="351">
                  <c:v>1</c:v>
                </c:pt>
                <c:pt idx="352">
                  <c:v>2</c:v>
                </c:pt>
                <c:pt idx="353">
                  <c:v>0</c:v>
                </c:pt>
                <c:pt idx="354">
                  <c:v>11</c:v>
                </c:pt>
                <c:pt idx="355">
                  <c:v>-14</c:v>
                </c:pt>
                <c:pt idx="356">
                  <c:v>1</c:v>
                </c:pt>
                <c:pt idx="357">
                  <c:v>-2</c:v>
                </c:pt>
                <c:pt idx="358">
                  <c:v>6</c:v>
                </c:pt>
                <c:pt idx="359">
                  <c:v>-10</c:v>
                </c:pt>
                <c:pt idx="360">
                  <c:v>3</c:v>
                </c:pt>
                <c:pt idx="361">
                  <c:v>15</c:v>
                </c:pt>
                <c:pt idx="362">
                  <c:v>-4</c:v>
                </c:pt>
                <c:pt idx="363">
                  <c:v>7</c:v>
                </c:pt>
                <c:pt idx="364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C-4ED6-A3A9-1CABCA243A8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Naive!$A$2:$A$366</c:f>
              <c:numCache>
                <c:formatCode>d/m/yyyy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Naive!$E$2:$E$366</c:f>
              <c:numCache>
                <c:formatCode>General</c:formatCode>
                <c:ptCount val="365"/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15</c:v>
                </c:pt>
                <c:pt idx="6">
                  <c:v>16</c:v>
                </c:pt>
                <c:pt idx="7">
                  <c:v>2</c:v>
                </c:pt>
                <c:pt idx="8">
                  <c:v>5</c:v>
                </c:pt>
                <c:pt idx="9">
                  <c:v>11</c:v>
                </c:pt>
                <c:pt idx="10">
                  <c:v>11</c:v>
                </c:pt>
                <c:pt idx="11">
                  <c:v>5</c:v>
                </c:pt>
                <c:pt idx="12">
                  <c:v>22</c:v>
                </c:pt>
                <c:pt idx="13">
                  <c:v>8</c:v>
                </c:pt>
                <c:pt idx="14">
                  <c:v>2</c:v>
                </c:pt>
                <c:pt idx="15">
                  <c:v>8</c:v>
                </c:pt>
                <c:pt idx="16">
                  <c:v>13</c:v>
                </c:pt>
                <c:pt idx="17">
                  <c:v>7</c:v>
                </c:pt>
                <c:pt idx="18">
                  <c:v>2</c:v>
                </c:pt>
                <c:pt idx="19">
                  <c:v>11</c:v>
                </c:pt>
                <c:pt idx="20">
                  <c:v>18</c:v>
                </c:pt>
                <c:pt idx="21">
                  <c:v>19</c:v>
                </c:pt>
                <c:pt idx="22">
                  <c:v>14</c:v>
                </c:pt>
                <c:pt idx="23">
                  <c:v>7</c:v>
                </c:pt>
                <c:pt idx="24">
                  <c:v>5</c:v>
                </c:pt>
                <c:pt idx="25">
                  <c:v>6</c:v>
                </c:pt>
                <c:pt idx="26">
                  <c:v>4</c:v>
                </c:pt>
                <c:pt idx="27">
                  <c:v>4</c:v>
                </c:pt>
                <c:pt idx="28">
                  <c:v>9</c:v>
                </c:pt>
                <c:pt idx="29">
                  <c:v>6</c:v>
                </c:pt>
                <c:pt idx="30">
                  <c:v>14</c:v>
                </c:pt>
                <c:pt idx="31">
                  <c:v>1</c:v>
                </c:pt>
                <c:pt idx="32">
                  <c:v>8</c:v>
                </c:pt>
                <c:pt idx="33">
                  <c:v>13</c:v>
                </c:pt>
                <c:pt idx="34">
                  <c:v>6</c:v>
                </c:pt>
                <c:pt idx="35">
                  <c:v>12</c:v>
                </c:pt>
                <c:pt idx="36">
                  <c:v>12</c:v>
                </c:pt>
                <c:pt idx="37">
                  <c:v>13</c:v>
                </c:pt>
                <c:pt idx="38">
                  <c:v>20</c:v>
                </c:pt>
                <c:pt idx="39">
                  <c:v>0</c:v>
                </c:pt>
                <c:pt idx="40">
                  <c:v>20</c:v>
                </c:pt>
                <c:pt idx="41">
                  <c:v>15</c:v>
                </c:pt>
                <c:pt idx="42">
                  <c:v>9</c:v>
                </c:pt>
                <c:pt idx="43">
                  <c:v>6</c:v>
                </c:pt>
                <c:pt idx="44">
                  <c:v>17</c:v>
                </c:pt>
                <c:pt idx="45">
                  <c:v>18</c:v>
                </c:pt>
                <c:pt idx="46">
                  <c:v>5</c:v>
                </c:pt>
                <c:pt idx="47">
                  <c:v>2</c:v>
                </c:pt>
                <c:pt idx="48">
                  <c:v>1</c:v>
                </c:pt>
                <c:pt idx="49">
                  <c:v>7</c:v>
                </c:pt>
                <c:pt idx="50">
                  <c:v>9</c:v>
                </c:pt>
                <c:pt idx="51">
                  <c:v>11</c:v>
                </c:pt>
                <c:pt idx="52">
                  <c:v>2</c:v>
                </c:pt>
                <c:pt idx="53">
                  <c:v>17</c:v>
                </c:pt>
                <c:pt idx="54">
                  <c:v>10</c:v>
                </c:pt>
                <c:pt idx="55">
                  <c:v>3</c:v>
                </c:pt>
                <c:pt idx="56">
                  <c:v>6</c:v>
                </c:pt>
                <c:pt idx="57">
                  <c:v>2</c:v>
                </c:pt>
                <c:pt idx="58">
                  <c:v>7</c:v>
                </c:pt>
                <c:pt idx="59">
                  <c:v>5</c:v>
                </c:pt>
                <c:pt idx="60">
                  <c:v>7</c:v>
                </c:pt>
                <c:pt idx="61">
                  <c:v>17</c:v>
                </c:pt>
                <c:pt idx="62">
                  <c:v>11</c:v>
                </c:pt>
                <c:pt idx="63">
                  <c:v>2</c:v>
                </c:pt>
                <c:pt idx="64">
                  <c:v>14</c:v>
                </c:pt>
                <c:pt idx="65">
                  <c:v>6</c:v>
                </c:pt>
                <c:pt idx="66">
                  <c:v>5</c:v>
                </c:pt>
                <c:pt idx="67">
                  <c:v>7</c:v>
                </c:pt>
                <c:pt idx="68">
                  <c:v>7</c:v>
                </c:pt>
                <c:pt idx="69">
                  <c:v>6</c:v>
                </c:pt>
                <c:pt idx="70">
                  <c:v>2</c:v>
                </c:pt>
                <c:pt idx="71">
                  <c:v>4</c:v>
                </c:pt>
                <c:pt idx="72">
                  <c:v>8</c:v>
                </c:pt>
                <c:pt idx="73">
                  <c:v>4</c:v>
                </c:pt>
                <c:pt idx="74">
                  <c:v>3</c:v>
                </c:pt>
                <c:pt idx="75">
                  <c:v>12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9</c:v>
                </c:pt>
                <c:pt idx="80">
                  <c:v>1</c:v>
                </c:pt>
                <c:pt idx="81">
                  <c:v>3</c:v>
                </c:pt>
                <c:pt idx="82">
                  <c:v>5</c:v>
                </c:pt>
                <c:pt idx="83">
                  <c:v>4</c:v>
                </c:pt>
                <c:pt idx="84">
                  <c:v>1</c:v>
                </c:pt>
                <c:pt idx="85">
                  <c:v>21</c:v>
                </c:pt>
                <c:pt idx="86">
                  <c:v>20</c:v>
                </c:pt>
                <c:pt idx="87">
                  <c:v>4</c:v>
                </c:pt>
                <c:pt idx="88">
                  <c:v>18</c:v>
                </c:pt>
                <c:pt idx="89">
                  <c:v>9</c:v>
                </c:pt>
                <c:pt idx="90">
                  <c:v>2</c:v>
                </c:pt>
                <c:pt idx="91">
                  <c:v>2</c:v>
                </c:pt>
                <c:pt idx="92">
                  <c:v>6</c:v>
                </c:pt>
                <c:pt idx="93">
                  <c:v>13</c:v>
                </c:pt>
                <c:pt idx="94">
                  <c:v>2</c:v>
                </c:pt>
                <c:pt idx="95">
                  <c:v>3</c:v>
                </c:pt>
                <c:pt idx="96">
                  <c:v>2</c:v>
                </c:pt>
                <c:pt idx="97">
                  <c:v>3</c:v>
                </c:pt>
                <c:pt idx="98">
                  <c:v>0</c:v>
                </c:pt>
                <c:pt idx="99">
                  <c:v>4</c:v>
                </c:pt>
                <c:pt idx="100">
                  <c:v>19</c:v>
                </c:pt>
                <c:pt idx="101">
                  <c:v>19</c:v>
                </c:pt>
                <c:pt idx="102">
                  <c:v>0</c:v>
                </c:pt>
                <c:pt idx="103">
                  <c:v>4</c:v>
                </c:pt>
                <c:pt idx="104">
                  <c:v>3</c:v>
                </c:pt>
                <c:pt idx="105">
                  <c:v>3</c:v>
                </c:pt>
                <c:pt idx="106">
                  <c:v>10</c:v>
                </c:pt>
                <c:pt idx="107">
                  <c:v>8</c:v>
                </c:pt>
                <c:pt idx="108">
                  <c:v>12</c:v>
                </c:pt>
                <c:pt idx="109">
                  <c:v>16</c:v>
                </c:pt>
                <c:pt idx="110">
                  <c:v>16</c:v>
                </c:pt>
                <c:pt idx="111">
                  <c:v>1</c:v>
                </c:pt>
                <c:pt idx="112">
                  <c:v>9</c:v>
                </c:pt>
                <c:pt idx="113">
                  <c:v>20</c:v>
                </c:pt>
                <c:pt idx="114">
                  <c:v>3</c:v>
                </c:pt>
                <c:pt idx="115">
                  <c:v>2</c:v>
                </c:pt>
                <c:pt idx="116">
                  <c:v>5</c:v>
                </c:pt>
                <c:pt idx="117">
                  <c:v>2</c:v>
                </c:pt>
                <c:pt idx="118">
                  <c:v>16</c:v>
                </c:pt>
                <c:pt idx="119">
                  <c:v>7</c:v>
                </c:pt>
                <c:pt idx="120">
                  <c:v>19</c:v>
                </c:pt>
                <c:pt idx="121">
                  <c:v>3</c:v>
                </c:pt>
                <c:pt idx="122">
                  <c:v>3</c:v>
                </c:pt>
                <c:pt idx="123">
                  <c:v>5</c:v>
                </c:pt>
                <c:pt idx="124">
                  <c:v>6</c:v>
                </c:pt>
                <c:pt idx="125">
                  <c:v>8</c:v>
                </c:pt>
                <c:pt idx="126">
                  <c:v>9</c:v>
                </c:pt>
                <c:pt idx="127">
                  <c:v>14</c:v>
                </c:pt>
                <c:pt idx="128">
                  <c:v>22</c:v>
                </c:pt>
                <c:pt idx="129">
                  <c:v>4</c:v>
                </c:pt>
                <c:pt idx="130">
                  <c:v>6</c:v>
                </c:pt>
                <c:pt idx="131">
                  <c:v>5</c:v>
                </c:pt>
                <c:pt idx="132">
                  <c:v>7</c:v>
                </c:pt>
                <c:pt idx="133">
                  <c:v>1</c:v>
                </c:pt>
                <c:pt idx="134">
                  <c:v>1</c:v>
                </c:pt>
                <c:pt idx="135">
                  <c:v>4</c:v>
                </c:pt>
                <c:pt idx="136">
                  <c:v>14</c:v>
                </c:pt>
                <c:pt idx="137">
                  <c:v>10</c:v>
                </c:pt>
                <c:pt idx="138">
                  <c:v>9</c:v>
                </c:pt>
                <c:pt idx="139">
                  <c:v>7</c:v>
                </c:pt>
                <c:pt idx="140">
                  <c:v>19</c:v>
                </c:pt>
                <c:pt idx="141">
                  <c:v>14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6</c:v>
                </c:pt>
                <c:pt idx="146">
                  <c:v>4</c:v>
                </c:pt>
                <c:pt idx="147">
                  <c:v>6</c:v>
                </c:pt>
                <c:pt idx="148">
                  <c:v>10</c:v>
                </c:pt>
                <c:pt idx="149">
                  <c:v>3</c:v>
                </c:pt>
                <c:pt idx="150">
                  <c:v>2</c:v>
                </c:pt>
                <c:pt idx="151">
                  <c:v>7</c:v>
                </c:pt>
                <c:pt idx="152">
                  <c:v>1</c:v>
                </c:pt>
                <c:pt idx="153">
                  <c:v>12</c:v>
                </c:pt>
                <c:pt idx="154">
                  <c:v>1</c:v>
                </c:pt>
                <c:pt idx="155">
                  <c:v>13</c:v>
                </c:pt>
                <c:pt idx="156">
                  <c:v>3</c:v>
                </c:pt>
                <c:pt idx="157">
                  <c:v>15</c:v>
                </c:pt>
                <c:pt idx="158">
                  <c:v>3</c:v>
                </c:pt>
                <c:pt idx="159">
                  <c:v>13</c:v>
                </c:pt>
                <c:pt idx="160">
                  <c:v>4</c:v>
                </c:pt>
                <c:pt idx="161">
                  <c:v>6</c:v>
                </c:pt>
                <c:pt idx="162">
                  <c:v>14</c:v>
                </c:pt>
                <c:pt idx="163">
                  <c:v>7</c:v>
                </c:pt>
                <c:pt idx="164">
                  <c:v>6</c:v>
                </c:pt>
                <c:pt idx="165">
                  <c:v>5</c:v>
                </c:pt>
                <c:pt idx="166">
                  <c:v>6</c:v>
                </c:pt>
                <c:pt idx="167">
                  <c:v>4</c:v>
                </c:pt>
                <c:pt idx="168">
                  <c:v>6</c:v>
                </c:pt>
                <c:pt idx="169">
                  <c:v>4</c:v>
                </c:pt>
                <c:pt idx="170">
                  <c:v>1</c:v>
                </c:pt>
                <c:pt idx="171">
                  <c:v>6</c:v>
                </c:pt>
                <c:pt idx="172">
                  <c:v>7</c:v>
                </c:pt>
                <c:pt idx="173">
                  <c:v>9</c:v>
                </c:pt>
                <c:pt idx="174">
                  <c:v>14</c:v>
                </c:pt>
                <c:pt idx="175">
                  <c:v>3</c:v>
                </c:pt>
                <c:pt idx="176">
                  <c:v>12</c:v>
                </c:pt>
                <c:pt idx="177">
                  <c:v>1</c:v>
                </c:pt>
                <c:pt idx="178">
                  <c:v>2</c:v>
                </c:pt>
                <c:pt idx="179">
                  <c:v>0</c:v>
                </c:pt>
                <c:pt idx="180">
                  <c:v>18</c:v>
                </c:pt>
                <c:pt idx="181">
                  <c:v>16</c:v>
                </c:pt>
                <c:pt idx="182">
                  <c:v>2</c:v>
                </c:pt>
                <c:pt idx="183">
                  <c:v>7</c:v>
                </c:pt>
                <c:pt idx="184">
                  <c:v>1</c:v>
                </c:pt>
                <c:pt idx="185">
                  <c:v>8</c:v>
                </c:pt>
                <c:pt idx="186">
                  <c:v>3</c:v>
                </c:pt>
                <c:pt idx="187">
                  <c:v>15</c:v>
                </c:pt>
                <c:pt idx="188">
                  <c:v>11</c:v>
                </c:pt>
                <c:pt idx="189">
                  <c:v>5</c:v>
                </c:pt>
                <c:pt idx="190">
                  <c:v>10</c:v>
                </c:pt>
                <c:pt idx="191">
                  <c:v>6</c:v>
                </c:pt>
                <c:pt idx="192">
                  <c:v>21</c:v>
                </c:pt>
                <c:pt idx="193">
                  <c:v>9</c:v>
                </c:pt>
                <c:pt idx="194">
                  <c:v>9</c:v>
                </c:pt>
                <c:pt idx="195">
                  <c:v>3</c:v>
                </c:pt>
                <c:pt idx="196">
                  <c:v>1</c:v>
                </c:pt>
                <c:pt idx="197">
                  <c:v>6</c:v>
                </c:pt>
                <c:pt idx="198">
                  <c:v>9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9</c:v>
                </c:pt>
                <c:pt idx="203">
                  <c:v>4</c:v>
                </c:pt>
                <c:pt idx="204">
                  <c:v>7</c:v>
                </c:pt>
                <c:pt idx="205">
                  <c:v>1</c:v>
                </c:pt>
                <c:pt idx="206">
                  <c:v>3</c:v>
                </c:pt>
                <c:pt idx="207">
                  <c:v>6</c:v>
                </c:pt>
                <c:pt idx="208">
                  <c:v>2</c:v>
                </c:pt>
                <c:pt idx="209">
                  <c:v>4</c:v>
                </c:pt>
                <c:pt idx="210">
                  <c:v>11</c:v>
                </c:pt>
                <c:pt idx="211">
                  <c:v>5</c:v>
                </c:pt>
                <c:pt idx="212">
                  <c:v>9</c:v>
                </c:pt>
                <c:pt idx="213">
                  <c:v>11</c:v>
                </c:pt>
                <c:pt idx="214">
                  <c:v>2</c:v>
                </c:pt>
                <c:pt idx="215">
                  <c:v>5</c:v>
                </c:pt>
                <c:pt idx="216">
                  <c:v>18</c:v>
                </c:pt>
                <c:pt idx="217">
                  <c:v>19</c:v>
                </c:pt>
                <c:pt idx="218">
                  <c:v>11</c:v>
                </c:pt>
                <c:pt idx="219">
                  <c:v>4</c:v>
                </c:pt>
                <c:pt idx="220">
                  <c:v>6</c:v>
                </c:pt>
                <c:pt idx="221">
                  <c:v>4</c:v>
                </c:pt>
                <c:pt idx="222">
                  <c:v>2</c:v>
                </c:pt>
                <c:pt idx="223">
                  <c:v>2</c:v>
                </c:pt>
                <c:pt idx="224">
                  <c:v>7</c:v>
                </c:pt>
                <c:pt idx="225">
                  <c:v>2</c:v>
                </c:pt>
                <c:pt idx="226">
                  <c:v>5</c:v>
                </c:pt>
                <c:pt idx="227">
                  <c:v>1</c:v>
                </c:pt>
                <c:pt idx="228">
                  <c:v>12</c:v>
                </c:pt>
                <c:pt idx="229">
                  <c:v>11</c:v>
                </c:pt>
                <c:pt idx="230">
                  <c:v>6</c:v>
                </c:pt>
                <c:pt idx="231">
                  <c:v>8</c:v>
                </c:pt>
                <c:pt idx="232">
                  <c:v>0</c:v>
                </c:pt>
                <c:pt idx="233">
                  <c:v>6</c:v>
                </c:pt>
                <c:pt idx="234">
                  <c:v>1</c:v>
                </c:pt>
                <c:pt idx="235">
                  <c:v>5</c:v>
                </c:pt>
                <c:pt idx="236">
                  <c:v>4</c:v>
                </c:pt>
                <c:pt idx="237">
                  <c:v>2</c:v>
                </c:pt>
                <c:pt idx="238">
                  <c:v>9</c:v>
                </c:pt>
                <c:pt idx="239">
                  <c:v>1</c:v>
                </c:pt>
                <c:pt idx="240">
                  <c:v>9</c:v>
                </c:pt>
                <c:pt idx="241">
                  <c:v>10</c:v>
                </c:pt>
                <c:pt idx="242">
                  <c:v>3</c:v>
                </c:pt>
                <c:pt idx="243">
                  <c:v>6</c:v>
                </c:pt>
                <c:pt idx="244">
                  <c:v>30</c:v>
                </c:pt>
                <c:pt idx="245">
                  <c:v>28</c:v>
                </c:pt>
                <c:pt idx="246">
                  <c:v>2</c:v>
                </c:pt>
                <c:pt idx="247">
                  <c:v>9</c:v>
                </c:pt>
                <c:pt idx="248">
                  <c:v>7</c:v>
                </c:pt>
                <c:pt idx="249">
                  <c:v>1</c:v>
                </c:pt>
                <c:pt idx="250">
                  <c:v>9</c:v>
                </c:pt>
                <c:pt idx="251">
                  <c:v>21</c:v>
                </c:pt>
                <c:pt idx="252">
                  <c:v>13</c:v>
                </c:pt>
                <c:pt idx="253">
                  <c:v>2</c:v>
                </c:pt>
                <c:pt idx="254">
                  <c:v>11</c:v>
                </c:pt>
                <c:pt idx="255">
                  <c:v>11</c:v>
                </c:pt>
                <c:pt idx="256">
                  <c:v>8</c:v>
                </c:pt>
                <c:pt idx="257">
                  <c:v>6</c:v>
                </c:pt>
                <c:pt idx="258">
                  <c:v>16</c:v>
                </c:pt>
                <c:pt idx="259">
                  <c:v>12</c:v>
                </c:pt>
                <c:pt idx="260">
                  <c:v>9</c:v>
                </c:pt>
                <c:pt idx="261">
                  <c:v>2</c:v>
                </c:pt>
                <c:pt idx="262">
                  <c:v>16</c:v>
                </c:pt>
                <c:pt idx="263">
                  <c:v>20</c:v>
                </c:pt>
                <c:pt idx="264">
                  <c:v>4</c:v>
                </c:pt>
                <c:pt idx="265">
                  <c:v>18</c:v>
                </c:pt>
                <c:pt idx="266">
                  <c:v>18</c:v>
                </c:pt>
                <c:pt idx="267">
                  <c:v>11</c:v>
                </c:pt>
                <c:pt idx="268">
                  <c:v>1</c:v>
                </c:pt>
                <c:pt idx="269">
                  <c:v>3</c:v>
                </c:pt>
                <c:pt idx="270">
                  <c:v>7</c:v>
                </c:pt>
                <c:pt idx="271">
                  <c:v>4</c:v>
                </c:pt>
                <c:pt idx="272">
                  <c:v>5</c:v>
                </c:pt>
                <c:pt idx="273">
                  <c:v>7</c:v>
                </c:pt>
                <c:pt idx="274">
                  <c:v>5</c:v>
                </c:pt>
                <c:pt idx="275">
                  <c:v>2</c:v>
                </c:pt>
                <c:pt idx="276">
                  <c:v>9</c:v>
                </c:pt>
                <c:pt idx="277">
                  <c:v>3</c:v>
                </c:pt>
                <c:pt idx="278">
                  <c:v>1</c:v>
                </c:pt>
                <c:pt idx="279">
                  <c:v>1</c:v>
                </c:pt>
                <c:pt idx="280">
                  <c:v>3</c:v>
                </c:pt>
                <c:pt idx="281">
                  <c:v>5</c:v>
                </c:pt>
                <c:pt idx="282">
                  <c:v>2</c:v>
                </c:pt>
                <c:pt idx="283">
                  <c:v>5</c:v>
                </c:pt>
                <c:pt idx="284">
                  <c:v>3</c:v>
                </c:pt>
                <c:pt idx="285">
                  <c:v>19</c:v>
                </c:pt>
                <c:pt idx="286">
                  <c:v>18</c:v>
                </c:pt>
                <c:pt idx="287">
                  <c:v>1</c:v>
                </c:pt>
                <c:pt idx="288">
                  <c:v>9</c:v>
                </c:pt>
                <c:pt idx="289">
                  <c:v>2</c:v>
                </c:pt>
                <c:pt idx="290">
                  <c:v>4</c:v>
                </c:pt>
                <c:pt idx="291">
                  <c:v>2</c:v>
                </c:pt>
                <c:pt idx="292">
                  <c:v>1</c:v>
                </c:pt>
                <c:pt idx="293">
                  <c:v>4</c:v>
                </c:pt>
                <c:pt idx="294">
                  <c:v>9</c:v>
                </c:pt>
                <c:pt idx="295">
                  <c:v>9</c:v>
                </c:pt>
                <c:pt idx="296">
                  <c:v>2</c:v>
                </c:pt>
                <c:pt idx="297">
                  <c:v>6</c:v>
                </c:pt>
                <c:pt idx="298">
                  <c:v>7</c:v>
                </c:pt>
                <c:pt idx="299">
                  <c:v>7</c:v>
                </c:pt>
                <c:pt idx="300">
                  <c:v>16</c:v>
                </c:pt>
                <c:pt idx="301">
                  <c:v>8</c:v>
                </c:pt>
                <c:pt idx="302">
                  <c:v>9</c:v>
                </c:pt>
                <c:pt idx="303">
                  <c:v>1</c:v>
                </c:pt>
                <c:pt idx="304">
                  <c:v>2</c:v>
                </c:pt>
                <c:pt idx="305">
                  <c:v>1</c:v>
                </c:pt>
                <c:pt idx="306">
                  <c:v>6</c:v>
                </c:pt>
                <c:pt idx="307">
                  <c:v>1</c:v>
                </c:pt>
                <c:pt idx="308">
                  <c:v>17</c:v>
                </c:pt>
                <c:pt idx="309">
                  <c:v>14</c:v>
                </c:pt>
                <c:pt idx="310">
                  <c:v>7</c:v>
                </c:pt>
                <c:pt idx="311">
                  <c:v>6</c:v>
                </c:pt>
                <c:pt idx="312">
                  <c:v>4</c:v>
                </c:pt>
                <c:pt idx="313">
                  <c:v>2</c:v>
                </c:pt>
                <c:pt idx="314">
                  <c:v>0</c:v>
                </c:pt>
                <c:pt idx="315">
                  <c:v>5</c:v>
                </c:pt>
                <c:pt idx="316">
                  <c:v>10</c:v>
                </c:pt>
                <c:pt idx="317">
                  <c:v>0</c:v>
                </c:pt>
                <c:pt idx="318">
                  <c:v>5</c:v>
                </c:pt>
                <c:pt idx="319">
                  <c:v>1</c:v>
                </c:pt>
                <c:pt idx="320">
                  <c:v>6</c:v>
                </c:pt>
                <c:pt idx="321">
                  <c:v>9</c:v>
                </c:pt>
                <c:pt idx="322">
                  <c:v>5</c:v>
                </c:pt>
                <c:pt idx="323">
                  <c:v>4</c:v>
                </c:pt>
                <c:pt idx="324">
                  <c:v>7</c:v>
                </c:pt>
                <c:pt idx="325">
                  <c:v>4</c:v>
                </c:pt>
                <c:pt idx="326">
                  <c:v>17</c:v>
                </c:pt>
                <c:pt idx="327">
                  <c:v>8</c:v>
                </c:pt>
                <c:pt idx="328">
                  <c:v>4</c:v>
                </c:pt>
                <c:pt idx="329">
                  <c:v>4</c:v>
                </c:pt>
                <c:pt idx="330">
                  <c:v>2</c:v>
                </c:pt>
                <c:pt idx="331">
                  <c:v>5</c:v>
                </c:pt>
                <c:pt idx="332">
                  <c:v>2</c:v>
                </c:pt>
                <c:pt idx="333">
                  <c:v>8</c:v>
                </c:pt>
                <c:pt idx="334">
                  <c:v>7</c:v>
                </c:pt>
                <c:pt idx="335">
                  <c:v>13</c:v>
                </c:pt>
                <c:pt idx="336">
                  <c:v>14</c:v>
                </c:pt>
                <c:pt idx="337">
                  <c:v>5</c:v>
                </c:pt>
                <c:pt idx="338">
                  <c:v>7</c:v>
                </c:pt>
                <c:pt idx="339">
                  <c:v>1</c:v>
                </c:pt>
                <c:pt idx="340">
                  <c:v>3</c:v>
                </c:pt>
                <c:pt idx="341">
                  <c:v>13</c:v>
                </c:pt>
                <c:pt idx="342">
                  <c:v>6</c:v>
                </c:pt>
                <c:pt idx="343">
                  <c:v>0</c:v>
                </c:pt>
                <c:pt idx="344">
                  <c:v>9</c:v>
                </c:pt>
                <c:pt idx="345">
                  <c:v>5</c:v>
                </c:pt>
                <c:pt idx="346">
                  <c:v>4</c:v>
                </c:pt>
                <c:pt idx="347">
                  <c:v>17</c:v>
                </c:pt>
                <c:pt idx="348">
                  <c:v>5</c:v>
                </c:pt>
                <c:pt idx="349">
                  <c:v>5</c:v>
                </c:pt>
                <c:pt idx="350">
                  <c:v>13</c:v>
                </c:pt>
                <c:pt idx="351">
                  <c:v>1</c:v>
                </c:pt>
                <c:pt idx="352">
                  <c:v>2</c:v>
                </c:pt>
                <c:pt idx="353">
                  <c:v>0</c:v>
                </c:pt>
                <c:pt idx="354">
                  <c:v>11</c:v>
                </c:pt>
                <c:pt idx="355">
                  <c:v>14</c:v>
                </c:pt>
                <c:pt idx="356">
                  <c:v>1</c:v>
                </c:pt>
                <c:pt idx="357">
                  <c:v>2</c:v>
                </c:pt>
                <c:pt idx="358">
                  <c:v>6</c:v>
                </c:pt>
                <c:pt idx="359">
                  <c:v>10</c:v>
                </c:pt>
                <c:pt idx="360">
                  <c:v>3</c:v>
                </c:pt>
                <c:pt idx="361">
                  <c:v>15</c:v>
                </c:pt>
                <c:pt idx="362">
                  <c:v>4</c:v>
                </c:pt>
                <c:pt idx="363">
                  <c:v>7</c:v>
                </c:pt>
                <c:pt idx="36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4C-4ED6-A3A9-1CABCA243A8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Naive!$A$2:$A$366</c:f>
              <c:numCache>
                <c:formatCode>d/m/yyyy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Naive!$F$2:$F$366</c:f>
              <c:numCache>
                <c:formatCode>General</c:formatCode>
                <c:ptCount val="365"/>
                <c:pt idx="1">
                  <c:v>9</c:v>
                </c:pt>
                <c:pt idx="2">
                  <c:v>4</c:v>
                </c:pt>
                <c:pt idx="3">
                  <c:v>1</c:v>
                </c:pt>
                <c:pt idx="4">
                  <c:v>169</c:v>
                </c:pt>
                <c:pt idx="5">
                  <c:v>225</c:v>
                </c:pt>
                <c:pt idx="6">
                  <c:v>256</c:v>
                </c:pt>
                <c:pt idx="7">
                  <c:v>4</c:v>
                </c:pt>
                <c:pt idx="8">
                  <c:v>25</c:v>
                </c:pt>
                <c:pt idx="9">
                  <c:v>121</c:v>
                </c:pt>
                <c:pt idx="10">
                  <c:v>121</c:v>
                </c:pt>
                <c:pt idx="11">
                  <c:v>25</c:v>
                </c:pt>
                <c:pt idx="12">
                  <c:v>484</c:v>
                </c:pt>
                <c:pt idx="13">
                  <c:v>64</c:v>
                </c:pt>
                <c:pt idx="14">
                  <c:v>4</c:v>
                </c:pt>
                <c:pt idx="15">
                  <c:v>64</c:v>
                </c:pt>
                <c:pt idx="16">
                  <c:v>169</c:v>
                </c:pt>
                <c:pt idx="17">
                  <c:v>49</c:v>
                </c:pt>
                <c:pt idx="18">
                  <c:v>4</c:v>
                </c:pt>
                <c:pt idx="19">
                  <c:v>121</c:v>
                </c:pt>
                <c:pt idx="20">
                  <c:v>324</c:v>
                </c:pt>
                <c:pt idx="21">
                  <c:v>361</c:v>
                </c:pt>
                <c:pt idx="22">
                  <c:v>196</c:v>
                </c:pt>
                <c:pt idx="23">
                  <c:v>49</c:v>
                </c:pt>
                <c:pt idx="24">
                  <c:v>25</c:v>
                </c:pt>
                <c:pt idx="25">
                  <c:v>36</c:v>
                </c:pt>
                <c:pt idx="26">
                  <c:v>16</c:v>
                </c:pt>
                <c:pt idx="27">
                  <c:v>16</c:v>
                </c:pt>
                <c:pt idx="28">
                  <c:v>81</c:v>
                </c:pt>
                <c:pt idx="29">
                  <c:v>36</c:v>
                </c:pt>
                <c:pt idx="30">
                  <c:v>196</c:v>
                </c:pt>
                <c:pt idx="31">
                  <c:v>1</c:v>
                </c:pt>
                <c:pt idx="32">
                  <c:v>64</c:v>
                </c:pt>
                <c:pt idx="33">
                  <c:v>169</c:v>
                </c:pt>
                <c:pt idx="34">
                  <c:v>36</c:v>
                </c:pt>
                <c:pt idx="35">
                  <c:v>144</c:v>
                </c:pt>
                <c:pt idx="36">
                  <c:v>144</c:v>
                </c:pt>
                <c:pt idx="37">
                  <c:v>169</c:v>
                </c:pt>
                <c:pt idx="38">
                  <c:v>400</c:v>
                </c:pt>
                <c:pt idx="39">
                  <c:v>0</c:v>
                </c:pt>
                <c:pt idx="40">
                  <c:v>400</c:v>
                </c:pt>
                <c:pt idx="41">
                  <c:v>225</c:v>
                </c:pt>
                <c:pt idx="42">
                  <c:v>81</c:v>
                </c:pt>
                <c:pt idx="43">
                  <c:v>36</c:v>
                </c:pt>
                <c:pt idx="44">
                  <c:v>289</c:v>
                </c:pt>
                <c:pt idx="45">
                  <c:v>324</c:v>
                </c:pt>
                <c:pt idx="46">
                  <c:v>25</c:v>
                </c:pt>
                <c:pt idx="47">
                  <c:v>4</c:v>
                </c:pt>
                <c:pt idx="48">
                  <c:v>1</c:v>
                </c:pt>
                <c:pt idx="49">
                  <c:v>49</c:v>
                </c:pt>
                <c:pt idx="50">
                  <c:v>81</c:v>
                </c:pt>
                <c:pt idx="51">
                  <c:v>121</c:v>
                </c:pt>
                <c:pt idx="52">
                  <c:v>4</c:v>
                </c:pt>
                <c:pt idx="53">
                  <c:v>289</c:v>
                </c:pt>
                <c:pt idx="54">
                  <c:v>100</c:v>
                </c:pt>
                <c:pt idx="55">
                  <c:v>9</c:v>
                </c:pt>
                <c:pt idx="56">
                  <c:v>36</c:v>
                </c:pt>
                <c:pt idx="57">
                  <c:v>4</c:v>
                </c:pt>
                <c:pt idx="58">
                  <c:v>49</c:v>
                </c:pt>
                <c:pt idx="59">
                  <c:v>25</c:v>
                </c:pt>
                <c:pt idx="60">
                  <c:v>49</c:v>
                </c:pt>
                <c:pt idx="61">
                  <c:v>289</c:v>
                </c:pt>
                <c:pt idx="62">
                  <c:v>121</c:v>
                </c:pt>
                <c:pt idx="63">
                  <c:v>4</c:v>
                </c:pt>
                <c:pt idx="64">
                  <c:v>196</c:v>
                </c:pt>
                <c:pt idx="65">
                  <c:v>36</c:v>
                </c:pt>
                <c:pt idx="66">
                  <c:v>25</c:v>
                </c:pt>
                <c:pt idx="67">
                  <c:v>49</c:v>
                </c:pt>
                <c:pt idx="68">
                  <c:v>49</c:v>
                </c:pt>
                <c:pt idx="69">
                  <c:v>36</c:v>
                </c:pt>
                <c:pt idx="70">
                  <c:v>4</c:v>
                </c:pt>
                <c:pt idx="71">
                  <c:v>16</c:v>
                </c:pt>
                <c:pt idx="72">
                  <c:v>64</c:v>
                </c:pt>
                <c:pt idx="73">
                  <c:v>16</c:v>
                </c:pt>
                <c:pt idx="74">
                  <c:v>9</c:v>
                </c:pt>
                <c:pt idx="75">
                  <c:v>144</c:v>
                </c:pt>
                <c:pt idx="76">
                  <c:v>16</c:v>
                </c:pt>
                <c:pt idx="77">
                  <c:v>25</c:v>
                </c:pt>
                <c:pt idx="78">
                  <c:v>25</c:v>
                </c:pt>
                <c:pt idx="79">
                  <c:v>81</c:v>
                </c:pt>
                <c:pt idx="80">
                  <c:v>1</c:v>
                </c:pt>
                <c:pt idx="81">
                  <c:v>9</c:v>
                </c:pt>
                <c:pt idx="82">
                  <c:v>25</c:v>
                </c:pt>
                <c:pt idx="83">
                  <c:v>16</c:v>
                </c:pt>
                <c:pt idx="84">
                  <c:v>1</c:v>
                </c:pt>
                <c:pt idx="85">
                  <c:v>441</c:v>
                </c:pt>
                <c:pt idx="86">
                  <c:v>400</c:v>
                </c:pt>
                <c:pt idx="87">
                  <c:v>16</c:v>
                </c:pt>
                <c:pt idx="88">
                  <c:v>324</c:v>
                </c:pt>
                <c:pt idx="89">
                  <c:v>81</c:v>
                </c:pt>
                <c:pt idx="90">
                  <c:v>4</c:v>
                </c:pt>
                <c:pt idx="91">
                  <c:v>4</c:v>
                </c:pt>
                <c:pt idx="92">
                  <c:v>36</c:v>
                </c:pt>
                <c:pt idx="93">
                  <c:v>169</c:v>
                </c:pt>
                <c:pt idx="94">
                  <c:v>4</c:v>
                </c:pt>
                <c:pt idx="95">
                  <c:v>9</c:v>
                </c:pt>
                <c:pt idx="96">
                  <c:v>4</c:v>
                </c:pt>
                <c:pt idx="97">
                  <c:v>9</c:v>
                </c:pt>
                <c:pt idx="98">
                  <c:v>0</c:v>
                </c:pt>
                <c:pt idx="99">
                  <c:v>16</c:v>
                </c:pt>
                <c:pt idx="100">
                  <c:v>361</c:v>
                </c:pt>
                <c:pt idx="101">
                  <c:v>361</c:v>
                </c:pt>
                <c:pt idx="102">
                  <c:v>0</c:v>
                </c:pt>
                <c:pt idx="103">
                  <c:v>16</c:v>
                </c:pt>
                <c:pt idx="104">
                  <c:v>9</c:v>
                </c:pt>
                <c:pt idx="105">
                  <c:v>9</c:v>
                </c:pt>
                <c:pt idx="106">
                  <c:v>100</c:v>
                </c:pt>
                <c:pt idx="107">
                  <c:v>64</c:v>
                </c:pt>
                <c:pt idx="108">
                  <c:v>144</c:v>
                </c:pt>
                <c:pt idx="109">
                  <c:v>256</c:v>
                </c:pt>
                <c:pt idx="110">
                  <c:v>256</c:v>
                </c:pt>
                <c:pt idx="111">
                  <c:v>1</c:v>
                </c:pt>
                <c:pt idx="112">
                  <c:v>81</c:v>
                </c:pt>
                <c:pt idx="113">
                  <c:v>400</c:v>
                </c:pt>
                <c:pt idx="114">
                  <c:v>9</c:v>
                </c:pt>
                <c:pt idx="115">
                  <c:v>4</c:v>
                </c:pt>
                <c:pt idx="116">
                  <c:v>25</c:v>
                </c:pt>
                <c:pt idx="117">
                  <c:v>4</c:v>
                </c:pt>
                <c:pt idx="118">
                  <c:v>256</c:v>
                </c:pt>
                <c:pt idx="119">
                  <c:v>49</c:v>
                </c:pt>
                <c:pt idx="120">
                  <c:v>361</c:v>
                </c:pt>
                <c:pt idx="121">
                  <c:v>9</c:v>
                </c:pt>
                <c:pt idx="122">
                  <c:v>9</c:v>
                </c:pt>
                <c:pt idx="123">
                  <c:v>25</c:v>
                </c:pt>
                <c:pt idx="124">
                  <c:v>36</c:v>
                </c:pt>
                <c:pt idx="125">
                  <c:v>64</c:v>
                </c:pt>
                <c:pt idx="126">
                  <c:v>81</c:v>
                </c:pt>
                <c:pt idx="127">
                  <c:v>196</c:v>
                </c:pt>
                <c:pt idx="128">
                  <c:v>484</c:v>
                </c:pt>
                <c:pt idx="129">
                  <c:v>16</c:v>
                </c:pt>
                <c:pt idx="130">
                  <c:v>36</c:v>
                </c:pt>
                <c:pt idx="131">
                  <c:v>25</c:v>
                </c:pt>
                <c:pt idx="132">
                  <c:v>49</c:v>
                </c:pt>
                <c:pt idx="133">
                  <c:v>1</c:v>
                </c:pt>
                <c:pt idx="134">
                  <c:v>1</c:v>
                </c:pt>
                <c:pt idx="135">
                  <c:v>16</c:v>
                </c:pt>
                <c:pt idx="136">
                  <c:v>196</c:v>
                </c:pt>
                <c:pt idx="137">
                  <c:v>100</c:v>
                </c:pt>
                <c:pt idx="138">
                  <c:v>81</c:v>
                </c:pt>
                <c:pt idx="139">
                  <c:v>49</c:v>
                </c:pt>
                <c:pt idx="140">
                  <c:v>361</c:v>
                </c:pt>
                <c:pt idx="141">
                  <c:v>196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36</c:v>
                </c:pt>
                <c:pt idx="146">
                  <c:v>16</c:v>
                </c:pt>
                <c:pt idx="147">
                  <c:v>36</c:v>
                </c:pt>
                <c:pt idx="148">
                  <c:v>100</c:v>
                </c:pt>
                <c:pt idx="149">
                  <c:v>9</c:v>
                </c:pt>
                <c:pt idx="150">
                  <c:v>4</c:v>
                </c:pt>
                <c:pt idx="151">
                  <c:v>49</c:v>
                </c:pt>
                <c:pt idx="152">
                  <c:v>1</c:v>
                </c:pt>
                <c:pt idx="153">
                  <c:v>144</c:v>
                </c:pt>
                <c:pt idx="154">
                  <c:v>1</c:v>
                </c:pt>
                <c:pt idx="155">
                  <c:v>169</c:v>
                </c:pt>
                <c:pt idx="156">
                  <c:v>9</c:v>
                </c:pt>
                <c:pt idx="157">
                  <c:v>225</c:v>
                </c:pt>
                <c:pt idx="158">
                  <c:v>9</c:v>
                </c:pt>
                <c:pt idx="159">
                  <c:v>169</c:v>
                </c:pt>
                <c:pt idx="160">
                  <c:v>16</c:v>
                </c:pt>
                <c:pt idx="161">
                  <c:v>36</c:v>
                </c:pt>
                <c:pt idx="162">
                  <c:v>196</c:v>
                </c:pt>
                <c:pt idx="163">
                  <c:v>49</c:v>
                </c:pt>
                <c:pt idx="164">
                  <c:v>36</c:v>
                </c:pt>
                <c:pt idx="165">
                  <c:v>25</c:v>
                </c:pt>
                <c:pt idx="166">
                  <c:v>36</c:v>
                </c:pt>
                <c:pt idx="167">
                  <c:v>16</c:v>
                </c:pt>
                <c:pt idx="168">
                  <c:v>36</c:v>
                </c:pt>
                <c:pt idx="169">
                  <c:v>16</c:v>
                </c:pt>
                <c:pt idx="170">
                  <c:v>1</c:v>
                </c:pt>
                <c:pt idx="171">
                  <c:v>36</c:v>
                </c:pt>
                <c:pt idx="172">
                  <c:v>49</c:v>
                </c:pt>
                <c:pt idx="173">
                  <c:v>81</c:v>
                </c:pt>
                <c:pt idx="174">
                  <c:v>196</c:v>
                </c:pt>
                <c:pt idx="175">
                  <c:v>9</c:v>
                </c:pt>
                <c:pt idx="176">
                  <c:v>144</c:v>
                </c:pt>
                <c:pt idx="177">
                  <c:v>1</c:v>
                </c:pt>
                <c:pt idx="178">
                  <c:v>4</c:v>
                </c:pt>
                <c:pt idx="179">
                  <c:v>0</c:v>
                </c:pt>
                <c:pt idx="180">
                  <c:v>324</c:v>
                </c:pt>
                <c:pt idx="181">
                  <c:v>256</c:v>
                </c:pt>
                <c:pt idx="182">
                  <c:v>4</c:v>
                </c:pt>
                <c:pt idx="183">
                  <c:v>49</c:v>
                </c:pt>
                <c:pt idx="184">
                  <c:v>1</c:v>
                </c:pt>
                <c:pt idx="185">
                  <c:v>64</c:v>
                </c:pt>
                <c:pt idx="186">
                  <c:v>9</c:v>
                </c:pt>
                <c:pt idx="187">
                  <c:v>225</c:v>
                </c:pt>
                <c:pt idx="188">
                  <c:v>121</c:v>
                </c:pt>
                <c:pt idx="189">
                  <c:v>25</c:v>
                </c:pt>
                <c:pt idx="190">
                  <c:v>100</c:v>
                </c:pt>
                <c:pt idx="191">
                  <c:v>36</c:v>
                </c:pt>
                <c:pt idx="192">
                  <c:v>441</c:v>
                </c:pt>
                <c:pt idx="193">
                  <c:v>81</c:v>
                </c:pt>
                <c:pt idx="194">
                  <c:v>81</c:v>
                </c:pt>
                <c:pt idx="195">
                  <c:v>9</c:v>
                </c:pt>
                <c:pt idx="196">
                  <c:v>1</c:v>
                </c:pt>
                <c:pt idx="197">
                  <c:v>36</c:v>
                </c:pt>
                <c:pt idx="198">
                  <c:v>81</c:v>
                </c:pt>
                <c:pt idx="199">
                  <c:v>0</c:v>
                </c:pt>
                <c:pt idx="200">
                  <c:v>0</c:v>
                </c:pt>
                <c:pt idx="201">
                  <c:v>4</c:v>
                </c:pt>
                <c:pt idx="202">
                  <c:v>81</c:v>
                </c:pt>
                <c:pt idx="203">
                  <c:v>16</c:v>
                </c:pt>
                <c:pt idx="204">
                  <c:v>49</c:v>
                </c:pt>
                <c:pt idx="205">
                  <c:v>1</c:v>
                </c:pt>
                <c:pt idx="206">
                  <c:v>9</c:v>
                </c:pt>
                <c:pt idx="207">
                  <c:v>36</c:v>
                </c:pt>
                <c:pt idx="208">
                  <c:v>4</c:v>
                </c:pt>
                <c:pt idx="209">
                  <c:v>16</c:v>
                </c:pt>
                <c:pt idx="210">
                  <c:v>121</c:v>
                </c:pt>
                <c:pt idx="211">
                  <c:v>25</c:v>
                </c:pt>
                <c:pt idx="212">
                  <c:v>81</c:v>
                </c:pt>
                <c:pt idx="213">
                  <c:v>121</c:v>
                </c:pt>
                <c:pt idx="214">
                  <c:v>4</c:v>
                </c:pt>
                <c:pt idx="215">
                  <c:v>25</c:v>
                </c:pt>
                <c:pt idx="216">
                  <c:v>324</c:v>
                </c:pt>
                <c:pt idx="217">
                  <c:v>361</c:v>
                </c:pt>
                <c:pt idx="218">
                  <c:v>121</c:v>
                </c:pt>
                <c:pt idx="219">
                  <c:v>16</c:v>
                </c:pt>
                <c:pt idx="220">
                  <c:v>36</c:v>
                </c:pt>
                <c:pt idx="221">
                  <c:v>16</c:v>
                </c:pt>
                <c:pt idx="222">
                  <c:v>4</c:v>
                </c:pt>
                <c:pt idx="223">
                  <c:v>4</c:v>
                </c:pt>
                <c:pt idx="224">
                  <c:v>49</c:v>
                </c:pt>
                <c:pt idx="225">
                  <c:v>4</c:v>
                </c:pt>
                <c:pt idx="226">
                  <c:v>25</c:v>
                </c:pt>
                <c:pt idx="227">
                  <c:v>1</c:v>
                </c:pt>
                <c:pt idx="228">
                  <c:v>144</c:v>
                </c:pt>
                <c:pt idx="229">
                  <c:v>121</c:v>
                </c:pt>
                <c:pt idx="230">
                  <c:v>36</c:v>
                </c:pt>
                <c:pt idx="231">
                  <c:v>64</c:v>
                </c:pt>
                <c:pt idx="232">
                  <c:v>0</c:v>
                </c:pt>
                <c:pt idx="233">
                  <c:v>36</c:v>
                </c:pt>
                <c:pt idx="234">
                  <c:v>1</c:v>
                </c:pt>
                <c:pt idx="235">
                  <c:v>25</c:v>
                </c:pt>
                <c:pt idx="236">
                  <c:v>16</c:v>
                </c:pt>
                <c:pt idx="237">
                  <c:v>4</c:v>
                </c:pt>
                <c:pt idx="238">
                  <c:v>81</c:v>
                </c:pt>
                <c:pt idx="239">
                  <c:v>1</c:v>
                </c:pt>
                <c:pt idx="240">
                  <c:v>81</c:v>
                </c:pt>
                <c:pt idx="241">
                  <c:v>100</c:v>
                </c:pt>
                <c:pt idx="242">
                  <c:v>9</c:v>
                </c:pt>
                <c:pt idx="243">
                  <c:v>36</c:v>
                </c:pt>
                <c:pt idx="244">
                  <c:v>900</c:v>
                </c:pt>
                <c:pt idx="245">
                  <c:v>784</c:v>
                </c:pt>
                <c:pt idx="246">
                  <c:v>4</c:v>
                </c:pt>
                <c:pt idx="247">
                  <c:v>81</c:v>
                </c:pt>
                <c:pt idx="248">
                  <c:v>49</c:v>
                </c:pt>
                <c:pt idx="249">
                  <c:v>1</c:v>
                </c:pt>
                <c:pt idx="250">
                  <c:v>81</c:v>
                </c:pt>
                <c:pt idx="251">
                  <c:v>441</c:v>
                </c:pt>
                <c:pt idx="252">
                  <c:v>169</c:v>
                </c:pt>
                <c:pt idx="253">
                  <c:v>4</c:v>
                </c:pt>
                <c:pt idx="254">
                  <c:v>121</c:v>
                </c:pt>
                <c:pt idx="255">
                  <c:v>121</c:v>
                </c:pt>
                <c:pt idx="256">
                  <c:v>64</c:v>
                </c:pt>
                <c:pt idx="257">
                  <c:v>36</c:v>
                </c:pt>
                <c:pt idx="258">
                  <c:v>256</c:v>
                </c:pt>
                <c:pt idx="259">
                  <c:v>144</c:v>
                </c:pt>
                <c:pt idx="260">
                  <c:v>81</c:v>
                </c:pt>
                <c:pt idx="261">
                  <c:v>4</c:v>
                </c:pt>
                <c:pt idx="262">
                  <c:v>256</c:v>
                </c:pt>
                <c:pt idx="263">
                  <c:v>400</c:v>
                </c:pt>
                <c:pt idx="264">
                  <c:v>16</c:v>
                </c:pt>
                <c:pt idx="265">
                  <c:v>324</c:v>
                </c:pt>
                <c:pt idx="266">
                  <c:v>324</c:v>
                </c:pt>
                <c:pt idx="267">
                  <c:v>121</c:v>
                </c:pt>
                <c:pt idx="268">
                  <c:v>1</c:v>
                </c:pt>
                <c:pt idx="269">
                  <c:v>9</c:v>
                </c:pt>
                <c:pt idx="270">
                  <c:v>49</c:v>
                </c:pt>
                <c:pt idx="271">
                  <c:v>16</c:v>
                </c:pt>
                <c:pt idx="272">
                  <c:v>25</c:v>
                </c:pt>
                <c:pt idx="273">
                  <c:v>49</c:v>
                </c:pt>
                <c:pt idx="274">
                  <c:v>25</c:v>
                </c:pt>
                <c:pt idx="275">
                  <c:v>4</c:v>
                </c:pt>
                <c:pt idx="276">
                  <c:v>81</c:v>
                </c:pt>
                <c:pt idx="277">
                  <c:v>9</c:v>
                </c:pt>
                <c:pt idx="278">
                  <c:v>1</c:v>
                </c:pt>
                <c:pt idx="279">
                  <c:v>1</c:v>
                </c:pt>
                <c:pt idx="280">
                  <c:v>9</c:v>
                </c:pt>
                <c:pt idx="281">
                  <c:v>25</c:v>
                </c:pt>
                <c:pt idx="282">
                  <c:v>4</c:v>
                </c:pt>
                <c:pt idx="283">
                  <c:v>25</c:v>
                </c:pt>
                <c:pt idx="284">
                  <c:v>9</c:v>
                </c:pt>
                <c:pt idx="285">
                  <c:v>361</c:v>
                </c:pt>
                <c:pt idx="286">
                  <c:v>324</c:v>
                </c:pt>
                <c:pt idx="287">
                  <c:v>1</c:v>
                </c:pt>
                <c:pt idx="288">
                  <c:v>81</c:v>
                </c:pt>
                <c:pt idx="289">
                  <c:v>4</c:v>
                </c:pt>
                <c:pt idx="290">
                  <c:v>16</c:v>
                </c:pt>
                <c:pt idx="291">
                  <c:v>4</c:v>
                </c:pt>
                <c:pt idx="292">
                  <c:v>1</c:v>
                </c:pt>
                <c:pt idx="293">
                  <c:v>16</c:v>
                </c:pt>
                <c:pt idx="294">
                  <c:v>81</c:v>
                </c:pt>
                <c:pt idx="295">
                  <c:v>81</c:v>
                </c:pt>
                <c:pt idx="296">
                  <c:v>4</c:v>
                </c:pt>
                <c:pt idx="297">
                  <c:v>36</c:v>
                </c:pt>
                <c:pt idx="298">
                  <c:v>49</c:v>
                </c:pt>
                <c:pt idx="299">
                  <c:v>49</c:v>
                </c:pt>
                <c:pt idx="300">
                  <c:v>256</c:v>
                </c:pt>
                <c:pt idx="301">
                  <c:v>64</c:v>
                </c:pt>
                <c:pt idx="302">
                  <c:v>81</c:v>
                </c:pt>
                <c:pt idx="303">
                  <c:v>1</c:v>
                </c:pt>
                <c:pt idx="304">
                  <c:v>4</c:v>
                </c:pt>
                <c:pt idx="305">
                  <c:v>1</c:v>
                </c:pt>
                <c:pt idx="306">
                  <c:v>36</c:v>
                </c:pt>
                <c:pt idx="307">
                  <c:v>1</c:v>
                </c:pt>
                <c:pt idx="308">
                  <c:v>289</c:v>
                </c:pt>
                <c:pt idx="309">
                  <c:v>196</c:v>
                </c:pt>
                <c:pt idx="310">
                  <c:v>49</c:v>
                </c:pt>
                <c:pt idx="311">
                  <c:v>36</c:v>
                </c:pt>
                <c:pt idx="312">
                  <c:v>16</c:v>
                </c:pt>
                <c:pt idx="313">
                  <c:v>4</c:v>
                </c:pt>
                <c:pt idx="314">
                  <c:v>0</c:v>
                </c:pt>
                <c:pt idx="315">
                  <c:v>25</c:v>
                </c:pt>
                <c:pt idx="316">
                  <c:v>100</c:v>
                </c:pt>
                <c:pt idx="317">
                  <c:v>0</c:v>
                </c:pt>
                <c:pt idx="318">
                  <c:v>25</c:v>
                </c:pt>
                <c:pt idx="319">
                  <c:v>1</c:v>
                </c:pt>
                <c:pt idx="320">
                  <c:v>36</c:v>
                </c:pt>
                <c:pt idx="321">
                  <c:v>81</c:v>
                </c:pt>
                <c:pt idx="322">
                  <c:v>25</c:v>
                </c:pt>
                <c:pt idx="323">
                  <c:v>16</c:v>
                </c:pt>
                <c:pt idx="324">
                  <c:v>49</c:v>
                </c:pt>
                <c:pt idx="325">
                  <c:v>16</c:v>
                </c:pt>
                <c:pt idx="326">
                  <c:v>289</c:v>
                </c:pt>
                <c:pt idx="327">
                  <c:v>64</c:v>
                </c:pt>
                <c:pt idx="328">
                  <c:v>16</c:v>
                </c:pt>
                <c:pt idx="329">
                  <c:v>16</c:v>
                </c:pt>
                <c:pt idx="330">
                  <c:v>4</c:v>
                </c:pt>
                <c:pt idx="331">
                  <c:v>25</c:v>
                </c:pt>
                <c:pt idx="332">
                  <c:v>4</c:v>
                </c:pt>
                <c:pt idx="333">
                  <c:v>64</c:v>
                </c:pt>
                <c:pt idx="334">
                  <c:v>49</c:v>
                </c:pt>
                <c:pt idx="335">
                  <c:v>169</c:v>
                </c:pt>
                <c:pt idx="336">
                  <c:v>196</c:v>
                </c:pt>
                <c:pt idx="337">
                  <c:v>25</c:v>
                </c:pt>
                <c:pt idx="338">
                  <c:v>49</c:v>
                </c:pt>
                <c:pt idx="339">
                  <c:v>1</c:v>
                </c:pt>
                <c:pt idx="340">
                  <c:v>9</c:v>
                </c:pt>
                <c:pt idx="341">
                  <c:v>169</c:v>
                </c:pt>
                <c:pt idx="342">
                  <c:v>36</c:v>
                </c:pt>
                <c:pt idx="343">
                  <c:v>0</c:v>
                </c:pt>
                <c:pt idx="344">
                  <c:v>81</c:v>
                </c:pt>
                <c:pt idx="345">
                  <c:v>25</c:v>
                </c:pt>
                <c:pt idx="346">
                  <c:v>16</c:v>
                </c:pt>
                <c:pt idx="347">
                  <c:v>289</c:v>
                </c:pt>
                <c:pt idx="348">
                  <c:v>25</c:v>
                </c:pt>
                <c:pt idx="349">
                  <c:v>25</c:v>
                </c:pt>
                <c:pt idx="350">
                  <c:v>169</c:v>
                </c:pt>
                <c:pt idx="351">
                  <c:v>1</c:v>
                </c:pt>
                <c:pt idx="352">
                  <c:v>4</c:v>
                </c:pt>
                <c:pt idx="353">
                  <c:v>0</c:v>
                </c:pt>
                <c:pt idx="354">
                  <c:v>121</c:v>
                </c:pt>
                <c:pt idx="355">
                  <c:v>196</c:v>
                </c:pt>
                <c:pt idx="356">
                  <c:v>1</c:v>
                </c:pt>
                <c:pt idx="357">
                  <c:v>4</c:v>
                </c:pt>
                <c:pt idx="358">
                  <c:v>36</c:v>
                </c:pt>
                <c:pt idx="359">
                  <c:v>100</c:v>
                </c:pt>
                <c:pt idx="360">
                  <c:v>9</c:v>
                </c:pt>
                <c:pt idx="361">
                  <c:v>225</c:v>
                </c:pt>
                <c:pt idx="362">
                  <c:v>16</c:v>
                </c:pt>
                <c:pt idx="363">
                  <c:v>49</c:v>
                </c:pt>
                <c:pt idx="36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4C-4ED6-A3A9-1CABCA243A8C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Naive!$A$2:$A$366</c:f>
              <c:numCache>
                <c:formatCode>d/m/yyyy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cat>
          <c:val>
            <c:numRef>
              <c:f>Naive!$G$2:$G$366</c:f>
              <c:numCache>
                <c:formatCode>0%</c:formatCode>
                <c:ptCount val="365"/>
                <c:pt idx="1">
                  <c:v>9.375E-2</c:v>
                </c:pt>
                <c:pt idx="2">
                  <c:v>6.6666666666666666E-2</c:v>
                </c:pt>
                <c:pt idx="3">
                  <c:v>3.2258064516129031E-2</c:v>
                </c:pt>
                <c:pt idx="4">
                  <c:v>0.29545454545454547</c:v>
                </c:pt>
                <c:pt idx="5">
                  <c:v>0.51724137931034486</c:v>
                </c:pt>
                <c:pt idx="6">
                  <c:v>0.35555555555555557</c:v>
                </c:pt>
                <c:pt idx="7">
                  <c:v>4.6511627906976744E-2</c:v>
                </c:pt>
                <c:pt idx="8">
                  <c:v>0.13157894736842105</c:v>
                </c:pt>
                <c:pt idx="9">
                  <c:v>0.40740740740740738</c:v>
                </c:pt>
                <c:pt idx="10">
                  <c:v>0.28947368421052633</c:v>
                </c:pt>
                <c:pt idx="11">
                  <c:v>0.15151515151515152</c:v>
                </c:pt>
                <c:pt idx="12">
                  <c:v>0.4</c:v>
                </c:pt>
                <c:pt idx="13">
                  <c:v>0.1702127659574468</c:v>
                </c:pt>
                <c:pt idx="14">
                  <c:v>4.4444444444444446E-2</c:v>
                </c:pt>
                <c:pt idx="15">
                  <c:v>0.21621621621621623</c:v>
                </c:pt>
                <c:pt idx="16">
                  <c:v>0.26</c:v>
                </c:pt>
                <c:pt idx="17">
                  <c:v>0.16279069767441862</c:v>
                </c:pt>
                <c:pt idx="18">
                  <c:v>4.878048780487805E-2</c:v>
                </c:pt>
                <c:pt idx="19">
                  <c:v>0.21153846153846154</c:v>
                </c:pt>
                <c:pt idx="20">
                  <c:v>0.52941176470588236</c:v>
                </c:pt>
                <c:pt idx="21">
                  <c:v>0.35849056603773582</c:v>
                </c:pt>
                <c:pt idx="22">
                  <c:v>0.35897435897435898</c:v>
                </c:pt>
                <c:pt idx="23">
                  <c:v>0.21875</c:v>
                </c:pt>
                <c:pt idx="24">
                  <c:v>0.13513513513513514</c:v>
                </c:pt>
                <c:pt idx="25">
                  <c:v>0.13953488372093023</c:v>
                </c:pt>
                <c:pt idx="26">
                  <c:v>0.10256410256410256</c:v>
                </c:pt>
                <c:pt idx="27">
                  <c:v>0.11428571428571428</c:v>
                </c:pt>
                <c:pt idx="28">
                  <c:v>0.20454545454545456</c:v>
                </c:pt>
                <c:pt idx="29">
                  <c:v>0.15789473684210525</c:v>
                </c:pt>
                <c:pt idx="30">
                  <c:v>0.58333333333333337</c:v>
                </c:pt>
                <c:pt idx="31">
                  <c:v>4.3478260869565216E-2</c:v>
                </c:pt>
                <c:pt idx="32">
                  <c:v>0.25806451612903225</c:v>
                </c:pt>
                <c:pt idx="33">
                  <c:v>0.29545454545454547</c:v>
                </c:pt>
                <c:pt idx="34">
                  <c:v>0.15789473684210525</c:v>
                </c:pt>
                <c:pt idx="35">
                  <c:v>0.24</c:v>
                </c:pt>
                <c:pt idx="36">
                  <c:v>0.31578947368421051</c:v>
                </c:pt>
                <c:pt idx="37">
                  <c:v>0.25490196078431371</c:v>
                </c:pt>
                <c:pt idx="38">
                  <c:v>0.64516129032258063</c:v>
                </c:pt>
                <c:pt idx="39">
                  <c:v>0</c:v>
                </c:pt>
                <c:pt idx="40">
                  <c:v>0.39215686274509803</c:v>
                </c:pt>
                <c:pt idx="41">
                  <c:v>0.41666666666666669</c:v>
                </c:pt>
                <c:pt idx="42">
                  <c:v>0.2</c:v>
                </c:pt>
                <c:pt idx="43">
                  <c:v>0.11764705882352941</c:v>
                </c:pt>
                <c:pt idx="44">
                  <c:v>0.5</c:v>
                </c:pt>
                <c:pt idx="45">
                  <c:v>0.34615384615384615</c:v>
                </c:pt>
                <c:pt idx="46">
                  <c:v>0.10638297872340426</c:v>
                </c:pt>
                <c:pt idx="47">
                  <c:v>4.4444444444444446E-2</c:v>
                </c:pt>
                <c:pt idx="48">
                  <c:v>2.1739130434782608E-2</c:v>
                </c:pt>
                <c:pt idx="49">
                  <c:v>0.17948717948717949</c:v>
                </c:pt>
                <c:pt idx="50">
                  <c:v>0.1875</c:v>
                </c:pt>
                <c:pt idx="51">
                  <c:v>0.29729729729729731</c:v>
                </c:pt>
                <c:pt idx="52">
                  <c:v>5.7142857142857141E-2</c:v>
                </c:pt>
                <c:pt idx="53">
                  <c:v>0.32692307692307693</c:v>
                </c:pt>
                <c:pt idx="54">
                  <c:v>0.23809523809523808</c:v>
                </c:pt>
                <c:pt idx="55">
                  <c:v>6.6666666666666666E-2</c:v>
                </c:pt>
                <c:pt idx="56">
                  <c:v>0.15384615384615385</c:v>
                </c:pt>
                <c:pt idx="57">
                  <c:v>5.4054054054054057E-2</c:v>
                </c:pt>
                <c:pt idx="58">
                  <c:v>0.23333333333333334</c:v>
                </c:pt>
                <c:pt idx="59">
                  <c:v>0.14285714285714285</c:v>
                </c:pt>
                <c:pt idx="60">
                  <c:v>0.25</c:v>
                </c:pt>
                <c:pt idx="61">
                  <c:v>0.37777777777777777</c:v>
                </c:pt>
                <c:pt idx="62">
                  <c:v>0.3235294117647059</c:v>
                </c:pt>
                <c:pt idx="63">
                  <c:v>5.5555555555555552E-2</c:v>
                </c:pt>
                <c:pt idx="64">
                  <c:v>0.28000000000000003</c:v>
                </c:pt>
                <c:pt idx="65">
                  <c:v>0.13636363636363635</c:v>
                </c:pt>
                <c:pt idx="66">
                  <c:v>0.12820512820512819</c:v>
                </c:pt>
                <c:pt idx="67">
                  <c:v>0.21875</c:v>
                </c:pt>
                <c:pt idx="68">
                  <c:v>0.17948717948717949</c:v>
                </c:pt>
                <c:pt idx="69">
                  <c:v>0.13333333333333333</c:v>
                </c:pt>
                <c:pt idx="70">
                  <c:v>4.6511627906976744E-2</c:v>
                </c:pt>
                <c:pt idx="71">
                  <c:v>0.10256410256410256</c:v>
                </c:pt>
                <c:pt idx="72">
                  <c:v>0.25806451612903225</c:v>
                </c:pt>
                <c:pt idx="73">
                  <c:v>0.14814814814814814</c:v>
                </c:pt>
                <c:pt idx="74">
                  <c:v>0.1</c:v>
                </c:pt>
                <c:pt idx="75">
                  <c:v>0.2857142857142857</c:v>
                </c:pt>
                <c:pt idx="76">
                  <c:v>8.6956521739130432E-2</c:v>
                </c:pt>
                <c:pt idx="77">
                  <c:v>0.12195121951219512</c:v>
                </c:pt>
                <c:pt idx="78">
                  <c:v>0.1388888888888889</c:v>
                </c:pt>
                <c:pt idx="79">
                  <c:v>0.2</c:v>
                </c:pt>
                <c:pt idx="80">
                  <c:v>2.1739130434782608E-2</c:v>
                </c:pt>
                <c:pt idx="81">
                  <c:v>6.9767441860465115E-2</c:v>
                </c:pt>
                <c:pt idx="82">
                  <c:v>0.13157894736842105</c:v>
                </c:pt>
                <c:pt idx="83">
                  <c:v>0.11764705882352941</c:v>
                </c:pt>
                <c:pt idx="84">
                  <c:v>2.8571428571428571E-2</c:v>
                </c:pt>
                <c:pt idx="85">
                  <c:v>0.375</c:v>
                </c:pt>
                <c:pt idx="86">
                  <c:v>0.55555555555555558</c:v>
                </c:pt>
                <c:pt idx="87">
                  <c:v>0.125</c:v>
                </c:pt>
                <c:pt idx="88">
                  <c:v>0.36</c:v>
                </c:pt>
                <c:pt idx="89">
                  <c:v>0.21951219512195122</c:v>
                </c:pt>
                <c:pt idx="90">
                  <c:v>5.128205128205128E-2</c:v>
                </c:pt>
                <c:pt idx="91">
                  <c:v>4.878048780487805E-2</c:v>
                </c:pt>
                <c:pt idx="92">
                  <c:v>0.1276595744680851</c:v>
                </c:pt>
                <c:pt idx="93">
                  <c:v>0.38235294117647056</c:v>
                </c:pt>
                <c:pt idx="94">
                  <c:v>5.5555555555555552E-2</c:v>
                </c:pt>
                <c:pt idx="95">
                  <c:v>9.0909090909090912E-2</c:v>
                </c:pt>
                <c:pt idx="96">
                  <c:v>5.7142857142857141E-2</c:v>
                </c:pt>
                <c:pt idx="97">
                  <c:v>7.8947368421052627E-2</c:v>
                </c:pt>
                <c:pt idx="98">
                  <c:v>0</c:v>
                </c:pt>
                <c:pt idx="99">
                  <c:v>0.11764705882352941</c:v>
                </c:pt>
                <c:pt idx="100">
                  <c:v>0.35849056603773582</c:v>
                </c:pt>
                <c:pt idx="101">
                  <c:v>0.55882352941176472</c:v>
                </c:pt>
                <c:pt idx="102">
                  <c:v>0</c:v>
                </c:pt>
                <c:pt idx="103">
                  <c:v>0.10526315789473684</c:v>
                </c:pt>
                <c:pt idx="104">
                  <c:v>8.5714285714285715E-2</c:v>
                </c:pt>
                <c:pt idx="105">
                  <c:v>9.375E-2</c:v>
                </c:pt>
                <c:pt idx="106">
                  <c:v>0.23809523809523808</c:v>
                </c:pt>
                <c:pt idx="107">
                  <c:v>0.23529411764705882</c:v>
                </c:pt>
                <c:pt idx="108">
                  <c:v>0.2608695652173913</c:v>
                </c:pt>
                <c:pt idx="109">
                  <c:v>0.53333333333333333</c:v>
                </c:pt>
                <c:pt idx="110">
                  <c:v>0.34782608695652173</c:v>
                </c:pt>
                <c:pt idx="111">
                  <c:v>2.2222222222222223E-2</c:v>
                </c:pt>
                <c:pt idx="112">
                  <c:v>0.16666666666666666</c:v>
                </c:pt>
                <c:pt idx="113">
                  <c:v>0.58823529411764708</c:v>
                </c:pt>
                <c:pt idx="114">
                  <c:v>8.1081081081081086E-2</c:v>
                </c:pt>
                <c:pt idx="115">
                  <c:v>5.7142857142857141E-2</c:v>
                </c:pt>
                <c:pt idx="116">
                  <c:v>0.125</c:v>
                </c:pt>
                <c:pt idx="117">
                  <c:v>4.7619047619047616E-2</c:v>
                </c:pt>
                <c:pt idx="118">
                  <c:v>0.27586206896551724</c:v>
                </c:pt>
                <c:pt idx="119">
                  <c:v>0.13725490196078433</c:v>
                </c:pt>
                <c:pt idx="120">
                  <c:v>0.59375</c:v>
                </c:pt>
                <c:pt idx="121">
                  <c:v>8.5714285714285715E-2</c:v>
                </c:pt>
                <c:pt idx="122">
                  <c:v>7.8947368421052627E-2</c:v>
                </c:pt>
                <c:pt idx="123">
                  <c:v>0.15151515151515152</c:v>
                </c:pt>
                <c:pt idx="124">
                  <c:v>0.15384615384615385</c:v>
                </c:pt>
                <c:pt idx="125">
                  <c:v>0.1702127659574468</c:v>
                </c:pt>
                <c:pt idx="126">
                  <c:v>0.23684210526315788</c:v>
                </c:pt>
                <c:pt idx="127">
                  <c:v>0.26923076923076922</c:v>
                </c:pt>
                <c:pt idx="128">
                  <c:v>0.73333333333333328</c:v>
                </c:pt>
                <c:pt idx="129">
                  <c:v>0.11764705882352941</c:v>
                </c:pt>
                <c:pt idx="130">
                  <c:v>0.15</c:v>
                </c:pt>
                <c:pt idx="131">
                  <c:v>0.14285714285714285</c:v>
                </c:pt>
                <c:pt idx="132">
                  <c:v>0.16666666666666666</c:v>
                </c:pt>
                <c:pt idx="133">
                  <c:v>2.4390243902439025E-2</c:v>
                </c:pt>
                <c:pt idx="134">
                  <c:v>2.3809523809523808E-2</c:v>
                </c:pt>
                <c:pt idx="135">
                  <c:v>0.10526315789473684</c:v>
                </c:pt>
                <c:pt idx="136">
                  <c:v>0.58333333333333337</c:v>
                </c:pt>
                <c:pt idx="137">
                  <c:v>0.29411764705882354</c:v>
                </c:pt>
                <c:pt idx="138">
                  <c:v>0.20930232558139536</c:v>
                </c:pt>
                <c:pt idx="139">
                  <c:v>0.19444444444444445</c:v>
                </c:pt>
                <c:pt idx="140">
                  <c:v>0.34545454545454546</c:v>
                </c:pt>
                <c:pt idx="141">
                  <c:v>0.34146341463414637</c:v>
                </c:pt>
                <c:pt idx="142">
                  <c:v>8.8888888888888892E-2</c:v>
                </c:pt>
                <c:pt idx="143">
                  <c:v>9.7560975609756101E-2</c:v>
                </c:pt>
                <c:pt idx="144">
                  <c:v>0.10810810810810811</c:v>
                </c:pt>
                <c:pt idx="145">
                  <c:v>0.13953488372093023</c:v>
                </c:pt>
                <c:pt idx="146">
                  <c:v>0.10256410256410256</c:v>
                </c:pt>
                <c:pt idx="147">
                  <c:v>0.18181818181818182</c:v>
                </c:pt>
                <c:pt idx="148">
                  <c:v>0.23255813953488372</c:v>
                </c:pt>
                <c:pt idx="149">
                  <c:v>7.4999999999999997E-2</c:v>
                </c:pt>
                <c:pt idx="150">
                  <c:v>5.2631578947368418E-2</c:v>
                </c:pt>
                <c:pt idx="151">
                  <c:v>0.15555555555555556</c:v>
                </c:pt>
                <c:pt idx="152">
                  <c:v>2.1739130434782608E-2</c:v>
                </c:pt>
                <c:pt idx="153">
                  <c:v>0.35294117647058826</c:v>
                </c:pt>
                <c:pt idx="154">
                  <c:v>2.8571428571428571E-2</c:v>
                </c:pt>
                <c:pt idx="155">
                  <c:v>0.27083333333333331</c:v>
                </c:pt>
                <c:pt idx="156">
                  <c:v>5.8823529411764705E-2</c:v>
                </c:pt>
                <c:pt idx="157">
                  <c:v>0.41666666666666669</c:v>
                </c:pt>
                <c:pt idx="158">
                  <c:v>9.0909090909090912E-2</c:v>
                </c:pt>
                <c:pt idx="159">
                  <c:v>0.28260869565217389</c:v>
                </c:pt>
                <c:pt idx="160">
                  <c:v>9.5238095238095233E-2</c:v>
                </c:pt>
                <c:pt idx="161">
                  <c:v>0.125</c:v>
                </c:pt>
                <c:pt idx="162">
                  <c:v>0.41176470588235292</c:v>
                </c:pt>
                <c:pt idx="163">
                  <c:v>0.17073170731707318</c:v>
                </c:pt>
                <c:pt idx="164">
                  <c:v>0.17142857142857143</c:v>
                </c:pt>
                <c:pt idx="165">
                  <c:v>0.125</c:v>
                </c:pt>
                <c:pt idx="166">
                  <c:v>0.17647058823529413</c:v>
                </c:pt>
                <c:pt idx="167">
                  <c:v>0.13333333333333333</c:v>
                </c:pt>
                <c:pt idx="168">
                  <c:v>0.16666666666666666</c:v>
                </c:pt>
                <c:pt idx="169">
                  <c:v>0.1</c:v>
                </c:pt>
                <c:pt idx="170">
                  <c:v>2.564102564102564E-2</c:v>
                </c:pt>
                <c:pt idx="171">
                  <c:v>0.13333333333333333</c:v>
                </c:pt>
                <c:pt idx="172">
                  <c:v>0.18421052631578946</c:v>
                </c:pt>
                <c:pt idx="173">
                  <c:v>0.19148936170212766</c:v>
                </c:pt>
                <c:pt idx="174">
                  <c:v>0.42424242424242425</c:v>
                </c:pt>
                <c:pt idx="175">
                  <c:v>0.1</c:v>
                </c:pt>
                <c:pt idx="176">
                  <c:v>0.2857142857142857</c:v>
                </c:pt>
                <c:pt idx="177">
                  <c:v>2.3255813953488372E-2</c:v>
                </c:pt>
                <c:pt idx="178">
                  <c:v>4.878048780487805E-2</c:v>
                </c:pt>
                <c:pt idx="179">
                  <c:v>0</c:v>
                </c:pt>
                <c:pt idx="180">
                  <c:v>0.30508474576271188</c:v>
                </c:pt>
                <c:pt idx="181">
                  <c:v>0.37209302325581395</c:v>
                </c:pt>
                <c:pt idx="182">
                  <c:v>4.4444444444444446E-2</c:v>
                </c:pt>
                <c:pt idx="183">
                  <c:v>0.18421052631578946</c:v>
                </c:pt>
                <c:pt idx="184">
                  <c:v>2.7027027027027029E-2</c:v>
                </c:pt>
                <c:pt idx="185">
                  <c:v>0.17777777777777778</c:v>
                </c:pt>
                <c:pt idx="186">
                  <c:v>7.1428571428571425E-2</c:v>
                </c:pt>
                <c:pt idx="187">
                  <c:v>0.26315789473684209</c:v>
                </c:pt>
                <c:pt idx="188">
                  <c:v>0.2391304347826087</c:v>
                </c:pt>
                <c:pt idx="189">
                  <c:v>9.8039215686274508E-2</c:v>
                </c:pt>
                <c:pt idx="190">
                  <c:v>0.24390243902439024</c:v>
                </c:pt>
                <c:pt idx="191">
                  <c:v>0.1276595744680851</c:v>
                </c:pt>
                <c:pt idx="192">
                  <c:v>0.80769230769230771</c:v>
                </c:pt>
                <c:pt idx="193">
                  <c:v>0.25714285714285712</c:v>
                </c:pt>
                <c:pt idx="194">
                  <c:v>0.20454545454545456</c:v>
                </c:pt>
                <c:pt idx="195">
                  <c:v>7.3170731707317069E-2</c:v>
                </c:pt>
                <c:pt idx="196">
                  <c:v>2.3809523809523808E-2</c:v>
                </c:pt>
                <c:pt idx="197">
                  <c:v>0.16666666666666666</c:v>
                </c:pt>
                <c:pt idx="198">
                  <c:v>0.2</c:v>
                </c:pt>
                <c:pt idx="199">
                  <c:v>0</c:v>
                </c:pt>
                <c:pt idx="200">
                  <c:v>0</c:v>
                </c:pt>
                <c:pt idx="201">
                  <c:v>4.2553191489361701E-2</c:v>
                </c:pt>
                <c:pt idx="202">
                  <c:v>0.23684210526315788</c:v>
                </c:pt>
                <c:pt idx="203">
                  <c:v>9.5238095238095233E-2</c:v>
                </c:pt>
                <c:pt idx="204">
                  <c:v>0.2</c:v>
                </c:pt>
                <c:pt idx="205">
                  <c:v>2.7777777777777776E-2</c:v>
                </c:pt>
                <c:pt idx="206">
                  <c:v>7.6923076923076927E-2</c:v>
                </c:pt>
                <c:pt idx="207">
                  <c:v>0.13333333333333333</c:v>
                </c:pt>
                <c:pt idx="208">
                  <c:v>4.6511627906976744E-2</c:v>
                </c:pt>
                <c:pt idx="209">
                  <c:v>8.5106382978723402E-2</c:v>
                </c:pt>
                <c:pt idx="210">
                  <c:v>0.30555555555555558</c:v>
                </c:pt>
                <c:pt idx="211">
                  <c:v>0.12195121951219512</c:v>
                </c:pt>
                <c:pt idx="212">
                  <c:v>0.18</c:v>
                </c:pt>
                <c:pt idx="213">
                  <c:v>0.28205128205128205</c:v>
                </c:pt>
                <c:pt idx="214">
                  <c:v>4.878048780487805E-2</c:v>
                </c:pt>
                <c:pt idx="215">
                  <c:v>0.10869565217391304</c:v>
                </c:pt>
                <c:pt idx="216">
                  <c:v>0.28125</c:v>
                </c:pt>
                <c:pt idx="217">
                  <c:v>0.42222222222222222</c:v>
                </c:pt>
                <c:pt idx="218">
                  <c:v>0.3235294117647059</c:v>
                </c:pt>
                <c:pt idx="219">
                  <c:v>0.10526315789473684</c:v>
                </c:pt>
                <c:pt idx="220">
                  <c:v>0.13636363636363635</c:v>
                </c:pt>
                <c:pt idx="221">
                  <c:v>8.3333333333333329E-2</c:v>
                </c:pt>
                <c:pt idx="222">
                  <c:v>4.3478260869565216E-2</c:v>
                </c:pt>
                <c:pt idx="223">
                  <c:v>4.5454545454545456E-2</c:v>
                </c:pt>
                <c:pt idx="224">
                  <c:v>0.1891891891891892</c:v>
                </c:pt>
                <c:pt idx="225">
                  <c:v>5.128205128205128E-2</c:v>
                </c:pt>
                <c:pt idx="226">
                  <c:v>0.11363636363636363</c:v>
                </c:pt>
                <c:pt idx="227">
                  <c:v>2.2222222222222223E-2</c:v>
                </c:pt>
                <c:pt idx="228">
                  <c:v>0.36363636363636365</c:v>
                </c:pt>
                <c:pt idx="229">
                  <c:v>0.25</c:v>
                </c:pt>
                <c:pt idx="230">
                  <c:v>0.15789473684210525</c:v>
                </c:pt>
                <c:pt idx="231">
                  <c:v>0.17391304347826086</c:v>
                </c:pt>
                <c:pt idx="232">
                  <c:v>0</c:v>
                </c:pt>
                <c:pt idx="233">
                  <c:v>0.15</c:v>
                </c:pt>
                <c:pt idx="234">
                  <c:v>2.564102564102564E-2</c:v>
                </c:pt>
                <c:pt idx="235">
                  <c:v>0.11363636363636363</c:v>
                </c:pt>
                <c:pt idx="236">
                  <c:v>8.3333333333333329E-2</c:v>
                </c:pt>
                <c:pt idx="237">
                  <c:v>0.04</c:v>
                </c:pt>
                <c:pt idx="238">
                  <c:v>0.21951219512195122</c:v>
                </c:pt>
                <c:pt idx="239">
                  <c:v>2.3809523809523808E-2</c:v>
                </c:pt>
                <c:pt idx="240">
                  <c:v>0.17647058823529413</c:v>
                </c:pt>
                <c:pt idx="241">
                  <c:v>0.24390243902439024</c:v>
                </c:pt>
                <c:pt idx="242">
                  <c:v>6.8181818181818177E-2</c:v>
                </c:pt>
                <c:pt idx="243">
                  <c:v>0.15789473684210525</c:v>
                </c:pt>
                <c:pt idx="244">
                  <c:v>0.44117647058823528</c:v>
                </c:pt>
                <c:pt idx="245">
                  <c:v>0.7</c:v>
                </c:pt>
                <c:pt idx="246">
                  <c:v>4.7619047619047616E-2</c:v>
                </c:pt>
                <c:pt idx="247">
                  <c:v>0.17647058823529413</c:v>
                </c:pt>
                <c:pt idx="248">
                  <c:v>0.15909090909090909</c:v>
                </c:pt>
                <c:pt idx="249">
                  <c:v>2.2222222222222223E-2</c:v>
                </c:pt>
                <c:pt idx="250">
                  <c:v>0.25</c:v>
                </c:pt>
                <c:pt idx="251">
                  <c:v>0.36842105263157893</c:v>
                </c:pt>
                <c:pt idx="252">
                  <c:v>0.29545454545454547</c:v>
                </c:pt>
                <c:pt idx="253">
                  <c:v>4.7619047619047616E-2</c:v>
                </c:pt>
                <c:pt idx="254">
                  <c:v>0.20754716981132076</c:v>
                </c:pt>
                <c:pt idx="255">
                  <c:v>0.26190476190476192</c:v>
                </c:pt>
                <c:pt idx="256">
                  <c:v>0.23529411764705882</c:v>
                </c:pt>
                <c:pt idx="257">
                  <c:v>0.15</c:v>
                </c:pt>
                <c:pt idx="258">
                  <c:v>0.2857142857142857</c:v>
                </c:pt>
                <c:pt idx="259">
                  <c:v>0.27272727272727271</c:v>
                </c:pt>
                <c:pt idx="260">
                  <c:v>0.16981132075471697</c:v>
                </c:pt>
                <c:pt idx="261">
                  <c:v>3.6363636363636362E-2</c:v>
                </c:pt>
                <c:pt idx="262">
                  <c:v>0.41025641025641024</c:v>
                </c:pt>
                <c:pt idx="263">
                  <c:v>0.33898305084745761</c:v>
                </c:pt>
                <c:pt idx="264">
                  <c:v>7.2727272727272724E-2</c:v>
                </c:pt>
                <c:pt idx="265">
                  <c:v>0.24657534246575341</c:v>
                </c:pt>
                <c:pt idx="266">
                  <c:v>0.32727272727272727</c:v>
                </c:pt>
                <c:pt idx="267">
                  <c:v>0.25</c:v>
                </c:pt>
                <c:pt idx="268">
                  <c:v>2.3255813953488372E-2</c:v>
                </c:pt>
                <c:pt idx="269">
                  <c:v>7.4999999999999997E-2</c:v>
                </c:pt>
                <c:pt idx="270">
                  <c:v>0.14893617021276595</c:v>
                </c:pt>
                <c:pt idx="271">
                  <c:v>7.8431372549019607E-2</c:v>
                </c:pt>
                <c:pt idx="272">
                  <c:v>8.9285714285714288E-2</c:v>
                </c:pt>
                <c:pt idx="273">
                  <c:v>0.14285714285714285</c:v>
                </c:pt>
                <c:pt idx="274">
                  <c:v>9.2592592592592587E-2</c:v>
                </c:pt>
                <c:pt idx="275">
                  <c:v>3.5714285714285712E-2</c:v>
                </c:pt>
                <c:pt idx="276">
                  <c:v>0.19148936170212766</c:v>
                </c:pt>
                <c:pt idx="277">
                  <c:v>6.8181818181818177E-2</c:v>
                </c:pt>
                <c:pt idx="278">
                  <c:v>2.3255813953488372E-2</c:v>
                </c:pt>
                <c:pt idx="279">
                  <c:v>2.3809523809523808E-2</c:v>
                </c:pt>
                <c:pt idx="280">
                  <c:v>6.6666666666666666E-2</c:v>
                </c:pt>
                <c:pt idx="281">
                  <c:v>0.1</c:v>
                </c:pt>
                <c:pt idx="282">
                  <c:v>4.1666666666666664E-2</c:v>
                </c:pt>
                <c:pt idx="283">
                  <c:v>0.11627906976744186</c:v>
                </c:pt>
                <c:pt idx="284">
                  <c:v>7.4999999999999997E-2</c:v>
                </c:pt>
                <c:pt idx="285">
                  <c:v>0.32203389830508472</c:v>
                </c:pt>
                <c:pt idx="286">
                  <c:v>0.43902439024390244</c:v>
                </c:pt>
                <c:pt idx="287">
                  <c:v>2.3809523809523808E-2</c:v>
                </c:pt>
                <c:pt idx="288">
                  <c:v>0.17647058823529413</c:v>
                </c:pt>
                <c:pt idx="289">
                  <c:v>4.0816326530612242E-2</c:v>
                </c:pt>
                <c:pt idx="290">
                  <c:v>8.8888888888888892E-2</c:v>
                </c:pt>
                <c:pt idx="291">
                  <c:v>4.6511627906976744E-2</c:v>
                </c:pt>
                <c:pt idx="292">
                  <c:v>2.3809523809523808E-2</c:v>
                </c:pt>
                <c:pt idx="293">
                  <c:v>0.10526315789473684</c:v>
                </c:pt>
                <c:pt idx="294">
                  <c:v>0.19148936170212766</c:v>
                </c:pt>
                <c:pt idx="295">
                  <c:v>0.23684210526315788</c:v>
                </c:pt>
                <c:pt idx="296">
                  <c:v>5.5555555555555552E-2</c:v>
                </c:pt>
                <c:pt idx="297">
                  <c:v>0.14285714285714285</c:v>
                </c:pt>
                <c:pt idx="298">
                  <c:v>0.2</c:v>
                </c:pt>
                <c:pt idx="299">
                  <c:v>0.25</c:v>
                </c:pt>
                <c:pt idx="300">
                  <c:v>0.36363636363636365</c:v>
                </c:pt>
                <c:pt idx="301">
                  <c:v>0.22222222222222221</c:v>
                </c:pt>
                <c:pt idx="302">
                  <c:v>0.2</c:v>
                </c:pt>
                <c:pt idx="303">
                  <c:v>2.1739130434782608E-2</c:v>
                </c:pt>
                <c:pt idx="304">
                  <c:v>4.1666666666666664E-2</c:v>
                </c:pt>
                <c:pt idx="305">
                  <c:v>2.0408163265306121E-2</c:v>
                </c:pt>
                <c:pt idx="306">
                  <c:v>0.13953488372093023</c:v>
                </c:pt>
                <c:pt idx="307">
                  <c:v>2.3809523809523808E-2</c:v>
                </c:pt>
                <c:pt idx="308">
                  <c:v>0.28813559322033899</c:v>
                </c:pt>
                <c:pt idx="309">
                  <c:v>0.31111111111111112</c:v>
                </c:pt>
                <c:pt idx="310">
                  <c:v>0.13461538461538461</c:v>
                </c:pt>
                <c:pt idx="311">
                  <c:v>0.13043478260869565</c:v>
                </c:pt>
                <c:pt idx="312">
                  <c:v>9.5238095238095233E-2</c:v>
                </c:pt>
                <c:pt idx="313">
                  <c:v>0.05</c:v>
                </c:pt>
                <c:pt idx="314">
                  <c:v>0</c:v>
                </c:pt>
                <c:pt idx="315">
                  <c:v>0.1111111111111111</c:v>
                </c:pt>
                <c:pt idx="316">
                  <c:v>0.2857142857142857</c:v>
                </c:pt>
                <c:pt idx="317">
                  <c:v>0</c:v>
                </c:pt>
                <c:pt idx="318">
                  <c:v>0.125</c:v>
                </c:pt>
                <c:pt idx="319">
                  <c:v>2.564102564102564E-2</c:v>
                </c:pt>
                <c:pt idx="320">
                  <c:v>0.18181818181818182</c:v>
                </c:pt>
                <c:pt idx="321">
                  <c:v>0.21428571428571427</c:v>
                </c:pt>
                <c:pt idx="322">
                  <c:v>0.10638297872340426</c:v>
                </c:pt>
                <c:pt idx="323">
                  <c:v>7.8431372549019607E-2</c:v>
                </c:pt>
                <c:pt idx="324">
                  <c:v>0.15909090909090909</c:v>
                </c:pt>
                <c:pt idx="325">
                  <c:v>0.1</c:v>
                </c:pt>
                <c:pt idx="326">
                  <c:v>0.2982456140350877</c:v>
                </c:pt>
                <c:pt idx="327">
                  <c:v>0.16326530612244897</c:v>
                </c:pt>
                <c:pt idx="328">
                  <c:v>8.8888888888888892E-2</c:v>
                </c:pt>
                <c:pt idx="329">
                  <c:v>8.1632653061224483E-2</c:v>
                </c:pt>
                <c:pt idx="330">
                  <c:v>3.9215686274509803E-2</c:v>
                </c:pt>
                <c:pt idx="331">
                  <c:v>0.10869565217391304</c:v>
                </c:pt>
                <c:pt idx="332">
                  <c:v>4.5454545454545456E-2</c:v>
                </c:pt>
                <c:pt idx="333">
                  <c:v>0.15384615384615385</c:v>
                </c:pt>
                <c:pt idx="334">
                  <c:v>0.15555555555555556</c:v>
                </c:pt>
                <c:pt idx="335">
                  <c:v>0.40625</c:v>
                </c:pt>
                <c:pt idx="336">
                  <c:v>0.30434782608695654</c:v>
                </c:pt>
                <c:pt idx="337">
                  <c:v>0.12195121951219512</c:v>
                </c:pt>
                <c:pt idx="338">
                  <c:v>0.20588235294117646</c:v>
                </c:pt>
                <c:pt idx="339">
                  <c:v>3.0303030303030304E-2</c:v>
                </c:pt>
                <c:pt idx="340">
                  <c:v>8.3333333333333329E-2</c:v>
                </c:pt>
                <c:pt idx="341">
                  <c:v>0.26530612244897961</c:v>
                </c:pt>
                <c:pt idx="342">
                  <c:v>0.13953488372093023</c:v>
                </c:pt>
                <c:pt idx="343">
                  <c:v>0</c:v>
                </c:pt>
                <c:pt idx="344">
                  <c:v>0.26470588235294118</c:v>
                </c:pt>
                <c:pt idx="345">
                  <c:v>0.12820512820512819</c:v>
                </c:pt>
                <c:pt idx="346">
                  <c:v>0.11428571428571428</c:v>
                </c:pt>
                <c:pt idx="347">
                  <c:v>0.32692307692307693</c:v>
                </c:pt>
                <c:pt idx="348">
                  <c:v>0.10638297872340426</c:v>
                </c:pt>
                <c:pt idx="349">
                  <c:v>9.6153846153846159E-2</c:v>
                </c:pt>
                <c:pt idx="350">
                  <c:v>0.33333333333333331</c:v>
                </c:pt>
                <c:pt idx="351">
                  <c:v>2.5000000000000001E-2</c:v>
                </c:pt>
                <c:pt idx="352">
                  <c:v>4.7619047619047616E-2</c:v>
                </c:pt>
                <c:pt idx="353">
                  <c:v>0</c:v>
                </c:pt>
                <c:pt idx="354">
                  <c:v>0.20754716981132076</c:v>
                </c:pt>
                <c:pt idx="355">
                  <c:v>0.35897435897435898</c:v>
                </c:pt>
                <c:pt idx="356">
                  <c:v>2.5000000000000001E-2</c:v>
                </c:pt>
                <c:pt idx="357">
                  <c:v>5.2631578947368418E-2</c:v>
                </c:pt>
                <c:pt idx="358">
                  <c:v>0.13636363636363635</c:v>
                </c:pt>
                <c:pt idx="359">
                  <c:v>0.29411764705882354</c:v>
                </c:pt>
                <c:pt idx="360">
                  <c:v>8.1081081081081086E-2</c:v>
                </c:pt>
                <c:pt idx="361">
                  <c:v>0.28846153846153844</c:v>
                </c:pt>
                <c:pt idx="362">
                  <c:v>8.3333333333333329E-2</c:v>
                </c:pt>
                <c:pt idx="363">
                  <c:v>0.12727272727272726</c:v>
                </c:pt>
                <c:pt idx="36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4C-4ED6-A3A9-1CABCA243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4044128"/>
        <c:axId val="774045208"/>
      </c:lineChart>
      <c:dateAx>
        <c:axId val="774044128"/>
        <c:scaling>
          <c:orientation val="minMax"/>
        </c:scaling>
        <c:delete val="0"/>
        <c:axPos val="b"/>
        <c:numFmt formatCode="d/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045208"/>
        <c:crosses val="autoZero"/>
        <c:auto val="1"/>
        <c:lblOffset val="100"/>
        <c:baseTimeUnit val="days"/>
      </c:dateAx>
      <c:valAx>
        <c:axId val="77404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04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'Naive Forcast'!$B$1</c:f>
              <c:strCache>
                <c:ptCount val="1"/>
                <c:pt idx="0">
                  <c:v>Daily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'Naive Forcast'!$B$2:$B$458</c:f>
              <c:numCache>
                <c:formatCode>General</c:formatCode>
                <c:ptCount val="457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A-4AC3-9B4D-DBE5A8FF2B03}"/>
            </c:ext>
          </c:extLst>
        </c:ser>
        <c:ser>
          <c:idx val="1"/>
          <c:order val="1"/>
          <c:tx>
            <c:strRef>
              <c:f>'Naive Forcast'!$C$1</c:f>
              <c:strCache>
                <c:ptCount val="1"/>
                <c:pt idx="0">
                  <c:v>Forecast(Daily 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'Naive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'Naive Forcast'!$C$2:$C$458</c:f>
              <c:numCache>
                <c:formatCode>General</c:formatCode>
                <c:ptCount val="457"/>
                <c:pt idx="364">
                  <c:v>50</c:v>
                </c:pt>
                <c:pt idx="365">
                  <c:v>47.07848099046906</c:v>
                </c:pt>
                <c:pt idx="366">
                  <c:v>44.540814102244376</c:v>
                </c:pt>
                <c:pt idx="367">
                  <c:v>44.781489063466779</c:v>
                </c:pt>
                <c:pt idx="368">
                  <c:v>54.908684154817522</c:v>
                </c:pt>
                <c:pt idx="369">
                  <c:v>49.366808680756009</c:v>
                </c:pt>
                <c:pt idx="370">
                  <c:v>50.330835805359378</c:v>
                </c:pt>
                <c:pt idx="371">
                  <c:v>48.075340586273391</c:v>
                </c:pt>
                <c:pt idx="372">
                  <c:v>47.349610477405825</c:v>
                </c:pt>
                <c:pt idx="373">
                  <c:v>44.811943589181141</c:v>
                </c:pt>
                <c:pt idx="374">
                  <c:v>45.052618550403551</c:v>
                </c:pt>
                <c:pt idx="375">
                  <c:v>55.179813641754293</c:v>
                </c:pt>
                <c:pt idx="376">
                  <c:v>49.637938167692774</c:v>
                </c:pt>
                <c:pt idx="377">
                  <c:v>50.601965292296143</c:v>
                </c:pt>
                <c:pt idx="378">
                  <c:v>48.346470073210163</c:v>
                </c:pt>
                <c:pt idx="379">
                  <c:v>47.620739964342597</c:v>
                </c:pt>
                <c:pt idx="380">
                  <c:v>45.083073076117905</c:v>
                </c:pt>
                <c:pt idx="381">
                  <c:v>45.323748037340316</c:v>
                </c:pt>
                <c:pt idx="382">
                  <c:v>55.450943128691058</c:v>
                </c:pt>
                <c:pt idx="383">
                  <c:v>49.909067654629546</c:v>
                </c:pt>
                <c:pt idx="384">
                  <c:v>50.873094779232915</c:v>
                </c:pt>
                <c:pt idx="385">
                  <c:v>48.617599560146928</c:v>
                </c:pt>
                <c:pt idx="386">
                  <c:v>47.891869451279362</c:v>
                </c:pt>
                <c:pt idx="387">
                  <c:v>45.354202563054677</c:v>
                </c:pt>
                <c:pt idx="388">
                  <c:v>45.594877524277088</c:v>
                </c:pt>
                <c:pt idx="389">
                  <c:v>55.722072615627823</c:v>
                </c:pt>
                <c:pt idx="390">
                  <c:v>50.18019714156631</c:v>
                </c:pt>
                <c:pt idx="391">
                  <c:v>51.14422426616968</c:v>
                </c:pt>
                <c:pt idx="392">
                  <c:v>48.8887290470837</c:v>
                </c:pt>
                <c:pt idx="393">
                  <c:v>48.162998938216134</c:v>
                </c:pt>
                <c:pt idx="394">
                  <c:v>45.625332049991442</c:v>
                </c:pt>
                <c:pt idx="395">
                  <c:v>45.866007011213853</c:v>
                </c:pt>
                <c:pt idx="396">
                  <c:v>55.993202102564595</c:v>
                </c:pt>
                <c:pt idx="397">
                  <c:v>50.451326628503082</c:v>
                </c:pt>
                <c:pt idx="398">
                  <c:v>51.415353753106444</c:v>
                </c:pt>
                <c:pt idx="399">
                  <c:v>49.159858534020465</c:v>
                </c:pt>
                <c:pt idx="400">
                  <c:v>48.434128425152899</c:v>
                </c:pt>
                <c:pt idx="401">
                  <c:v>45.896461536928214</c:v>
                </c:pt>
                <c:pt idx="402">
                  <c:v>46.137136498150625</c:v>
                </c:pt>
                <c:pt idx="403">
                  <c:v>56.26433158950136</c:v>
                </c:pt>
                <c:pt idx="404">
                  <c:v>50.722456115439847</c:v>
                </c:pt>
                <c:pt idx="405">
                  <c:v>51.686483240043216</c:v>
                </c:pt>
                <c:pt idx="406">
                  <c:v>49.430988020957237</c:v>
                </c:pt>
                <c:pt idx="407">
                  <c:v>48.705257912089664</c:v>
                </c:pt>
                <c:pt idx="408">
                  <c:v>46.167591023864979</c:v>
                </c:pt>
                <c:pt idx="409">
                  <c:v>46.40826598508739</c:v>
                </c:pt>
                <c:pt idx="410">
                  <c:v>56.535461076438132</c:v>
                </c:pt>
                <c:pt idx="411">
                  <c:v>50.993585602376619</c:v>
                </c:pt>
                <c:pt idx="412">
                  <c:v>51.957612726979981</c:v>
                </c:pt>
                <c:pt idx="413">
                  <c:v>49.702117507894002</c:v>
                </c:pt>
                <c:pt idx="414">
                  <c:v>48.976387399026436</c:v>
                </c:pt>
                <c:pt idx="415">
                  <c:v>46.438720510801751</c:v>
                </c:pt>
                <c:pt idx="416">
                  <c:v>46.679395472024154</c:v>
                </c:pt>
                <c:pt idx="417">
                  <c:v>56.806590563374897</c:v>
                </c:pt>
                <c:pt idx="418">
                  <c:v>51.264715089313384</c:v>
                </c:pt>
                <c:pt idx="419">
                  <c:v>52.228742213916753</c:v>
                </c:pt>
                <c:pt idx="420">
                  <c:v>49.973246994830774</c:v>
                </c:pt>
                <c:pt idx="421">
                  <c:v>49.247516885963201</c:v>
                </c:pt>
                <c:pt idx="422">
                  <c:v>46.709849997738516</c:v>
                </c:pt>
                <c:pt idx="423">
                  <c:v>46.950524958960926</c:v>
                </c:pt>
                <c:pt idx="424">
                  <c:v>57.077720050311669</c:v>
                </c:pt>
                <c:pt idx="425">
                  <c:v>51.535844576250149</c:v>
                </c:pt>
                <c:pt idx="426">
                  <c:v>52.499871700853518</c:v>
                </c:pt>
                <c:pt idx="427">
                  <c:v>50.244376481767539</c:v>
                </c:pt>
                <c:pt idx="428">
                  <c:v>49.518646372899973</c:v>
                </c:pt>
                <c:pt idx="429">
                  <c:v>46.980979484675281</c:v>
                </c:pt>
                <c:pt idx="430">
                  <c:v>47.221654445897691</c:v>
                </c:pt>
                <c:pt idx="431">
                  <c:v>57.348849537248434</c:v>
                </c:pt>
                <c:pt idx="432">
                  <c:v>51.806974063186921</c:v>
                </c:pt>
                <c:pt idx="433">
                  <c:v>52.77100118779029</c:v>
                </c:pt>
                <c:pt idx="434">
                  <c:v>50.515505968704304</c:v>
                </c:pt>
                <c:pt idx="435">
                  <c:v>49.789775859836737</c:v>
                </c:pt>
                <c:pt idx="436">
                  <c:v>47.252108971612053</c:v>
                </c:pt>
                <c:pt idx="437">
                  <c:v>47.492783932834463</c:v>
                </c:pt>
                <c:pt idx="438">
                  <c:v>57.619979024185206</c:v>
                </c:pt>
                <c:pt idx="439">
                  <c:v>52.078103550123686</c:v>
                </c:pt>
                <c:pt idx="440">
                  <c:v>53.042130674727055</c:v>
                </c:pt>
                <c:pt idx="441">
                  <c:v>50.786635455641076</c:v>
                </c:pt>
                <c:pt idx="442">
                  <c:v>50.060905346773509</c:v>
                </c:pt>
                <c:pt idx="443">
                  <c:v>47.523238458548818</c:v>
                </c:pt>
                <c:pt idx="444">
                  <c:v>47.763913419771228</c:v>
                </c:pt>
                <c:pt idx="445">
                  <c:v>57.891108511121971</c:v>
                </c:pt>
                <c:pt idx="446">
                  <c:v>52.349233037060458</c:v>
                </c:pt>
                <c:pt idx="447">
                  <c:v>53.31326016166382</c:v>
                </c:pt>
                <c:pt idx="448">
                  <c:v>51.05776494257784</c:v>
                </c:pt>
                <c:pt idx="449">
                  <c:v>50.332034833710274</c:v>
                </c:pt>
                <c:pt idx="450">
                  <c:v>47.79436794548559</c:v>
                </c:pt>
                <c:pt idx="451">
                  <c:v>48.035042906708</c:v>
                </c:pt>
                <c:pt idx="452">
                  <c:v>58.162237998058735</c:v>
                </c:pt>
                <c:pt idx="453">
                  <c:v>52.620362523997223</c:v>
                </c:pt>
                <c:pt idx="454">
                  <c:v>53.584389648600592</c:v>
                </c:pt>
                <c:pt idx="455">
                  <c:v>51.328894429514612</c:v>
                </c:pt>
                <c:pt idx="456">
                  <c:v>50.603164320647046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A-4AC3-9B4D-DBE5A8FF2B03}"/>
            </c:ext>
          </c:extLst>
        </c:ser>
        <c:ser>
          <c:idx val="2"/>
          <c:order val="2"/>
          <c:tx>
            <c:strRef>
              <c:f>'Naive Forcast'!$D$1</c:f>
              <c:strCache>
                <c:ptCount val="1"/>
                <c:pt idx="0">
                  <c:v>Lower Confidence Bound(Daily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'Naive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'Naive Forcast'!$D$2:$D$458</c:f>
              <c:numCache>
                <c:formatCode>General</c:formatCode>
                <c:ptCount val="457"/>
                <c:pt idx="364" formatCode="0.00">
                  <c:v>50</c:v>
                </c:pt>
                <c:pt idx="365" formatCode="0.00">
                  <c:v>32.414654408906244</c:v>
                </c:pt>
                <c:pt idx="366" formatCode="0.00">
                  <c:v>29.41854786793655</c:v>
                </c:pt>
                <c:pt idx="367" formatCode="0.00">
                  <c:v>29.210790583550015</c:v>
                </c:pt>
                <c:pt idx="368" formatCode="0.00">
                  <c:v>38.898706473903815</c:v>
                </c:pt>
                <c:pt idx="369" formatCode="0.00">
                  <c:v>32.925958073517805</c:v>
                </c:pt>
                <c:pt idx="370" formatCode="0.00">
                  <c:v>33.46686144441432</c:v>
                </c:pt>
                <c:pt idx="371" formatCode="0.00">
                  <c:v>30.795409942019152</c:v>
                </c:pt>
                <c:pt idx="372" formatCode="0.00">
                  <c:v>28.53241249700163</c:v>
                </c:pt>
                <c:pt idx="373" formatCode="0.00">
                  <c:v>25.615297518648745</c:v>
                </c:pt>
                <c:pt idx="374" formatCode="0.00">
                  <c:v>25.481029439801333</c:v>
                </c:pt>
                <c:pt idx="375" formatCode="0.00">
                  <c:v>35.237521653113248</c:v>
                </c:pt>
                <c:pt idx="376" formatCode="0.00">
                  <c:v>29.328940685029377</c:v>
                </c:pt>
                <c:pt idx="377" formatCode="0.00">
                  <c:v>29.93003656414654</c:v>
                </c:pt>
                <c:pt idx="378" formatCode="0.00">
                  <c:v>27.315178729394805</c:v>
                </c:pt>
                <c:pt idx="379" formatCode="0.00">
                  <c:v>25.274689608643374</c:v>
                </c:pt>
                <c:pt idx="380" formatCode="0.00">
                  <c:v>22.399147617220663</c:v>
                </c:pt>
                <c:pt idx="381" formatCode="0.00">
                  <c:v>22.304417209253565</c:v>
                </c:pt>
                <c:pt idx="382" formatCode="0.00">
                  <c:v>32.098561040360948</c:v>
                </c:pt>
                <c:pt idx="383" formatCode="0.00">
                  <c:v>26.225880019520226</c:v>
                </c:pt>
                <c:pt idx="384" formatCode="0.00">
                  <c:v>26.861245539538224</c:v>
                </c:pt>
                <c:pt idx="385" formatCode="0.00">
                  <c:v>24.27913696890926</c:v>
                </c:pt>
                <c:pt idx="386" formatCode="0.00">
                  <c:v>22.378100637382609</c:v>
                </c:pt>
                <c:pt idx="387" formatCode="0.00">
                  <c:v>19.528281345380467</c:v>
                </c:pt>
                <c:pt idx="388" formatCode="0.00">
                  <c:v>19.458281827703725</c:v>
                </c:pt>
                <c:pt idx="389" formatCode="0.00">
                  <c:v>29.276220148020414</c:v>
                </c:pt>
                <c:pt idx="390" formatCode="0.00">
                  <c:v>23.426448409956848</c:v>
                </c:pt>
                <c:pt idx="391" formatCode="0.00">
                  <c:v>24.08388539119122</c:v>
                </c:pt>
                <c:pt idx="392" formatCode="0.00">
                  <c:v>21.52305439254971</c:v>
                </c:pt>
                <c:pt idx="393" formatCode="0.00">
                  <c:v>19.719128830933382</c:v>
                </c:pt>
                <c:pt idx="394" formatCode="0.00">
                  <c:v>16.886648590495909</c:v>
                </c:pt>
                <c:pt idx="395" formatCode="0.00">
                  <c:v>16.833426383725545</c:v>
                </c:pt>
                <c:pt idx="396" formatCode="0.00">
                  <c:v>26.667605613231686</c:v>
                </c:pt>
                <c:pt idx="397" formatCode="0.00">
                  <c:v>20.833562166420574</c:v>
                </c:pt>
                <c:pt idx="398" formatCode="0.00">
                  <c:v>21.506237170099535</c:v>
                </c:pt>
                <c:pt idx="399" formatCode="0.00">
                  <c:v>18.960174948851929</c:v>
                </c:pt>
                <c:pt idx="400" formatCode="0.00">
                  <c:v>17.228399490386408</c:v>
                </c:pt>
                <c:pt idx="401" formatCode="0.00">
                  <c:v>14.408223351326622</c:v>
                </c:pt>
                <c:pt idx="402" formatCode="0.00">
                  <c:v>14.366955341805426</c:v>
                </c:pt>
                <c:pt idx="403" formatCode="0.00">
                  <c:v>24.212752089776494</c:v>
                </c:pt>
                <c:pt idx="404" formatCode="0.00">
                  <c:v>18.390002029036616</c:v>
                </c:pt>
                <c:pt idx="405" formatCode="0.00">
                  <c:v>19.073658197904024</c:v>
                </c:pt>
                <c:pt idx="406" formatCode="0.00">
                  <c:v>16.5382762382199</c:v>
                </c:pt>
                <c:pt idx="407" formatCode="0.00">
                  <c:v>14.862515363988024</c:v>
                </c:pt>
                <c:pt idx="408" formatCode="0.00">
                  <c:v>12.051357835491565</c:v>
                </c:pt>
                <c:pt idx="409" formatCode="0.00">
                  <c:v>12.018875729807299</c:v>
                </c:pt>
                <c:pt idx="410" formatCode="0.00">
                  <c:v>21.873233237879447</c:v>
                </c:pt>
                <c:pt idx="411" formatCode="0.00">
                  <c:v>16.058826023617669</c:v>
                </c:pt>
                <c:pt idx="412" formatCode="0.00">
                  <c:v>16.75061404111942</c:v>
                </c:pt>
                <c:pt idx="413" formatCode="0.00">
                  <c:v>14.223159550968859</c:v>
                </c:pt>
                <c:pt idx="414" formatCode="0.00">
                  <c:v>12.592292381580393</c:v>
                </c:pt>
                <c:pt idx="415" formatCode="0.00">
                  <c:v>9.7878800722301733</c:v>
                </c:pt>
                <c:pt idx="416" formatCode="0.00">
                  <c:v>9.761980865389468</c:v>
                </c:pt>
                <c:pt idx="417" formatCode="0.00">
                  <c:v>19.622763575721336</c:v>
                </c:pt>
                <c:pt idx="418" formatCode="0.00">
                  <c:v>13.814628313205368</c:v>
                </c:pt>
                <c:pt idx="419" formatCode="0.00">
                  <c:v>14.512539309003508</c:v>
                </c:pt>
                <c:pt idx="420" formatCode="0.00">
                  <c:v>11.991062939894285</c:v>
                </c:pt>
                <c:pt idx="421" formatCode="0.00">
                  <c:v>10.397053972219801</c:v>
                </c:pt>
                <c:pt idx="422" formatCode="0.00">
                  <c:v>7.5977436011081636</c:v>
                </c:pt>
                <c:pt idx="423" formatCode="0.00">
                  <c:v>7.5768289537686542</c:v>
                </c:pt>
                <c:pt idx="424" formatCode="0.00">
                  <c:v>17.442481819014844</c:v>
                </c:pt>
                <c:pt idx="425" formatCode="0.00">
                  <c:v>11.639105179852955</c:v>
                </c:pt>
                <c:pt idx="426" formatCode="0.00">
                  <c:v>12.341666043702332</c:v>
                </c:pt>
                <c:pt idx="427" formatCode="0.00">
                  <c:v>9.8247334709574901</c:v>
                </c:pt>
                <c:pt idx="428" formatCode="0.00">
                  <c:v>8.2615618009675345</c:v>
                </c:pt>
                <c:pt idx="429" formatCode="0.00">
                  <c:v>5.4661247718831447</c:v>
                </c:pt>
                <c:pt idx="430" formatCode="0.00">
                  <c:v>5.448996177348242</c:v>
                </c:pt>
                <c:pt idx="431" formatCode="0.00">
                  <c:v>15.318349796922668</c:v>
                </c:pt>
                <c:pt idx="432" formatCode="0.00">
                  <c:v>9.5185905438160816</c:v>
                </c:pt>
                <c:pt idx="433" formatCode="0.00">
                  <c:v>10.224687297439644</c:v>
                </c:pt>
                <c:pt idx="434" formatCode="0.00">
                  <c:v>7.7112109341906105</c:v>
                </c:pt>
                <c:pt idx="435" formatCode="0.00">
                  <c:v>6.1742332676997407</c:v>
                </c:pt>
                <c:pt idx="436" formatCode="0.00">
                  <c:v>3.3817260343726829</c:v>
                </c:pt>
                <c:pt idx="437" formatCode="0.00">
                  <c:v>3.3674608694166821</c:v>
                </c:pt>
                <c:pt idx="438" formatCode="0.00">
                  <c:v>13.239612927959335</c:v>
                </c:pt>
                <c:pt idx="439" formatCode="0.00">
                  <c:v>7.4425884610404296</c:v>
                </c:pt>
                <c:pt idx="440" formatCode="0.00">
                  <c:v>8.1513576494733826</c:v>
                </c:pt>
                <c:pt idx="441" formatCode="0.00">
                  <c:v>5.640492635884641</c:v>
                </c:pt>
                <c:pt idx="442" formatCode="0.00">
                  <c:v>4.1260431788882954</c:v>
                </c:pt>
                <c:pt idx="443" formatCode="0.00">
                  <c:v>1.3357251290097025</c:v>
                </c:pt>
                <c:pt idx="444" formatCode="0.00">
                  <c:v>1.3235977869410149</c:v>
                </c:pt>
                <c:pt idx="445" formatCode="0.00">
                  <c:v>11.197837283140366</c:v>
                </c:pt>
                <c:pt idx="446" formatCode="0.00">
                  <c:v>5.4028508196749101</c:v>
                </c:pt>
                <c:pt idx="447" formatCode="0.00">
                  <c:v>6.113609504847382</c:v>
                </c:pt>
                <c:pt idx="448" formatCode="0.00">
                  <c:v>3.6046863859715259</c:v>
                </c:pt>
                <c:pt idx="449" formatCode="0.00">
                  <c:v>2.1098142628827361</c:v>
                </c:pt>
                <c:pt idx="450" formatCode="0.00">
                  <c:v>-0.67890650983567014</c:v>
                </c:pt>
                <c:pt idx="451" formatCode="0.00">
                  <c:v>-0.68947689365941756</c:v>
                </c:pt>
                <c:pt idx="452" formatCode="0.00">
                  <c:v>9.1862799481782531</c:v>
                </c:pt>
                <c:pt idx="453" formatCode="0.00">
                  <c:v>3.3927719079789682</c:v>
                </c:pt>
                <c:pt idx="454" formatCode="0.00">
                  <c:v>4.1049707686670445</c:v>
                </c:pt>
                <c:pt idx="455" formatCode="0.00">
                  <c:v>1.5974502370102144</c:v>
                </c:pt>
                <c:pt idx="456" formatCode="0.00">
                  <c:v>0.11974082460254465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A-4AC3-9B4D-DBE5A8FF2B03}"/>
            </c:ext>
          </c:extLst>
        </c:ser>
        <c:ser>
          <c:idx val="3"/>
          <c:order val="3"/>
          <c:tx>
            <c:strRef>
              <c:f>'Naive Forcast'!$E$1</c:f>
              <c:strCache>
                <c:ptCount val="1"/>
                <c:pt idx="0">
                  <c:v>Upper Confidence Bound(Daily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'Naive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'Naive Forcast'!$E$2:$E$458</c:f>
              <c:numCache>
                <c:formatCode>General</c:formatCode>
                <c:ptCount val="457"/>
                <c:pt idx="364" formatCode="0.00">
                  <c:v>50</c:v>
                </c:pt>
                <c:pt idx="365" formatCode="0.00">
                  <c:v>61.742307572031876</c:v>
                </c:pt>
                <c:pt idx="366" formatCode="0.00">
                  <c:v>59.663080336552198</c:v>
                </c:pt>
                <c:pt idx="367" formatCode="0.00">
                  <c:v>60.352187543383543</c:v>
                </c:pt>
                <c:pt idx="368" formatCode="0.00">
                  <c:v>70.918661835731228</c:v>
                </c:pt>
                <c:pt idx="369" formatCode="0.00">
                  <c:v>65.807659287994213</c:v>
                </c:pt>
                <c:pt idx="370" formatCode="0.00">
                  <c:v>67.194810166304435</c:v>
                </c:pt>
                <c:pt idx="371" formatCode="0.00">
                  <c:v>65.355271230527634</c:v>
                </c:pt>
                <c:pt idx="372" formatCode="0.00">
                  <c:v>66.166808457810021</c:v>
                </c:pt>
                <c:pt idx="373" formatCode="0.00">
                  <c:v>64.008589659713536</c:v>
                </c:pt>
                <c:pt idx="374" formatCode="0.00">
                  <c:v>64.624207661005769</c:v>
                </c:pt>
                <c:pt idx="375" formatCode="0.00">
                  <c:v>75.122105630395339</c:v>
                </c:pt>
                <c:pt idx="376" formatCode="0.00">
                  <c:v>69.946935650356167</c:v>
                </c:pt>
                <c:pt idx="377" formatCode="0.00">
                  <c:v>71.273894020445738</c:v>
                </c:pt>
                <c:pt idx="378" formatCode="0.00">
                  <c:v>69.377761417025525</c:v>
                </c:pt>
                <c:pt idx="379" formatCode="0.00">
                  <c:v>69.966790320041824</c:v>
                </c:pt>
                <c:pt idx="380" formatCode="0.00">
                  <c:v>67.766998535015148</c:v>
                </c:pt>
                <c:pt idx="381" formatCode="0.00">
                  <c:v>68.34307886542706</c:v>
                </c:pt>
                <c:pt idx="382" formatCode="0.00">
                  <c:v>78.803325217021168</c:v>
                </c:pt>
                <c:pt idx="383" formatCode="0.00">
                  <c:v>73.592255289738858</c:v>
                </c:pt>
                <c:pt idx="384" formatCode="0.00">
                  <c:v>74.884944018927598</c:v>
                </c:pt>
                <c:pt idx="385" formatCode="0.00">
                  <c:v>72.9560621513846</c:v>
                </c:pt>
                <c:pt idx="386" formatCode="0.00">
                  <c:v>73.405638265176123</c:v>
                </c:pt>
                <c:pt idx="387" formatCode="0.00">
                  <c:v>71.180123780728891</c:v>
                </c:pt>
                <c:pt idx="388" formatCode="0.00">
                  <c:v>71.731473220850447</c:v>
                </c:pt>
                <c:pt idx="389" formatCode="0.00">
                  <c:v>82.167925083235232</c:v>
                </c:pt>
                <c:pt idx="390" formatCode="0.00">
                  <c:v>76.933945873175773</c:v>
                </c:pt>
                <c:pt idx="391" formatCode="0.00">
                  <c:v>78.204563141148142</c:v>
                </c:pt>
                <c:pt idx="392" formatCode="0.00">
                  <c:v>76.25440370161769</c:v>
                </c:pt>
                <c:pt idx="393" formatCode="0.00">
                  <c:v>76.606869045498883</c:v>
                </c:pt>
                <c:pt idx="394" formatCode="0.00">
                  <c:v>74.364015509486975</c:v>
                </c:pt>
                <c:pt idx="395" formatCode="0.00">
                  <c:v>74.898587638702168</c:v>
                </c:pt>
                <c:pt idx="396" formatCode="0.00">
                  <c:v>85.318798591897504</c:v>
                </c:pt>
                <c:pt idx="397" formatCode="0.00">
                  <c:v>80.069091090585587</c:v>
                </c:pt>
                <c:pt idx="398" formatCode="0.00">
                  <c:v>81.32447033611335</c:v>
                </c:pt>
                <c:pt idx="399" formatCode="0.00">
                  <c:v>79.359542119189001</c:v>
                </c:pt>
                <c:pt idx="400" formatCode="0.00">
                  <c:v>79.63985735991939</c:v>
                </c:pt>
                <c:pt idx="401" formatCode="0.00">
                  <c:v>77.384699722529803</c:v>
                </c:pt>
                <c:pt idx="402" formatCode="0.00">
                  <c:v>77.907317654495827</c:v>
                </c:pt>
                <c:pt idx="403" formatCode="0.00">
                  <c:v>88.315911089226233</c:v>
                </c:pt>
                <c:pt idx="404" formatCode="0.00">
                  <c:v>83.054910201843086</c:v>
                </c:pt>
                <c:pt idx="405" formatCode="0.00">
                  <c:v>84.299308282182409</c:v>
                </c:pt>
                <c:pt idx="406" formatCode="0.00">
                  <c:v>82.323699803694581</c:v>
                </c:pt>
                <c:pt idx="407" formatCode="0.00">
                  <c:v>82.548000460191304</c:v>
                </c:pt>
                <c:pt idx="408" formatCode="0.00">
                  <c:v>80.283824212238386</c:v>
                </c:pt>
                <c:pt idx="409" formatCode="0.00">
                  <c:v>80.797656240367473</c:v>
                </c:pt>
                <c:pt idx="410" formatCode="0.00">
                  <c:v>91.197688914996817</c:v>
                </c:pt>
                <c:pt idx="411" formatCode="0.00">
                  <c:v>85.928345181135569</c:v>
                </c:pt>
                <c:pt idx="412" formatCode="0.00">
                  <c:v>87.164611412840543</c:v>
                </c:pt>
                <c:pt idx="413" formatCode="0.00">
                  <c:v>85.181075464819145</c:v>
                </c:pt>
                <c:pt idx="414" formatCode="0.00">
                  <c:v>85.360482416472479</c:v>
                </c:pt>
                <c:pt idx="415" formatCode="0.00">
                  <c:v>83.089560949373322</c:v>
                </c:pt>
                <c:pt idx="416" formatCode="0.00">
                  <c:v>83.596810078658848</c:v>
                </c:pt>
                <c:pt idx="417" formatCode="0.00">
                  <c:v>93.990417551028457</c:v>
                </c:pt>
                <c:pt idx="418" formatCode="0.00">
                  <c:v>88.714801865421407</c:v>
                </c:pt>
                <c:pt idx="419" formatCode="0.00">
                  <c:v>89.944945118829992</c:v>
                </c:pt>
                <c:pt idx="420" formatCode="0.00">
                  <c:v>87.95543104976727</c:v>
                </c:pt>
                <c:pt idx="421" formatCode="0.00">
                  <c:v>88.097979799706593</c:v>
                </c:pt>
                <c:pt idx="422" formatCode="0.00">
                  <c:v>85.821956394368868</c:v>
                </c:pt>
                <c:pt idx="423" formatCode="0.00">
                  <c:v>86.324220964153199</c:v>
                </c:pt>
                <c:pt idx="424" formatCode="0.00">
                  <c:v>96.712958281608493</c:v>
                </c:pt>
                <c:pt idx="425" formatCode="0.00">
                  <c:v>91.432583972647336</c:v>
                </c:pt>
                <c:pt idx="426" formatCode="0.00">
                  <c:v>92.658077358004704</c:v>
                </c:pt>
                <c:pt idx="427" formatCode="0.00">
                  <c:v>90.66401949257758</c:v>
                </c:pt>
                <c:pt idx="428" formatCode="0.00">
                  <c:v>90.775730944832418</c:v>
                </c:pt>
                <c:pt idx="429" formatCode="0.00">
                  <c:v>88.495834197467417</c:v>
                </c:pt>
                <c:pt idx="430" formatCode="0.00">
                  <c:v>88.994312714447148</c:v>
                </c:pt>
                <c:pt idx="431" formatCode="0.00">
                  <c:v>99.379349277574192</c:v>
                </c:pt>
                <c:pt idx="432" formatCode="0.00">
                  <c:v>94.095357582557767</c:v>
                </c:pt>
                <c:pt idx="433" formatCode="0.00">
                  <c:v>95.317315078140936</c:v>
                </c:pt>
                <c:pt idx="434" formatCode="0.00">
                  <c:v>93.319801003218004</c:v>
                </c:pt>
                <c:pt idx="435" formatCode="0.00">
                  <c:v>93.405318451973727</c:v>
                </c:pt>
                <c:pt idx="436" formatCode="0.00">
                  <c:v>91.12249190885143</c:v>
                </c:pt>
                <c:pt idx="437" formatCode="0.00">
                  <c:v>91.618106996252237</c:v>
                </c:pt>
                <c:pt idx="438" formatCode="0.00">
                  <c:v>102.00034512041108</c:v>
                </c:pt>
                <c:pt idx="439" formatCode="0.00">
                  <c:v>96.713618639206942</c:v>
                </c:pt>
                <c:pt idx="440" formatCode="0.00">
                  <c:v>97.932903699980727</c:v>
                </c:pt>
                <c:pt idx="441" formatCode="0.00">
                  <c:v>95.93277827539751</c:v>
                </c:pt>
                <c:pt idx="442" formatCode="0.00">
                  <c:v>95.995767514658723</c:v>
                </c:pt>
                <c:pt idx="443" formatCode="0.00">
                  <c:v>93.710751788087933</c:v>
                </c:pt>
                <c:pt idx="444" formatCode="0.00">
                  <c:v>94.204229052601448</c:v>
                </c:pt>
                <c:pt idx="445" formatCode="0.00">
                  <c:v>104.58437973910358</c:v>
                </c:pt>
                <c:pt idx="446" formatCode="0.00">
                  <c:v>99.295615254446005</c:v>
                </c:pt>
                <c:pt idx="447" formatCode="0.00">
                  <c:v>100.51291081848026</c:v>
                </c:pt>
                <c:pt idx="448" formatCode="0.00">
                  <c:v>98.510843499184148</c:v>
                </c:pt>
                <c:pt idx="449" formatCode="0.00">
                  <c:v>98.554255404537813</c:v>
                </c:pt>
                <c:pt idx="450" formatCode="0.00">
                  <c:v>96.267642400806849</c:v>
                </c:pt>
                <c:pt idx="451" formatCode="0.00">
                  <c:v>96.759562707075418</c:v>
                </c:pt>
                <c:pt idx="452" formatCode="0.00">
                  <c:v>107.13819604793922</c:v>
                </c:pt>
                <c:pt idx="453" formatCode="0.00">
                  <c:v>101.84795314001548</c:v>
                </c:pt>
                <c:pt idx="454" formatCode="0.00">
                  <c:v>103.06380852853414</c:v>
                </c:pt>
                <c:pt idx="455" formatCode="0.00">
                  <c:v>101.060338622019</c:v>
                </c:pt>
                <c:pt idx="456" formatCode="0.00">
                  <c:v>101.08658781669155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A-4AC3-9B4D-DBE5A8FF2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4846528"/>
        <c:axId val="984846888"/>
      </c:lineChart>
      <c:catAx>
        <c:axId val="98484652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46888"/>
        <c:crosses val="autoZero"/>
        <c:auto val="1"/>
        <c:lblAlgn val="ctr"/>
        <c:lblOffset val="100"/>
        <c:noMultiLvlLbl val="0"/>
      </c:catAx>
      <c:valAx>
        <c:axId val="98484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4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</a:t>
            </a:r>
            <a:r>
              <a:rPr lang="en-US" baseline="0"/>
              <a:t>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'Moving Average'!$A$1:$A$366</c:f>
              <c:strCache>
                <c:ptCount val="366"/>
                <c:pt idx="0">
                  <c:v>Date</c:v>
                </c:pt>
                <c:pt idx="1">
                  <c:v>1/1/1959</c:v>
                </c:pt>
                <c:pt idx="2">
                  <c:v>2/1/1959</c:v>
                </c:pt>
                <c:pt idx="3">
                  <c:v>3/1/1959</c:v>
                </c:pt>
                <c:pt idx="4">
                  <c:v>4/1/1959</c:v>
                </c:pt>
                <c:pt idx="5">
                  <c:v>5/1/1959</c:v>
                </c:pt>
                <c:pt idx="6">
                  <c:v>6/1/1959</c:v>
                </c:pt>
                <c:pt idx="7">
                  <c:v>7/1/1959</c:v>
                </c:pt>
                <c:pt idx="8">
                  <c:v>8/1/1959</c:v>
                </c:pt>
                <c:pt idx="9">
                  <c:v>9/1/1959</c:v>
                </c:pt>
                <c:pt idx="10">
                  <c:v>10/1/1959</c:v>
                </c:pt>
                <c:pt idx="11">
                  <c:v>11/1/1959</c:v>
                </c:pt>
                <c:pt idx="12">
                  <c:v>12/1/1959</c:v>
                </c:pt>
                <c:pt idx="13">
                  <c:v>13/1/1959</c:v>
                </c:pt>
                <c:pt idx="14">
                  <c:v>14/1/1959</c:v>
                </c:pt>
                <c:pt idx="15">
                  <c:v>15/1/1959</c:v>
                </c:pt>
                <c:pt idx="16">
                  <c:v>16/1/1959</c:v>
                </c:pt>
                <c:pt idx="17">
                  <c:v>17/1/1959</c:v>
                </c:pt>
                <c:pt idx="18">
                  <c:v>18/1/1959</c:v>
                </c:pt>
                <c:pt idx="19">
                  <c:v>19/1/1959</c:v>
                </c:pt>
                <c:pt idx="20">
                  <c:v>20/1/1959</c:v>
                </c:pt>
                <c:pt idx="21">
                  <c:v>21/1/1959</c:v>
                </c:pt>
                <c:pt idx="22">
                  <c:v>22/1/1959</c:v>
                </c:pt>
                <c:pt idx="23">
                  <c:v>23/1/1959</c:v>
                </c:pt>
                <c:pt idx="24">
                  <c:v>24/1/1959</c:v>
                </c:pt>
                <c:pt idx="25">
                  <c:v>25/1/1959</c:v>
                </c:pt>
                <c:pt idx="26">
                  <c:v>26/1/1959</c:v>
                </c:pt>
                <c:pt idx="27">
                  <c:v>27/1/1959</c:v>
                </c:pt>
                <c:pt idx="28">
                  <c:v>28/1/1959</c:v>
                </c:pt>
                <c:pt idx="29">
                  <c:v>29/1/1959</c:v>
                </c:pt>
                <c:pt idx="30">
                  <c:v>30/1/1959</c:v>
                </c:pt>
                <c:pt idx="31">
                  <c:v>31/1/1959</c:v>
                </c:pt>
                <c:pt idx="32">
                  <c:v>1/2/1959</c:v>
                </c:pt>
                <c:pt idx="33">
                  <c:v>2/2/1959</c:v>
                </c:pt>
                <c:pt idx="34">
                  <c:v>3/2/1959</c:v>
                </c:pt>
                <c:pt idx="35">
                  <c:v>4/2/1959</c:v>
                </c:pt>
                <c:pt idx="36">
                  <c:v>5/2/1959</c:v>
                </c:pt>
                <c:pt idx="37">
                  <c:v>6/2/1959</c:v>
                </c:pt>
                <c:pt idx="38">
                  <c:v>7/2/1959</c:v>
                </c:pt>
                <c:pt idx="39">
                  <c:v>8/2/1959</c:v>
                </c:pt>
                <c:pt idx="40">
                  <c:v>9/2/1959</c:v>
                </c:pt>
                <c:pt idx="41">
                  <c:v>10/2/1959</c:v>
                </c:pt>
                <c:pt idx="42">
                  <c:v>11/2/1959</c:v>
                </c:pt>
                <c:pt idx="43">
                  <c:v>12/2/1959</c:v>
                </c:pt>
                <c:pt idx="44">
                  <c:v>13/2/1959</c:v>
                </c:pt>
                <c:pt idx="45">
                  <c:v>14/2/1959</c:v>
                </c:pt>
                <c:pt idx="46">
                  <c:v>15/2/1959</c:v>
                </c:pt>
                <c:pt idx="47">
                  <c:v>16/2/1959</c:v>
                </c:pt>
                <c:pt idx="48">
                  <c:v>17/2/1959</c:v>
                </c:pt>
                <c:pt idx="49">
                  <c:v>18/2/1959</c:v>
                </c:pt>
                <c:pt idx="50">
                  <c:v>19/2/1959</c:v>
                </c:pt>
                <c:pt idx="51">
                  <c:v>20/2/1959</c:v>
                </c:pt>
                <c:pt idx="52">
                  <c:v>21/2/1959</c:v>
                </c:pt>
                <c:pt idx="53">
                  <c:v>22/2/1959</c:v>
                </c:pt>
                <c:pt idx="54">
                  <c:v>23/2/1959</c:v>
                </c:pt>
                <c:pt idx="55">
                  <c:v>24/2/1959</c:v>
                </c:pt>
                <c:pt idx="56">
                  <c:v>25/2/1959</c:v>
                </c:pt>
                <c:pt idx="57">
                  <c:v>26/2/1959</c:v>
                </c:pt>
                <c:pt idx="58">
                  <c:v>27/2/1959</c:v>
                </c:pt>
                <c:pt idx="59">
                  <c:v>28/2/1959</c:v>
                </c:pt>
                <c:pt idx="60">
                  <c:v>1/3/1959</c:v>
                </c:pt>
                <c:pt idx="61">
                  <c:v>2/3/1959</c:v>
                </c:pt>
                <c:pt idx="62">
                  <c:v>3/3/1959</c:v>
                </c:pt>
                <c:pt idx="63">
                  <c:v>4/3/1959</c:v>
                </c:pt>
                <c:pt idx="64">
                  <c:v>5/3/1959</c:v>
                </c:pt>
                <c:pt idx="65">
                  <c:v>6/3/1959</c:v>
                </c:pt>
                <c:pt idx="66">
                  <c:v>7/3/1959</c:v>
                </c:pt>
                <c:pt idx="67">
                  <c:v>8/3/1959</c:v>
                </c:pt>
                <c:pt idx="68">
                  <c:v>9/3/1959</c:v>
                </c:pt>
                <c:pt idx="69">
                  <c:v>10/3/1959</c:v>
                </c:pt>
                <c:pt idx="70">
                  <c:v>11/3/1959</c:v>
                </c:pt>
                <c:pt idx="71">
                  <c:v>12/3/1959</c:v>
                </c:pt>
                <c:pt idx="72">
                  <c:v>13/3/1959</c:v>
                </c:pt>
                <c:pt idx="73">
                  <c:v>14/3/1959</c:v>
                </c:pt>
                <c:pt idx="74">
                  <c:v>15/3/1959</c:v>
                </c:pt>
                <c:pt idx="75">
                  <c:v>16/3/1959</c:v>
                </c:pt>
                <c:pt idx="76">
                  <c:v>17/3/1959</c:v>
                </c:pt>
                <c:pt idx="77">
                  <c:v>18/3/1959</c:v>
                </c:pt>
                <c:pt idx="78">
                  <c:v>19/3/1959</c:v>
                </c:pt>
                <c:pt idx="79">
                  <c:v>20/3/1959</c:v>
                </c:pt>
                <c:pt idx="80">
                  <c:v>21/3/1959</c:v>
                </c:pt>
                <c:pt idx="81">
                  <c:v>22/3/1959</c:v>
                </c:pt>
                <c:pt idx="82">
                  <c:v>23/3/1959</c:v>
                </c:pt>
                <c:pt idx="83">
                  <c:v>24/3/1959</c:v>
                </c:pt>
                <c:pt idx="84">
                  <c:v>25/3/1959</c:v>
                </c:pt>
                <c:pt idx="85">
                  <c:v>26/3/1959</c:v>
                </c:pt>
                <c:pt idx="86">
                  <c:v>27/3/1959</c:v>
                </c:pt>
                <c:pt idx="87">
                  <c:v>28/3/1959</c:v>
                </c:pt>
                <c:pt idx="88">
                  <c:v>29/3/1959</c:v>
                </c:pt>
                <c:pt idx="89">
                  <c:v>30/3/1959</c:v>
                </c:pt>
                <c:pt idx="90">
                  <c:v>31/3/1959</c:v>
                </c:pt>
                <c:pt idx="91">
                  <c:v>1/4/1959</c:v>
                </c:pt>
                <c:pt idx="92">
                  <c:v>2/4/1959</c:v>
                </c:pt>
                <c:pt idx="93">
                  <c:v>3/4/1959</c:v>
                </c:pt>
                <c:pt idx="94">
                  <c:v>4/4/1959</c:v>
                </c:pt>
                <c:pt idx="95">
                  <c:v>5/4/1959</c:v>
                </c:pt>
                <c:pt idx="96">
                  <c:v>6/4/1959</c:v>
                </c:pt>
                <c:pt idx="97">
                  <c:v>7/4/1959</c:v>
                </c:pt>
                <c:pt idx="98">
                  <c:v>8/4/1959</c:v>
                </c:pt>
                <c:pt idx="99">
                  <c:v>9/4/1959</c:v>
                </c:pt>
                <c:pt idx="100">
                  <c:v>10/4/1959</c:v>
                </c:pt>
                <c:pt idx="101">
                  <c:v>11/4/1959</c:v>
                </c:pt>
                <c:pt idx="102">
                  <c:v>12/4/1959</c:v>
                </c:pt>
                <c:pt idx="103">
                  <c:v>13/4/1959</c:v>
                </c:pt>
                <c:pt idx="104">
                  <c:v>14/4/1959</c:v>
                </c:pt>
                <c:pt idx="105">
                  <c:v>15/4/1959</c:v>
                </c:pt>
                <c:pt idx="106">
                  <c:v>16/4/1959</c:v>
                </c:pt>
                <c:pt idx="107">
                  <c:v>17/4/1959</c:v>
                </c:pt>
                <c:pt idx="108">
                  <c:v>18/4/1959</c:v>
                </c:pt>
                <c:pt idx="109">
                  <c:v>19/4/1959</c:v>
                </c:pt>
                <c:pt idx="110">
                  <c:v>20/4/1959</c:v>
                </c:pt>
                <c:pt idx="111">
                  <c:v>21/4/1959</c:v>
                </c:pt>
                <c:pt idx="112">
                  <c:v>22/4/1959</c:v>
                </c:pt>
                <c:pt idx="113">
                  <c:v>23/4/1959</c:v>
                </c:pt>
                <c:pt idx="114">
                  <c:v>24/4/1959</c:v>
                </c:pt>
                <c:pt idx="115">
                  <c:v>25/4/1959</c:v>
                </c:pt>
                <c:pt idx="116">
                  <c:v>26/4/1959</c:v>
                </c:pt>
                <c:pt idx="117">
                  <c:v>27/4/1959</c:v>
                </c:pt>
                <c:pt idx="118">
                  <c:v>28/4/1959</c:v>
                </c:pt>
                <c:pt idx="119">
                  <c:v>29/4/1959</c:v>
                </c:pt>
                <c:pt idx="120">
                  <c:v>30/4/1959</c:v>
                </c:pt>
                <c:pt idx="121">
                  <c:v>1/5/1959</c:v>
                </c:pt>
                <c:pt idx="122">
                  <c:v>2/5/1959</c:v>
                </c:pt>
                <c:pt idx="123">
                  <c:v>3/5/1959</c:v>
                </c:pt>
                <c:pt idx="124">
                  <c:v>4/5/1959</c:v>
                </c:pt>
                <c:pt idx="125">
                  <c:v>5/5/1959</c:v>
                </c:pt>
                <c:pt idx="126">
                  <c:v>6/5/1959</c:v>
                </c:pt>
                <c:pt idx="127">
                  <c:v>7/5/1959</c:v>
                </c:pt>
                <c:pt idx="128">
                  <c:v>8/5/1959</c:v>
                </c:pt>
                <c:pt idx="129">
                  <c:v>9/5/1959</c:v>
                </c:pt>
                <c:pt idx="130">
                  <c:v>10/5/1959</c:v>
                </c:pt>
                <c:pt idx="131">
                  <c:v>11/5/1959</c:v>
                </c:pt>
                <c:pt idx="132">
                  <c:v>12/5/1959</c:v>
                </c:pt>
                <c:pt idx="133">
                  <c:v>13/5/1959</c:v>
                </c:pt>
                <c:pt idx="134">
                  <c:v>14/5/1959</c:v>
                </c:pt>
                <c:pt idx="135">
                  <c:v>15/5/1959</c:v>
                </c:pt>
                <c:pt idx="136">
                  <c:v>16/5/1959</c:v>
                </c:pt>
                <c:pt idx="137">
                  <c:v>17/5/1959</c:v>
                </c:pt>
                <c:pt idx="138">
                  <c:v>18/5/1959</c:v>
                </c:pt>
                <c:pt idx="139">
                  <c:v>19/5/1959</c:v>
                </c:pt>
                <c:pt idx="140">
                  <c:v>20/5/1959</c:v>
                </c:pt>
                <c:pt idx="141">
                  <c:v>21/5/1959</c:v>
                </c:pt>
                <c:pt idx="142">
                  <c:v>22/5/1959</c:v>
                </c:pt>
                <c:pt idx="143">
                  <c:v>23/5/1959</c:v>
                </c:pt>
                <c:pt idx="144">
                  <c:v>24/5/1959</c:v>
                </c:pt>
                <c:pt idx="145">
                  <c:v>25/5/1959</c:v>
                </c:pt>
                <c:pt idx="146">
                  <c:v>26/5/1959</c:v>
                </c:pt>
                <c:pt idx="147">
                  <c:v>27/5/1959</c:v>
                </c:pt>
                <c:pt idx="148">
                  <c:v>28/5/1959</c:v>
                </c:pt>
                <c:pt idx="149">
                  <c:v>29/5/1959</c:v>
                </c:pt>
                <c:pt idx="150">
                  <c:v>30/5/1959</c:v>
                </c:pt>
                <c:pt idx="151">
                  <c:v>31/5/1959</c:v>
                </c:pt>
                <c:pt idx="152">
                  <c:v>1/6/1959</c:v>
                </c:pt>
                <c:pt idx="153">
                  <c:v>2/6/1959</c:v>
                </c:pt>
                <c:pt idx="154">
                  <c:v>3/6/1959</c:v>
                </c:pt>
                <c:pt idx="155">
                  <c:v>4/6/1959</c:v>
                </c:pt>
                <c:pt idx="156">
                  <c:v>5/6/1959</c:v>
                </c:pt>
                <c:pt idx="157">
                  <c:v>6/6/1959</c:v>
                </c:pt>
                <c:pt idx="158">
                  <c:v>7/6/1959</c:v>
                </c:pt>
                <c:pt idx="159">
                  <c:v>8/6/1959</c:v>
                </c:pt>
                <c:pt idx="160">
                  <c:v>9/6/1959</c:v>
                </c:pt>
                <c:pt idx="161">
                  <c:v>10/6/1959</c:v>
                </c:pt>
                <c:pt idx="162">
                  <c:v>11/6/1959</c:v>
                </c:pt>
                <c:pt idx="163">
                  <c:v>12/6/1959</c:v>
                </c:pt>
                <c:pt idx="164">
                  <c:v>13/6/1959</c:v>
                </c:pt>
                <c:pt idx="165">
                  <c:v>14/6/1959</c:v>
                </c:pt>
                <c:pt idx="166">
                  <c:v>15/6/1959</c:v>
                </c:pt>
                <c:pt idx="167">
                  <c:v>16/6/1959</c:v>
                </c:pt>
                <c:pt idx="168">
                  <c:v>17/6/1959</c:v>
                </c:pt>
                <c:pt idx="169">
                  <c:v>18/6/1959</c:v>
                </c:pt>
                <c:pt idx="170">
                  <c:v>19/6/1959</c:v>
                </c:pt>
                <c:pt idx="171">
                  <c:v>20/6/1959</c:v>
                </c:pt>
                <c:pt idx="172">
                  <c:v>21/6/1959</c:v>
                </c:pt>
                <c:pt idx="173">
                  <c:v>22/6/1959</c:v>
                </c:pt>
                <c:pt idx="174">
                  <c:v>23/6/1959</c:v>
                </c:pt>
                <c:pt idx="175">
                  <c:v>24/6/1959</c:v>
                </c:pt>
                <c:pt idx="176">
                  <c:v>25/6/1959</c:v>
                </c:pt>
                <c:pt idx="177">
                  <c:v>26/6/1959</c:v>
                </c:pt>
                <c:pt idx="178">
                  <c:v>27/6/1959</c:v>
                </c:pt>
                <c:pt idx="179">
                  <c:v>28/6/1959</c:v>
                </c:pt>
                <c:pt idx="180">
                  <c:v>29/6/1959</c:v>
                </c:pt>
                <c:pt idx="181">
                  <c:v>30/6/1959</c:v>
                </c:pt>
                <c:pt idx="182">
                  <c:v>1/7/1959</c:v>
                </c:pt>
                <c:pt idx="183">
                  <c:v>2/7/1959</c:v>
                </c:pt>
                <c:pt idx="184">
                  <c:v>3/7/1959</c:v>
                </c:pt>
                <c:pt idx="185">
                  <c:v>4/7/1959</c:v>
                </c:pt>
                <c:pt idx="186">
                  <c:v>5/7/1959</c:v>
                </c:pt>
                <c:pt idx="187">
                  <c:v>6/7/1959</c:v>
                </c:pt>
                <c:pt idx="188">
                  <c:v>7/7/1959</c:v>
                </c:pt>
                <c:pt idx="189">
                  <c:v>8/7/1959</c:v>
                </c:pt>
                <c:pt idx="190">
                  <c:v>9/7/1959</c:v>
                </c:pt>
                <c:pt idx="191">
                  <c:v>10/7/1959</c:v>
                </c:pt>
                <c:pt idx="192">
                  <c:v>11/7/1959</c:v>
                </c:pt>
                <c:pt idx="193">
                  <c:v>12/7/1959</c:v>
                </c:pt>
                <c:pt idx="194">
                  <c:v>13/7/1959</c:v>
                </c:pt>
                <c:pt idx="195">
                  <c:v>14/7/1959</c:v>
                </c:pt>
                <c:pt idx="196">
                  <c:v>15/7/1959</c:v>
                </c:pt>
                <c:pt idx="197">
                  <c:v>16/7/1959</c:v>
                </c:pt>
                <c:pt idx="198">
                  <c:v>17/7/1959</c:v>
                </c:pt>
                <c:pt idx="199">
                  <c:v>18/7/1959</c:v>
                </c:pt>
                <c:pt idx="200">
                  <c:v>19/7/1959</c:v>
                </c:pt>
                <c:pt idx="201">
                  <c:v>20/7/1959</c:v>
                </c:pt>
                <c:pt idx="202">
                  <c:v>21/7/1959</c:v>
                </c:pt>
                <c:pt idx="203">
                  <c:v>22/7/1959</c:v>
                </c:pt>
                <c:pt idx="204">
                  <c:v>23/7/1959</c:v>
                </c:pt>
                <c:pt idx="205">
                  <c:v>24/7/1959</c:v>
                </c:pt>
                <c:pt idx="206">
                  <c:v>25/7/1959</c:v>
                </c:pt>
                <c:pt idx="207">
                  <c:v>26/7/1959</c:v>
                </c:pt>
                <c:pt idx="208">
                  <c:v>27/7/1959</c:v>
                </c:pt>
                <c:pt idx="209">
                  <c:v>28/7/1959</c:v>
                </c:pt>
                <c:pt idx="210">
                  <c:v>29/7/1959</c:v>
                </c:pt>
                <c:pt idx="211">
                  <c:v>30/7/1959</c:v>
                </c:pt>
                <c:pt idx="212">
                  <c:v>31/7/1959</c:v>
                </c:pt>
                <c:pt idx="213">
                  <c:v>1/8/1959</c:v>
                </c:pt>
                <c:pt idx="214">
                  <c:v>2/8/1959</c:v>
                </c:pt>
                <c:pt idx="215">
                  <c:v>3/8/1959</c:v>
                </c:pt>
                <c:pt idx="216">
                  <c:v>4/8/1959</c:v>
                </c:pt>
                <c:pt idx="217">
                  <c:v>5/8/1959</c:v>
                </c:pt>
                <c:pt idx="218">
                  <c:v>6/8/1959</c:v>
                </c:pt>
                <c:pt idx="219">
                  <c:v>7/8/1959</c:v>
                </c:pt>
                <c:pt idx="220">
                  <c:v>8/8/1959</c:v>
                </c:pt>
                <c:pt idx="221">
                  <c:v>9/8/1959</c:v>
                </c:pt>
                <c:pt idx="222">
                  <c:v>10/8/1959</c:v>
                </c:pt>
                <c:pt idx="223">
                  <c:v>11/8/1959</c:v>
                </c:pt>
                <c:pt idx="224">
                  <c:v>12/8/1959</c:v>
                </c:pt>
                <c:pt idx="225">
                  <c:v>13/8/1959</c:v>
                </c:pt>
                <c:pt idx="226">
                  <c:v>14/8/1959</c:v>
                </c:pt>
                <c:pt idx="227">
                  <c:v>15/8/1959</c:v>
                </c:pt>
                <c:pt idx="228">
                  <c:v>16/8/1959</c:v>
                </c:pt>
                <c:pt idx="229">
                  <c:v>17/8/1959</c:v>
                </c:pt>
                <c:pt idx="230">
                  <c:v>18/8/1959</c:v>
                </c:pt>
                <c:pt idx="231">
                  <c:v>19/8/1959</c:v>
                </c:pt>
                <c:pt idx="232">
                  <c:v>20/8/1959</c:v>
                </c:pt>
                <c:pt idx="233">
                  <c:v>21/8/1959</c:v>
                </c:pt>
                <c:pt idx="234">
                  <c:v>22/8/1959</c:v>
                </c:pt>
                <c:pt idx="235">
                  <c:v>23/8/1959</c:v>
                </c:pt>
                <c:pt idx="236">
                  <c:v>24/8/1959</c:v>
                </c:pt>
                <c:pt idx="237">
                  <c:v>25/8/1959</c:v>
                </c:pt>
                <c:pt idx="238">
                  <c:v>26/8/1959</c:v>
                </c:pt>
                <c:pt idx="239">
                  <c:v>27/8/1959</c:v>
                </c:pt>
                <c:pt idx="240">
                  <c:v>28/8/1959</c:v>
                </c:pt>
                <c:pt idx="241">
                  <c:v>29/8/1959</c:v>
                </c:pt>
                <c:pt idx="242">
                  <c:v>30/8/1959</c:v>
                </c:pt>
                <c:pt idx="243">
                  <c:v>31/8/1959</c:v>
                </c:pt>
                <c:pt idx="244">
                  <c:v>1/9/1959</c:v>
                </c:pt>
                <c:pt idx="245">
                  <c:v>2/9/1959</c:v>
                </c:pt>
                <c:pt idx="246">
                  <c:v>3/9/1959</c:v>
                </c:pt>
                <c:pt idx="247">
                  <c:v>4/9/1959</c:v>
                </c:pt>
                <c:pt idx="248">
                  <c:v>5/9/1959</c:v>
                </c:pt>
                <c:pt idx="249">
                  <c:v>6/9/1959</c:v>
                </c:pt>
                <c:pt idx="250">
                  <c:v>7/9/1959</c:v>
                </c:pt>
                <c:pt idx="251">
                  <c:v>8/9/1959</c:v>
                </c:pt>
                <c:pt idx="252">
                  <c:v>9/9/1959</c:v>
                </c:pt>
                <c:pt idx="253">
                  <c:v>10/9/1959</c:v>
                </c:pt>
                <c:pt idx="254">
                  <c:v>11/9/1959</c:v>
                </c:pt>
                <c:pt idx="255">
                  <c:v>12/9/1959</c:v>
                </c:pt>
                <c:pt idx="256">
                  <c:v>13/9/1959</c:v>
                </c:pt>
                <c:pt idx="257">
                  <c:v>14/9/1959</c:v>
                </c:pt>
                <c:pt idx="258">
                  <c:v>15/9/1959</c:v>
                </c:pt>
                <c:pt idx="259">
                  <c:v>16/9/1959</c:v>
                </c:pt>
                <c:pt idx="260">
                  <c:v>17/9/1959</c:v>
                </c:pt>
                <c:pt idx="261">
                  <c:v>18/9/1959</c:v>
                </c:pt>
                <c:pt idx="262">
                  <c:v>19/9/1959</c:v>
                </c:pt>
                <c:pt idx="263">
                  <c:v>20/9/1959</c:v>
                </c:pt>
                <c:pt idx="264">
                  <c:v>21/9/1959</c:v>
                </c:pt>
                <c:pt idx="265">
                  <c:v>22/9/1959</c:v>
                </c:pt>
                <c:pt idx="266">
                  <c:v>23/9/1959</c:v>
                </c:pt>
                <c:pt idx="267">
                  <c:v>24/9/1959</c:v>
                </c:pt>
                <c:pt idx="268">
                  <c:v>25/9/1959</c:v>
                </c:pt>
                <c:pt idx="269">
                  <c:v>26/9/1959</c:v>
                </c:pt>
                <c:pt idx="270">
                  <c:v>27/9/1959</c:v>
                </c:pt>
                <c:pt idx="271">
                  <c:v>28/9/1959</c:v>
                </c:pt>
                <c:pt idx="272">
                  <c:v>29/9/1959</c:v>
                </c:pt>
                <c:pt idx="273">
                  <c:v>30/9/1959</c:v>
                </c:pt>
                <c:pt idx="274">
                  <c:v>1/10/1959</c:v>
                </c:pt>
                <c:pt idx="275">
                  <c:v>2/10/1959</c:v>
                </c:pt>
                <c:pt idx="276">
                  <c:v>3/10/1959</c:v>
                </c:pt>
                <c:pt idx="277">
                  <c:v>4/10/1959</c:v>
                </c:pt>
                <c:pt idx="278">
                  <c:v>5/10/1959</c:v>
                </c:pt>
                <c:pt idx="279">
                  <c:v>6/10/1959</c:v>
                </c:pt>
                <c:pt idx="280">
                  <c:v>7/10/1959</c:v>
                </c:pt>
                <c:pt idx="281">
                  <c:v>8/10/1959</c:v>
                </c:pt>
                <c:pt idx="282">
                  <c:v>9/10/1959</c:v>
                </c:pt>
                <c:pt idx="283">
                  <c:v>10/10/1959</c:v>
                </c:pt>
                <c:pt idx="284">
                  <c:v>11/10/1959</c:v>
                </c:pt>
                <c:pt idx="285">
                  <c:v>12/10/1959</c:v>
                </c:pt>
                <c:pt idx="286">
                  <c:v>13/10/1959</c:v>
                </c:pt>
                <c:pt idx="287">
                  <c:v>14/10/1959</c:v>
                </c:pt>
                <c:pt idx="288">
                  <c:v>15/10/1959</c:v>
                </c:pt>
                <c:pt idx="289">
                  <c:v>16/10/1959</c:v>
                </c:pt>
                <c:pt idx="290">
                  <c:v>17/10/1959</c:v>
                </c:pt>
                <c:pt idx="291">
                  <c:v>18/10/1959</c:v>
                </c:pt>
                <c:pt idx="292">
                  <c:v>19/10/1959</c:v>
                </c:pt>
                <c:pt idx="293">
                  <c:v>20/10/1959</c:v>
                </c:pt>
                <c:pt idx="294">
                  <c:v>21/10/1959</c:v>
                </c:pt>
                <c:pt idx="295">
                  <c:v>22/10/1959</c:v>
                </c:pt>
                <c:pt idx="296">
                  <c:v>23/10/1959</c:v>
                </c:pt>
                <c:pt idx="297">
                  <c:v>24/10/1959</c:v>
                </c:pt>
                <c:pt idx="298">
                  <c:v>25/10/1959</c:v>
                </c:pt>
                <c:pt idx="299">
                  <c:v>26/10/1959</c:v>
                </c:pt>
                <c:pt idx="300">
                  <c:v>27/10/1959</c:v>
                </c:pt>
                <c:pt idx="301">
                  <c:v>28/10/1959</c:v>
                </c:pt>
                <c:pt idx="302">
                  <c:v>29/10/1959</c:v>
                </c:pt>
                <c:pt idx="303">
                  <c:v>30/10/1959</c:v>
                </c:pt>
                <c:pt idx="304">
                  <c:v>31/10/1959</c:v>
                </c:pt>
                <c:pt idx="305">
                  <c:v>1/11/1959</c:v>
                </c:pt>
                <c:pt idx="306">
                  <c:v>2/11/1959</c:v>
                </c:pt>
                <c:pt idx="307">
                  <c:v>3/11/1959</c:v>
                </c:pt>
                <c:pt idx="308">
                  <c:v>4/11/1959</c:v>
                </c:pt>
                <c:pt idx="309">
                  <c:v>5/11/1959</c:v>
                </c:pt>
                <c:pt idx="310">
                  <c:v>6/11/1959</c:v>
                </c:pt>
                <c:pt idx="311">
                  <c:v>7/11/1959</c:v>
                </c:pt>
                <c:pt idx="312">
                  <c:v>8/11/1959</c:v>
                </c:pt>
                <c:pt idx="313">
                  <c:v>9/11/1959</c:v>
                </c:pt>
                <c:pt idx="314">
                  <c:v>10/11/1959</c:v>
                </c:pt>
                <c:pt idx="315">
                  <c:v>11/11/1959</c:v>
                </c:pt>
                <c:pt idx="316">
                  <c:v>12/11/1959</c:v>
                </c:pt>
                <c:pt idx="317">
                  <c:v>13/11/1959</c:v>
                </c:pt>
                <c:pt idx="318">
                  <c:v>14/11/1959</c:v>
                </c:pt>
                <c:pt idx="319">
                  <c:v>15/11/1959</c:v>
                </c:pt>
                <c:pt idx="320">
                  <c:v>16/11/1959</c:v>
                </c:pt>
                <c:pt idx="321">
                  <c:v>17/11/1959</c:v>
                </c:pt>
                <c:pt idx="322">
                  <c:v>18/11/1959</c:v>
                </c:pt>
                <c:pt idx="323">
                  <c:v>19/11/1959</c:v>
                </c:pt>
                <c:pt idx="324">
                  <c:v>20/11/1959</c:v>
                </c:pt>
                <c:pt idx="325">
                  <c:v>21/11/1959</c:v>
                </c:pt>
                <c:pt idx="326">
                  <c:v>22/11/1959</c:v>
                </c:pt>
                <c:pt idx="327">
                  <c:v>23/11/1959</c:v>
                </c:pt>
                <c:pt idx="328">
                  <c:v>24/11/1959</c:v>
                </c:pt>
                <c:pt idx="329">
                  <c:v>25/11/1959</c:v>
                </c:pt>
                <c:pt idx="330">
                  <c:v>26/11/1959</c:v>
                </c:pt>
                <c:pt idx="331">
                  <c:v>27/11/1959</c:v>
                </c:pt>
                <c:pt idx="332">
                  <c:v>28/11/1959</c:v>
                </c:pt>
                <c:pt idx="333">
                  <c:v>29/11/1959</c:v>
                </c:pt>
                <c:pt idx="334">
                  <c:v>30/11/1959</c:v>
                </c:pt>
                <c:pt idx="335">
                  <c:v>1/12/1959</c:v>
                </c:pt>
                <c:pt idx="336">
                  <c:v>2/12/1959</c:v>
                </c:pt>
                <c:pt idx="337">
                  <c:v>3/12/1959</c:v>
                </c:pt>
                <c:pt idx="338">
                  <c:v>4/12/1959</c:v>
                </c:pt>
                <c:pt idx="339">
                  <c:v>5/12/1959</c:v>
                </c:pt>
                <c:pt idx="340">
                  <c:v>6/12/1959</c:v>
                </c:pt>
                <c:pt idx="341">
                  <c:v>7/12/1959</c:v>
                </c:pt>
                <c:pt idx="342">
                  <c:v>8/12/1959</c:v>
                </c:pt>
                <c:pt idx="343">
                  <c:v>9/12/1959</c:v>
                </c:pt>
                <c:pt idx="344">
                  <c:v>10/12/1959</c:v>
                </c:pt>
                <c:pt idx="345">
                  <c:v>11/12/1959</c:v>
                </c:pt>
                <c:pt idx="346">
                  <c:v>12/12/1959</c:v>
                </c:pt>
                <c:pt idx="347">
                  <c:v>13/12/1959</c:v>
                </c:pt>
                <c:pt idx="348">
                  <c:v>14/12/1959</c:v>
                </c:pt>
                <c:pt idx="349">
                  <c:v>15/12/1959</c:v>
                </c:pt>
                <c:pt idx="350">
                  <c:v>16/12/1959</c:v>
                </c:pt>
                <c:pt idx="351">
                  <c:v>17/12/1959</c:v>
                </c:pt>
                <c:pt idx="352">
                  <c:v>18/12/1959</c:v>
                </c:pt>
                <c:pt idx="353">
                  <c:v>19/12/1959</c:v>
                </c:pt>
                <c:pt idx="354">
                  <c:v>20/12/1959</c:v>
                </c:pt>
                <c:pt idx="355">
                  <c:v>21/12/1959</c:v>
                </c:pt>
                <c:pt idx="356">
                  <c:v>22/12/1959</c:v>
                </c:pt>
                <c:pt idx="357">
                  <c:v>23/12/1959</c:v>
                </c:pt>
                <c:pt idx="358">
                  <c:v>24/12/1959</c:v>
                </c:pt>
                <c:pt idx="359">
                  <c:v>25/12/1959</c:v>
                </c:pt>
                <c:pt idx="360">
                  <c:v>26/12/1959</c:v>
                </c:pt>
                <c:pt idx="361">
                  <c:v>27/12/1959</c:v>
                </c:pt>
                <c:pt idx="362">
                  <c:v>28/12/1959</c:v>
                </c:pt>
                <c:pt idx="363">
                  <c:v>29/12/1959</c:v>
                </c:pt>
                <c:pt idx="364">
                  <c:v>30/12/1959</c:v>
                </c:pt>
                <c:pt idx="365">
                  <c:v>31/12/1959</c:v>
                </c:pt>
              </c:strCache>
            </c:strRef>
          </c:cat>
          <c:val>
            <c:numRef>
              <c:f>'Moving Average'!$B$1:$B$366</c:f>
              <c:numCache>
                <c:formatCode>General</c:formatCode>
                <c:ptCount val="366"/>
                <c:pt idx="0">
                  <c:v>0</c:v>
                </c:pt>
                <c:pt idx="1">
                  <c:v>35</c:v>
                </c:pt>
                <c:pt idx="2">
                  <c:v>32</c:v>
                </c:pt>
                <c:pt idx="3">
                  <c:v>30</c:v>
                </c:pt>
                <c:pt idx="4">
                  <c:v>31</c:v>
                </c:pt>
                <c:pt idx="5">
                  <c:v>44</c:v>
                </c:pt>
                <c:pt idx="6">
                  <c:v>29</c:v>
                </c:pt>
                <c:pt idx="7">
                  <c:v>45</c:v>
                </c:pt>
                <c:pt idx="8">
                  <c:v>43</c:v>
                </c:pt>
                <c:pt idx="9">
                  <c:v>38</c:v>
                </c:pt>
                <c:pt idx="10">
                  <c:v>27</c:v>
                </c:pt>
                <c:pt idx="11">
                  <c:v>38</c:v>
                </c:pt>
                <c:pt idx="12">
                  <c:v>33</c:v>
                </c:pt>
                <c:pt idx="13">
                  <c:v>55</c:v>
                </c:pt>
                <c:pt idx="14">
                  <c:v>47</c:v>
                </c:pt>
                <c:pt idx="15">
                  <c:v>45</c:v>
                </c:pt>
                <c:pt idx="16">
                  <c:v>37</c:v>
                </c:pt>
                <c:pt idx="17">
                  <c:v>50</c:v>
                </c:pt>
                <c:pt idx="18">
                  <c:v>43</c:v>
                </c:pt>
                <c:pt idx="19">
                  <c:v>41</c:v>
                </c:pt>
                <c:pt idx="20">
                  <c:v>52</c:v>
                </c:pt>
                <c:pt idx="21">
                  <c:v>34</c:v>
                </c:pt>
                <c:pt idx="22">
                  <c:v>53</c:v>
                </c:pt>
                <c:pt idx="23">
                  <c:v>39</c:v>
                </c:pt>
                <c:pt idx="24">
                  <c:v>32</c:v>
                </c:pt>
                <c:pt idx="25">
                  <c:v>37</c:v>
                </c:pt>
                <c:pt idx="26">
                  <c:v>43</c:v>
                </c:pt>
                <c:pt idx="27">
                  <c:v>39</c:v>
                </c:pt>
                <c:pt idx="28">
                  <c:v>35</c:v>
                </c:pt>
                <c:pt idx="29">
                  <c:v>44</c:v>
                </c:pt>
                <c:pt idx="30">
                  <c:v>38</c:v>
                </c:pt>
                <c:pt idx="31">
                  <c:v>24</c:v>
                </c:pt>
                <c:pt idx="32">
                  <c:v>23</c:v>
                </c:pt>
                <c:pt idx="33">
                  <c:v>31</c:v>
                </c:pt>
                <c:pt idx="34">
                  <c:v>44</c:v>
                </c:pt>
                <c:pt idx="35">
                  <c:v>38</c:v>
                </c:pt>
                <c:pt idx="36">
                  <c:v>50</c:v>
                </c:pt>
                <c:pt idx="37">
                  <c:v>38</c:v>
                </c:pt>
                <c:pt idx="38">
                  <c:v>51</c:v>
                </c:pt>
                <c:pt idx="39">
                  <c:v>31</c:v>
                </c:pt>
                <c:pt idx="40">
                  <c:v>31</c:v>
                </c:pt>
                <c:pt idx="41">
                  <c:v>51</c:v>
                </c:pt>
                <c:pt idx="42">
                  <c:v>36</c:v>
                </c:pt>
                <c:pt idx="43">
                  <c:v>45</c:v>
                </c:pt>
                <c:pt idx="44">
                  <c:v>51</c:v>
                </c:pt>
                <c:pt idx="45">
                  <c:v>34</c:v>
                </c:pt>
                <c:pt idx="46">
                  <c:v>52</c:v>
                </c:pt>
                <c:pt idx="47">
                  <c:v>47</c:v>
                </c:pt>
                <c:pt idx="48">
                  <c:v>45</c:v>
                </c:pt>
                <c:pt idx="49">
                  <c:v>46</c:v>
                </c:pt>
                <c:pt idx="50">
                  <c:v>39</c:v>
                </c:pt>
                <c:pt idx="51">
                  <c:v>48</c:v>
                </c:pt>
                <c:pt idx="52">
                  <c:v>37</c:v>
                </c:pt>
                <c:pt idx="53">
                  <c:v>35</c:v>
                </c:pt>
                <c:pt idx="54">
                  <c:v>52</c:v>
                </c:pt>
                <c:pt idx="55">
                  <c:v>42</c:v>
                </c:pt>
                <c:pt idx="56">
                  <c:v>45</c:v>
                </c:pt>
                <c:pt idx="57">
                  <c:v>39</c:v>
                </c:pt>
                <c:pt idx="58">
                  <c:v>37</c:v>
                </c:pt>
                <c:pt idx="59">
                  <c:v>30</c:v>
                </c:pt>
                <c:pt idx="60">
                  <c:v>35</c:v>
                </c:pt>
                <c:pt idx="61">
                  <c:v>28</c:v>
                </c:pt>
                <c:pt idx="62">
                  <c:v>45</c:v>
                </c:pt>
                <c:pt idx="63">
                  <c:v>34</c:v>
                </c:pt>
                <c:pt idx="64">
                  <c:v>36</c:v>
                </c:pt>
                <c:pt idx="65">
                  <c:v>50</c:v>
                </c:pt>
                <c:pt idx="66">
                  <c:v>44</c:v>
                </c:pt>
                <c:pt idx="67">
                  <c:v>39</c:v>
                </c:pt>
                <c:pt idx="68">
                  <c:v>32</c:v>
                </c:pt>
                <c:pt idx="69">
                  <c:v>39</c:v>
                </c:pt>
                <c:pt idx="70">
                  <c:v>45</c:v>
                </c:pt>
                <c:pt idx="71">
                  <c:v>43</c:v>
                </c:pt>
                <c:pt idx="72">
                  <c:v>39</c:v>
                </c:pt>
                <c:pt idx="73">
                  <c:v>31</c:v>
                </c:pt>
                <c:pt idx="74">
                  <c:v>27</c:v>
                </c:pt>
                <c:pt idx="75">
                  <c:v>30</c:v>
                </c:pt>
                <c:pt idx="76">
                  <c:v>42</c:v>
                </c:pt>
                <c:pt idx="77">
                  <c:v>46</c:v>
                </c:pt>
                <c:pt idx="78">
                  <c:v>41</c:v>
                </c:pt>
                <c:pt idx="79">
                  <c:v>36</c:v>
                </c:pt>
                <c:pt idx="80">
                  <c:v>45</c:v>
                </c:pt>
                <c:pt idx="81">
                  <c:v>46</c:v>
                </c:pt>
                <c:pt idx="82">
                  <c:v>43</c:v>
                </c:pt>
                <c:pt idx="83">
                  <c:v>38</c:v>
                </c:pt>
                <c:pt idx="84">
                  <c:v>34</c:v>
                </c:pt>
                <c:pt idx="85">
                  <c:v>35</c:v>
                </c:pt>
                <c:pt idx="86">
                  <c:v>56</c:v>
                </c:pt>
                <c:pt idx="87">
                  <c:v>36</c:v>
                </c:pt>
                <c:pt idx="88">
                  <c:v>32</c:v>
                </c:pt>
                <c:pt idx="89">
                  <c:v>50</c:v>
                </c:pt>
                <c:pt idx="90">
                  <c:v>41</c:v>
                </c:pt>
                <c:pt idx="91">
                  <c:v>39</c:v>
                </c:pt>
                <c:pt idx="92">
                  <c:v>41</c:v>
                </c:pt>
                <c:pt idx="93">
                  <c:v>47</c:v>
                </c:pt>
                <c:pt idx="94">
                  <c:v>34</c:v>
                </c:pt>
                <c:pt idx="95">
                  <c:v>36</c:v>
                </c:pt>
                <c:pt idx="96">
                  <c:v>33</c:v>
                </c:pt>
                <c:pt idx="97">
                  <c:v>35</c:v>
                </c:pt>
                <c:pt idx="98">
                  <c:v>38</c:v>
                </c:pt>
                <c:pt idx="99">
                  <c:v>38</c:v>
                </c:pt>
                <c:pt idx="100">
                  <c:v>34</c:v>
                </c:pt>
                <c:pt idx="101">
                  <c:v>53</c:v>
                </c:pt>
                <c:pt idx="102">
                  <c:v>34</c:v>
                </c:pt>
                <c:pt idx="103">
                  <c:v>34</c:v>
                </c:pt>
                <c:pt idx="104">
                  <c:v>38</c:v>
                </c:pt>
                <c:pt idx="105">
                  <c:v>35</c:v>
                </c:pt>
                <c:pt idx="106">
                  <c:v>32</c:v>
                </c:pt>
                <c:pt idx="107">
                  <c:v>42</c:v>
                </c:pt>
                <c:pt idx="108">
                  <c:v>34</c:v>
                </c:pt>
                <c:pt idx="109">
                  <c:v>46</c:v>
                </c:pt>
                <c:pt idx="110">
                  <c:v>30</c:v>
                </c:pt>
                <c:pt idx="111">
                  <c:v>46</c:v>
                </c:pt>
                <c:pt idx="112">
                  <c:v>45</c:v>
                </c:pt>
                <c:pt idx="113">
                  <c:v>54</c:v>
                </c:pt>
                <c:pt idx="114">
                  <c:v>34</c:v>
                </c:pt>
                <c:pt idx="115">
                  <c:v>37</c:v>
                </c:pt>
                <c:pt idx="116">
                  <c:v>35</c:v>
                </c:pt>
                <c:pt idx="117">
                  <c:v>40</c:v>
                </c:pt>
                <c:pt idx="118">
                  <c:v>42</c:v>
                </c:pt>
                <c:pt idx="119">
                  <c:v>58</c:v>
                </c:pt>
                <c:pt idx="120">
                  <c:v>51</c:v>
                </c:pt>
                <c:pt idx="121">
                  <c:v>32</c:v>
                </c:pt>
                <c:pt idx="122">
                  <c:v>35</c:v>
                </c:pt>
                <c:pt idx="123">
                  <c:v>38</c:v>
                </c:pt>
                <c:pt idx="124">
                  <c:v>33</c:v>
                </c:pt>
                <c:pt idx="125">
                  <c:v>39</c:v>
                </c:pt>
                <c:pt idx="126">
                  <c:v>47</c:v>
                </c:pt>
                <c:pt idx="127">
                  <c:v>38</c:v>
                </c:pt>
                <c:pt idx="128">
                  <c:v>52</c:v>
                </c:pt>
                <c:pt idx="129">
                  <c:v>30</c:v>
                </c:pt>
                <c:pt idx="130">
                  <c:v>34</c:v>
                </c:pt>
                <c:pt idx="131">
                  <c:v>40</c:v>
                </c:pt>
                <c:pt idx="132">
                  <c:v>35</c:v>
                </c:pt>
                <c:pt idx="133">
                  <c:v>42</c:v>
                </c:pt>
                <c:pt idx="134">
                  <c:v>41</c:v>
                </c:pt>
                <c:pt idx="135">
                  <c:v>42</c:v>
                </c:pt>
                <c:pt idx="136">
                  <c:v>38</c:v>
                </c:pt>
                <c:pt idx="137">
                  <c:v>24</c:v>
                </c:pt>
                <c:pt idx="138">
                  <c:v>34</c:v>
                </c:pt>
                <c:pt idx="139">
                  <c:v>43</c:v>
                </c:pt>
                <c:pt idx="140">
                  <c:v>36</c:v>
                </c:pt>
                <c:pt idx="141">
                  <c:v>55</c:v>
                </c:pt>
                <c:pt idx="142">
                  <c:v>41</c:v>
                </c:pt>
                <c:pt idx="143">
                  <c:v>45</c:v>
                </c:pt>
                <c:pt idx="144">
                  <c:v>41</c:v>
                </c:pt>
                <c:pt idx="145">
                  <c:v>37</c:v>
                </c:pt>
                <c:pt idx="146">
                  <c:v>43</c:v>
                </c:pt>
                <c:pt idx="147">
                  <c:v>39</c:v>
                </c:pt>
                <c:pt idx="148">
                  <c:v>33</c:v>
                </c:pt>
                <c:pt idx="149">
                  <c:v>43</c:v>
                </c:pt>
                <c:pt idx="150">
                  <c:v>40</c:v>
                </c:pt>
                <c:pt idx="151">
                  <c:v>38</c:v>
                </c:pt>
                <c:pt idx="152">
                  <c:v>45</c:v>
                </c:pt>
                <c:pt idx="153">
                  <c:v>46</c:v>
                </c:pt>
                <c:pt idx="154">
                  <c:v>34</c:v>
                </c:pt>
                <c:pt idx="155">
                  <c:v>35</c:v>
                </c:pt>
                <c:pt idx="156">
                  <c:v>48</c:v>
                </c:pt>
                <c:pt idx="157">
                  <c:v>51</c:v>
                </c:pt>
                <c:pt idx="158">
                  <c:v>36</c:v>
                </c:pt>
                <c:pt idx="159">
                  <c:v>33</c:v>
                </c:pt>
                <c:pt idx="160">
                  <c:v>46</c:v>
                </c:pt>
                <c:pt idx="161">
                  <c:v>42</c:v>
                </c:pt>
                <c:pt idx="162">
                  <c:v>48</c:v>
                </c:pt>
                <c:pt idx="163">
                  <c:v>34</c:v>
                </c:pt>
                <c:pt idx="164">
                  <c:v>41</c:v>
                </c:pt>
                <c:pt idx="165">
                  <c:v>35</c:v>
                </c:pt>
                <c:pt idx="166">
                  <c:v>40</c:v>
                </c:pt>
                <c:pt idx="167">
                  <c:v>34</c:v>
                </c:pt>
                <c:pt idx="168">
                  <c:v>30</c:v>
                </c:pt>
                <c:pt idx="169">
                  <c:v>36</c:v>
                </c:pt>
                <c:pt idx="170">
                  <c:v>40</c:v>
                </c:pt>
                <c:pt idx="171">
                  <c:v>39</c:v>
                </c:pt>
                <c:pt idx="172">
                  <c:v>45</c:v>
                </c:pt>
                <c:pt idx="173">
                  <c:v>38</c:v>
                </c:pt>
                <c:pt idx="174">
                  <c:v>47</c:v>
                </c:pt>
                <c:pt idx="175">
                  <c:v>33</c:v>
                </c:pt>
                <c:pt idx="176">
                  <c:v>30</c:v>
                </c:pt>
                <c:pt idx="177">
                  <c:v>42</c:v>
                </c:pt>
                <c:pt idx="178">
                  <c:v>43</c:v>
                </c:pt>
                <c:pt idx="179">
                  <c:v>41</c:v>
                </c:pt>
                <c:pt idx="180">
                  <c:v>41</c:v>
                </c:pt>
                <c:pt idx="181">
                  <c:v>59</c:v>
                </c:pt>
                <c:pt idx="182">
                  <c:v>43</c:v>
                </c:pt>
                <c:pt idx="183">
                  <c:v>45</c:v>
                </c:pt>
                <c:pt idx="184">
                  <c:v>38</c:v>
                </c:pt>
                <c:pt idx="185">
                  <c:v>37</c:v>
                </c:pt>
                <c:pt idx="186">
                  <c:v>45</c:v>
                </c:pt>
                <c:pt idx="187">
                  <c:v>42</c:v>
                </c:pt>
                <c:pt idx="188">
                  <c:v>57</c:v>
                </c:pt>
                <c:pt idx="189">
                  <c:v>46</c:v>
                </c:pt>
                <c:pt idx="190">
                  <c:v>51</c:v>
                </c:pt>
                <c:pt idx="191">
                  <c:v>41</c:v>
                </c:pt>
                <c:pt idx="192">
                  <c:v>47</c:v>
                </c:pt>
                <c:pt idx="193">
                  <c:v>26</c:v>
                </c:pt>
                <c:pt idx="194">
                  <c:v>35</c:v>
                </c:pt>
                <c:pt idx="195">
                  <c:v>44</c:v>
                </c:pt>
                <c:pt idx="196">
                  <c:v>41</c:v>
                </c:pt>
                <c:pt idx="197">
                  <c:v>42</c:v>
                </c:pt>
                <c:pt idx="198">
                  <c:v>36</c:v>
                </c:pt>
                <c:pt idx="199">
                  <c:v>45</c:v>
                </c:pt>
                <c:pt idx="200">
                  <c:v>45</c:v>
                </c:pt>
                <c:pt idx="201">
                  <c:v>45</c:v>
                </c:pt>
                <c:pt idx="202">
                  <c:v>47</c:v>
                </c:pt>
                <c:pt idx="203">
                  <c:v>38</c:v>
                </c:pt>
                <c:pt idx="204">
                  <c:v>42</c:v>
                </c:pt>
                <c:pt idx="205">
                  <c:v>35</c:v>
                </c:pt>
                <c:pt idx="206">
                  <c:v>36</c:v>
                </c:pt>
                <c:pt idx="207">
                  <c:v>39</c:v>
                </c:pt>
                <c:pt idx="208">
                  <c:v>45</c:v>
                </c:pt>
                <c:pt idx="209">
                  <c:v>43</c:v>
                </c:pt>
                <c:pt idx="210">
                  <c:v>47</c:v>
                </c:pt>
                <c:pt idx="211">
                  <c:v>36</c:v>
                </c:pt>
                <c:pt idx="212">
                  <c:v>41</c:v>
                </c:pt>
                <c:pt idx="213">
                  <c:v>50</c:v>
                </c:pt>
                <c:pt idx="214">
                  <c:v>39</c:v>
                </c:pt>
                <c:pt idx="215">
                  <c:v>41</c:v>
                </c:pt>
                <c:pt idx="216">
                  <c:v>46</c:v>
                </c:pt>
                <c:pt idx="217">
                  <c:v>64</c:v>
                </c:pt>
                <c:pt idx="218">
                  <c:v>45</c:v>
                </c:pt>
                <c:pt idx="219">
                  <c:v>34</c:v>
                </c:pt>
                <c:pt idx="220">
                  <c:v>38</c:v>
                </c:pt>
                <c:pt idx="221">
                  <c:v>44</c:v>
                </c:pt>
                <c:pt idx="222">
                  <c:v>48</c:v>
                </c:pt>
                <c:pt idx="223">
                  <c:v>46</c:v>
                </c:pt>
                <c:pt idx="224">
                  <c:v>44</c:v>
                </c:pt>
                <c:pt idx="225">
                  <c:v>37</c:v>
                </c:pt>
                <c:pt idx="226">
                  <c:v>39</c:v>
                </c:pt>
                <c:pt idx="227">
                  <c:v>44</c:v>
                </c:pt>
                <c:pt idx="228">
                  <c:v>45</c:v>
                </c:pt>
                <c:pt idx="229">
                  <c:v>33</c:v>
                </c:pt>
                <c:pt idx="230">
                  <c:v>44</c:v>
                </c:pt>
                <c:pt idx="231">
                  <c:v>38</c:v>
                </c:pt>
                <c:pt idx="232">
                  <c:v>46</c:v>
                </c:pt>
                <c:pt idx="233">
                  <c:v>46</c:v>
                </c:pt>
                <c:pt idx="234">
                  <c:v>40</c:v>
                </c:pt>
                <c:pt idx="235">
                  <c:v>39</c:v>
                </c:pt>
                <c:pt idx="236">
                  <c:v>44</c:v>
                </c:pt>
                <c:pt idx="237">
                  <c:v>48</c:v>
                </c:pt>
                <c:pt idx="238">
                  <c:v>50</c:v>
                </c:pt>
                <c:pt idx="239">
                  <c:v>41</c:v>
                </c:pt>
                <c:pt idx="240">
                  <c:v>42</c:v>
                </c:pt>
                <c:pt idx="241">
                  <c:v>51</c:v>
                </c:pt>
                <c:pt idx="242">
                  <c:v>41</c:v>
                </c:pt>
                <c:pt idx="243">
                  <c:v>44</c:v>
                </c:pt>
                <c:pt idx="244">
                  <c:v>38</c:v>
                </c:pt>
                <c:pt idx="245">
                  <c:v>68</c:v>
                </c:pt>
                <c:pt idx="246">
                  <c:v>40</c:v>
                </c:pt>
                <c:pt idx="247">
                  <c:v>42</c:v>
                </c:pt>
                <c:pt idx="248">
                  <c:v>51</c:v>
                </c:pt>
                <c:pt idx="249">
                  <c:v>44</c:v>
                </c:pt>
                <c:pt idx="250">
                  <c:v>45</c:v>
                </c:pt>
                <c:pt idx="251">
                  <c:v>36</c:v>
                </c:pt>
                <c:pt idx="252">
                  <c:v>57</c:v>
                </c:pt>
                <c:pt idx="253">
                  <c:v>44</c:v>
                </c:pt>
                <c:pt idx="254">
                  <c:v>42</c:v>
                </c:pt>
                <c:pt idx="255">
                  <c:v>53</c:v>
                </c:pt>
                <c:pt idx="256">
                  <c:v>42</c:v>
                </c:pt>
                <c:pt idx="257">
                  <c:v>34</c:v>
                </c:pt>
                <c:pt idx="258">
                  <c:v>40</c:v>
                </c:pt>
                <c:pt idx="259">
                  <c:v>56</c:v>
                </c:pt>
                <c:pt idx="260">
                  <c:v>44</c:v>
                </c:pt>
                <c:pt idx="261">
                  <c:v>53</c:v>
                </c:pt>
                <c:pt idx="262">
                  <c:v>55</c:v>
                </c:pt>
                <c:pt idx="263">
                  <c:v>39</c:v>
                </c:pt>
                <c:pt idx="264">
                  <c:v>59</c:v>
                </c:pt>
                <c:pt idx="265">
                  <c:v>55</c:v>
                </c:pt>
                <c:pt idx="266">
                  <c:v>73</c:v>
                </c:pt>
                <c:pt idx="267">
                  <c:v>55</c:v>
                </c:pt>
                <c:pt idx="268">
                  <c:v>44</c:v>
                </c:pt>
                <c:pt idx="269">
                  <c:v>43</c:v>
                </c:pt>
                <c:pt idx="270">
                  <c:v>40</c:v>
                </c:pt>
                <c:pt idx="271">
                  <c:v>47</c:v>
                </c:pt>
                <c:pt idx="272">
                  <c:v>51</c:v>
                </c:pt>
                <c:pt idx="273">
                  <c:v>56</c:v>
                </c:pt>
                <c:pt idx="274">
                  <c:v>49</c:v>
                </c:pt>
                <c:pt idx="275">
                  <c:v>54</c:v>
                </c:pt>
                <c:pt idx="276">
                  <c:v>56</c:v>
                </c:pt>
                <c:pt idx="277">
                  <c:v>47</c:v>
                </c:pt>
                <c:pt idx="278">
                  <c:v>44</c:v>
                </c:pt>
                <c:pt idx="279">
                  <c:v>43</c:v>
                </c:pt>
                <c:pt idx="280">
                  <c:v>42</c:v>
                </c:pt>
                <c:pt idx="281">
                  <c:v>45</c:v>
                </c:pt>
                <c:pt idx="282">
                  <c:v>50</c:v>
                </c:pt>
                <c:pt idx="283">
                  <c:v>48</c:v>
                </c:pt>
                <c:pt idx="284">
                  <c:v>43</c:v>
                </c:pt>
                <c:pt idx="285">
                  <c:v>40</c:v>
                </c:pt>
                <c:pt idx="286">
                  <c:v>59</c:v>
                </c:pt>
                <c:pt idx="287">
                  <c:v>41</c:v>
                </c:pt>
                <c:pt idx="288">
                  <c:v>42</c:v>
                </c:pt>
                <c:pt idx="289">
                  <c:v>51</c:v>
                </c:pt>
                <c:pt idx="290">
                  <c:v>49</c:v>
                </c:pt>
                <c:pt idx="291">
                  <c:v>45</c:v>
                </c:pt>
                <c:pt idx="292">
                  <c:v>43</c:v>
                </c:pt>
                <c:pt idx="293">
                  <c:v>42</c:v>
                </c:pt>
                <c:pt idx="294">
                  <c:v>38</c:v>
                </c:pt>
                <c:pt idx="295">
                  <c:v>47</c:v>
                </c:pt>
                <c:pt idx="296">
                  <c:v>38</c:v>
                </c:pt>
                <c:pt idx="297">
                  <c:v>36</c:v>
                </c:pt>
                <c:pt idx="298">
                  <c:v>42</c:v>
                </c:pt>
                <c:pt idx="299">
                  <c:v>35</c:v>
                </c:pt>
                <c:pt idx="300">
                  <c:v>28</c:v>
                </c:pt>
                <c:pt idx="301">
                  <c:v>44</c:v>
                </c:pt>
                <c:pt idx="302">
                  <c:v>36</c:v>
                </c:pt>
                <c:pt idx="303">
                  <c:v>45</c:v>
                </c:pt>
                <c:pt idx="304">
                  <c:v>46</c:v>
                </c:pt>
                <c:pt idx="305">
                  <c:v>48</c:v>
                </c:pt>
                <c:pt idx="306">
                  <c:v>49</c:v>
                </c:pt>
                <c:pt idx="307">
                  <c:v>43</c:v>
                </c:pt>
                <c:pt idx="308">
                  <c:v>42</c:v>
                </c:pt>
                <c:pt idx="309">
                  <c:v>59</c:v>
                </c:pt>
                <c:pt idx="310">
                  <c:v>45</c:v>
                </c:pt>
                <c:pt idx="311">
                  <c:v>52</c:v>
                </c:pt>
                <c:pt idx="312">
                  <c:v>46</c:v>
                </c:pt>
                <c:pt idx="313">
                  <c:v>42</c:v>
                </c:pt>
                <c:pt idx="314">
                  <c:v>40</c:v>
                </c:pt>
                <c:pt idx="315">
                  <c:v>40</c:v>
                </c:pt>
                <c:pt idx="316">
                  <c:v>45</c:v>
                </c:pt>
                <c:pt idx="317">
                  <c:v>35</c:v>
                </c:pt>
                <c:pt idx="318">
                  <c:v>35</c:v>
                </c:pt>
                <c:pt idx="319">
                  <c:v>40</c:v>
                </c:pt>
                <c:pt idx="320">
                  <c:v>39</c:v>
                </c:pt>
                <c:pt idx="321">
                  <c:v>33</c:v>
                </c:pt>
                <c:pt idx="322">
                  <c:v>42</c:v>
                </c:pt>
                <c:pt idx="323">
                  <c:v>47</c:v>
                </c:pt>
                <c:pt idx="324">
                  <c:v>51</c:v>
                </c:pt>
                <c:pt idx="325">
                  <c:v>44</c:v>
                </c:pt>
                <c:pt idx="326">
                  <c:v>40</c:v>
                </c:pt>
                <c:pt idx="327">
                  <c:v>57</c:v>
                </c:pt>
                <c:pt idx="328">
                  <c:v>49</c:v>
                </c:pt>
                <c:pt idx="329">
                  <c:v>45</c:v>
                </c:pt>
                <c:pt idx="330">
                  <c:v>49</c:v>
                </c:pt>
                <c:pt idx="331">
                  <c:v>51</c:v>
                </c:pt>
                <c:pt idx="332">
                  <c:v>46</c:v>
                </c:pt>
                <c:pt idx="333">
                  <c:v>44</c:v>
                </c:pt>
                <c:pt idx="334">
                  <c:v>52</c:v>
                </c:pt>
                <c:pt idx="335">
                  <c:v>45</c:v>
                </c:pt>
                <c:pt idx="336">
                  <c:v>32</c:v>
                </c:pt>
                <c:pt idx="337">
                  <c:v>46</c:v>
                </c:pt>
                <c:pt idx="338">
                  <c:v>41</c:v>
                </c:pt>
                <c:pt idx="339">
                  <c:v>34</c:v>
                </c:pt>
                <c:pt idx="340">
                  <c:v>33</c:v>
                </c:pt>
                <c:pt idx="341">
                  <c:v>36</c:v>
                </c:pt>
                <c:pt idx="342">
                  <c:v>49</c:v>
                </c:pt>
                <c:pt idx="343">
                  <c:v>43</c:v>
                </c:pt>
                <c:pt idx="344">
                  <c:v>43</c:v>
                </c:pt>
                <c:pt idx="345">
                  <c:v>34</c:v>
                </c:pt>
                <c:pt idx="346">
                  <c:v>39</c:v>
                </c:pt>
                <c:pt idx="347">
                  <c:v>35</c:v>
                </c:pt>
                <c:pt idx="348">
                  <c:v>52</c:v>
                </c:pt>
                <c:pt idx="349">
                  <c:v>47</c:v>
                </c:pt>
                <c:pt idx="350">
                  <c:v>52</c:v>
                </c:pt>
                <c:pt idx="351">
                  <c:v>39</c:v>
                </c:pt>
                <c:pt idx="352">
                  <c:v>40</c:v>
                </c:pt>
                <c:pt idx="353">
                  <c:v>42</c:v>
                </c:pt>
                <c:pt idx="354">
                  <c:v>42</c:v>
                </c:pt>
                <c:pt idx="355">
                  <c:v>53</c:v>
                </c:pt>
                <c:pt idx="356">
                  <c:v>39</c:v>
                </c:pt>
                <c:pt idx="357">
                  <c:v>40</c:v>
                </c:pt>
                <c:pt idx="358">
                  <c:v>38</c:v>
                </c:pt>
                <c:pt idx="359">
                  <c:v>44</c:v>
                </c:pt>
                <c:pt idx="360">
                  <c:v>34</c:v>
                </c:pt>
                <c:pt idx="361">
                  <c:v>37</c:v>
                </c:pt>
                <c:pt idx="362">
                  <c:v>52</c:v>
                </c:pt>
                <c:pt idx="363">
                  <c:v>48</c:v>
                </c:pt>
                <c:pt idx="364">
                  <c:v>55</c:v>
                </c:pt>
                <c:pt idx="36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1-4F64-B0C7-7D118A7B5C9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'Moving Average'!$A$1:$A$366</c:f>
              <c:strCache>
                <c:ptCount val="366"/>
                <c:pt idx="0">
                  <c:v>Date</c:v>
                </c:pt>
                <c:pt idx="1">
                  <c:v>1/1/1959</c:v>
                </c:pt>
                <c:pt idx="2">
                  <c:v>2/1/1959</c:v>
                </c:pt>
                <c:pt idx="3">
                  <c:v>3/1/1959</c:v>
                </c:pt>
                <c:pt idx="4">
                  <c:v>4/1/1959</c:v>
                </c:pt>
                <c:pt idx="5">
                  <c:v>5/1/1959</c:v>
                </c:pt>
                <c:pt idx="6">
                  <c:v>6/1/1959</c:v>
                </c:pt>
                <c:pt idx="7">
                  <c:v>7/1/1959</c:v>
                </c:pt>
                <c:pt idx="8">
                  <c:v>8/1/1959</c:v>
                </c:pt>
                <c:pt idx="9">
                  <c:v>9/1/1959</c:v>
                </c:pt>
                <c:pt idx="10">
                  <c:v>10/1/1959</c:v>
                </c:pt>
                <c:pt idx="11">
                  <c:v>11/1/1959</c:v>
                </c:pt>
                <c:pt idx="12">
                  <c:v>12/1/1959</c:v>
                </c:pt>
                <c:pt idx="13">
                  <c:v>13/1/1959</c:v>
                </c:pt>
                <c:pt idx="14">
                  <c:v>14/1/1959</c:v>
                </c:pt>
                <c:pt idx="15">
                  <c:v>15/1/1959</c:v>
                </c:pt>
                <c:pt idx="16">
                  <c:v>16/1/1959</c:v>
                </c:pt>
                <c:pt idx="17">
                  <c:v>17/1/1959</c:v>
                </c:pt>
                <c:pt idx="18">
                  <c:v>18/1/1959</c:v>
                </c:pt>
                <c:pt idx="19">
                  <c:v>19/1/1959</c:v>
                </c:pt>
                <c:pt idx="20">
                  <c:v>20/1/1959</c:v>
                </c:pt>
                <c:pt idx="21">
                  <c:v>21/1/1959</c:v>
                </c:pt>
                <c:pt idx="22">
                  <c:v>22/1/1959</c:v>
                </c:pt>
                <c:pt idx="23">
                  <c:v>23/1/1959</c:v>
                </c:pt>
                <c:pt idx="24">
                  <c:v>24/1/1959</c:v>
                </c:pt>
                <c:pt idx="25">
                  <c:v>25/1/1959</c:v>
                </c:pt>
                <c:pt idx="26">
                  <c:v>26/1/1959</c:v>
                </c:pt>
                <c:pt idx="27">
                  <c:v>27/1/1959</c:v>
                </c:pt>
                <c:pt idx="28">
                  <c:v>28/1/1959</c:v>
                </c:pt>
                <c:pt idx="29">
                  <c:v>29/1/1959</c:v>
                </c:pt>
                <c:pt idx="30">
                  <c:v>30/1/1959</c:v>
                </c:pt>
                <c:pt idx="31">
                  <c:v>31/1/1959</c:v>
                </c:pt>
                <c:pt idx="32">
                  <c:v>1/2/1959</c:v>
                </c:pt>
                <c:pt idx="33">
                  <c:v>2/2/1959</c:v>
                </c:pt>
                <c:pt idx="34">
                  <c:v>3/2/1959</c:v>
                </c:pt>
                <c:pt idx="35">
                  <c:v>4/2/1959</c:v>
                </c:pt>
                <c:pt idx="36">
                  <c:v>5/2/1959</c:v>
                </c:pt>
                <c:pt idx="37">
                  <c:v>6/2/1959</c:v>
                </c:pt>
                <c:pt idx="38">
                  <c:v>7/2/1959</c:v>
                </c:pt>
                <c:pt idx="39">
                  <c:v>8/2/1959</c:v>
                </c:pt>
                <c:pt idx="40">
                  <c:v>9/2/1959</c:v>
                </c:pt>
                <c:pt idx="41">
                  <c:v>10/2/1959</c:v>
                </c:pt>
                <c:pt idx="42">
                  <c:v>11/2/1959</c:v>
                </c:pt>
                <c:pt idx="43">
                  <c:v>12/2/1959</c:v>
                </c:pt>
                <c:pt idx="44">
                  <c:v>13/2/1959</c:v>
                </c:pt>
                <c:pt idx="45">
                  <c:v>14/2/1959</c:v>
                </c:pt>
                <c:pt idx="46">
                  <c:v>15/2/1959</c:v>
                </c:pt>
                <c:pt idx="47">
                  <c:v>16/2/1959</c:v>
                </c:pt>
                <c:pt idx="48">
                  <c:v>17/2/1959</c:v>
                </c:pt>
                <c:pt idx="49">
                  <c:v>18/2/1959</c:v>
                </c:pt>
                <c:pt idx="50">
                  <c:v>19/2/1959</c:v>
                </c:pt>
                <c:pt idx="51">
                  <c:v>20/2/1959</c:v>
                </c:pt>
                <c:pt idx="52">
                  <c:v>21/2/1959</c:v>
                </c:pt>
                <c:pt idx="53">
                  <c:v>22/2/1959</c:v>
                </c:pt>
                <c:pt idx="54">
                  <c:v>23/2/1959</c:v>
                </c:pt>
                <c:pt idx="55">
                  <c:v>24/2/1959</c:v>
                </c:pt>
                <c:pt idx="56">
                  <c:v>25/2/1959</c:v>
                </c:pt>
                <c:pt idx="57">
                  <c:v>26/2/1959</c:v>
                </c:pt>
                <c:pt idx="58">
                  <c:v>27/2/1959</c:v>
                </c:pt>
                <c:pt idx="59">
                  <c:v>28/2/1959</c:v>
                </c:pt>
                <c:pt idx="60">
                  <c:v>1/3/1959</c:v>
                </c:pt>
                <c:pt idx="61">
                  <c:v>2/3/1959</c:v>
                </c:pt>
                <c:pt idx="62">
                  <c:v>3/3/1959</c:v>
                </c:pt>
                <c:pt idx="63">
                  <c:v>4/3/1959</c:v>
                </c:pt>
                <c:pt idx="64">
                  <c:v>5/3/1959</c:v>
                </c:pt>
                <c:pt idx="65">
                  <c:v>6/3/1959</c:v>
                </c:pt>
                <c:pt idx="66">
                  <c:v>7/3/1959</c:v>
                </c:pt>
                <c:pt idx="67">
                  <c:v>8/3/1959</c:v>
                </c:pt>
                <c:pt idx="68">
                  <c:v>9/3/1959</c:v>
                </c:pt>
                <c:pt idx="69">
                  <c:v>10/3/1959</c:v>
                </c:pt>
                <c:pt idx="70">
                  <c:v>11/3/1959</c:v>
                </c:pt>
                <c:pt idx="71">
                  <c:v>12/3/1959</c:v>
                </c:pt>
                <c:pt idx="72">
                  <c:v>13/3/1959</c:v>
                </c:pt>
                <c:pt idx="73">
                  <c:v>14/3/1959</c:v>
                </c:pt>
                <c:pt idx="74">
                  <c:v>15/3/1959</c:v>
                </c:pt>
                <c:pt idx="75">
                  <c:v>16/3/1959</c:v>
                </c:pt>
                <c:pt idx="76">
                  <c:v>17/3/1959</c:v>
                </c:pt>
                <c:pt idx="77">
                  <c:v>18/3/1959</c:v>
                </c:pt>
                <c:pt idx="78">
                  <c:v>19/3/1959</c:v>
                </c:pt>
                <c:pt idx="79">
                  <c:v>20/3/1959</c:v>
                </c:pt>
                <c:pt idx="80">
                  <c:v>21/3/1959</c:v>
                </c:pt>
                <c:pt idx="81">
                  <c:v>22/3/1959</c:v>
                </c:pt>
                <c:pt idx="82">
                  <c:v>23/3/1959</c:v>
                </c:pt>
                <c:pt idx="83">
                  <c:v>24/3/1959</c:v>
                </c:pt>
                <c:pt idx="84">
                  <c:v>25/3/1959</c:v>
                </c:pt>
                <c:pt idx="85">
                  <c:v>26/3/1959</c:v>
                </c:pt>
                <c:pt idx="86">
                  <c:v>27/3/1959</c:v>
                </c:pt>
                <c:pt idx="87">
                  <c:v>28/3/1959</c:v>
                </c:pt>
                <c:pt idx="88">
                  <c:v>29/3/1959</c:v>
                </c:pt>
                <c:pt idx="89">
                  <c:v>30/3/1959</c:v>
                </c:pt>
                <c:pt idx="90">
                  <c:v>31/3/1959</c:v>
                </c:pt>
                <c:pt idx="91">
                  <c:v>1/4/1959</c:v>
                </c:pt>
                <c:pt idx="92">
                  <c:v>2/4/1959</c:v>
                </c:pt>
                <c:pt idx="93">
                  <c:v>3/4/1959</c:v>
                </c:pt>
                <c:pt idx="94">
                  <c:v>4/4/1959</c:v>
                </c:pt>
                <c:pt idx="95">
                  <c:v>5/4/1959</c:v>
                </c:pt>
                <c:pt idx="96">
                  <c:v>6/4/1959</c:v>
                </c:pt>
                <c:pt idx="97">
                  <c:v>7/4/1959</c:v>
                </c:pt>
                <c:pt idx="98">
                  <c:v>8/4/1959</c:v>
                </c:pt>
                <c:pt idx="99">
                  <c:v>9/4/1959</c:v>
                </c:pt>
                <c:pt idx="100">
                  <c:v>10/4/1959</c:v>
                </c:pt>
                <c:pt idx="101">
                  <c:v>11/4/1959</c:v>
                </c:pt>
                <c:pt idx="102">
                  <c:v>12/4/1959</c:v>
                </c:pt>
                <c:pt idx="103">
                  <c:v>13/4/1959</c:v>
                </c:pt>
                <c:pt idx="104">
                  <c:v>14/4/1959</c:v>
                </c:pt>
                <c:pt idx="105">
                  <c:v>15/4/1959</c:v>
                </c:pt>
                <c:pt idx="106">
                  <c:v>16/4/1959</c:v>
                </c:pt>
                <c:pt idx="107">
                  <c:v>17/4/1959</c:v>
                </c:pt>
                <c:pt idx="108">
                  <c:v>18/4/1959</c:v>
                </c:pt>
                <c:pt idx="109">
                  <c:v>19/4/1959</c:v>
                </c:pt>
                <c:pt idx="110">
                  <c:v>20/4/1959</c:v>
                </c:pt>
                <c:pt idx="111">
                  <c:v>21/4/1959</c:v>
                </c:pt>
                <c:pt idx="112">
                  <c:v>22/4/1959</c:v>
                </c:pt>
                <c:pt idx="113">
                  <c:v>23/4/1959</c:v>
                </c:pt>
                <c:pt idx="114">
                  <c:v>24/4/1959</c:v>
                </c:pt>
                <c:pt idx="115">
                  <c:v>25/4/1959</c:v>
                </c:pt>
                <c:pt idx="116">
                  <c:v>26/4/1959</c:v>
                </c:pt>
                <c:pt idx="117">
                  <c:v>27/4/1959</c:v>
                </c:pt>
                <c:pt idx="118">
                  <c:v>28/4/1959</c:v>
                </c:pt>
                <c:pt idx="119">
                  <c:v>29/4/1959</c:v>
                </c:pt>
                <c:pt idx="120">
                  <c:v>30/4/1959</c:v>
                </c:pt>
                <c:pt idx="121">
                  <c:v>1/5/1959</c:v>
                </c:pt>
                <c:pt idx="122">
                  <c:v>2/5/1959</c:v>
                </c:pt>
                <c:pt idx="123">
                  <c:v>3/5/1959</c:v>
                </c:pt>
                <c:pt idx="124">
                  <c:v>4/5/1959</c:v>
                </c:pt>
                <c:pt idx="125">
                  <c:v>5/5/1959</c:v>
                </c:pt>
                <c:pt idx="126">
                  <c:v>6/5/1959</c:v>
                </c:pt>
                <c:pt idx="127">
                  <c:v>7/5/1959</c:v>
                </c:pt>
                <c:pt idx="128">
                  <c:v>8/5/1959</c:v>
                </c:pt>
                <c:pt idx="129">
                  <c:v>9/5/1959</c:v>
                </c:pt>
                <c:pt idx="130">
                  <c:v>10/5/1959</c:v>
                </c:pt>
                <c:pt idx="131">
                  <c:v>11/5/1959</c:v>
                </c:pt>
                <c:pt idx="132">
                  <c:v>12/5/1959</c:v>
                </c:pt>
                <c:pt idx="133">
                  <c:v>13/5/1959</c:v>
                </c:pt>
                <c:pt idx="134">
                  <c:v>14/5/1959</c:v>
                </c:pt>
                <c:pt idx="135">
                  <c:v>15/5/1959</c:v>
                </c:pt>
                <c:pt idx="136">
                  <c:v>16/5/1959</c:v>
                </c:pt>
                <c:pt idx="137">
                  <c:v>17/5/1959</c:v>
                </c:pt>
                <c:pt idx="138">
                  <c:v>18/5/1959</c:v>
                </c:pt>
                <c:pt idx="139">
                  <c:v>19/5/1959</c:v>
                </c:pt>
                <c:pt idx="140">
                  <c:v>20/5/1959</c:v>
                </c:pt>
                <c:pt idx="141">
                  <c:v>21/5/1959</c:v>
                </c:pt>
                <c:pt idx="142">
                  <c:v>22/5/1959</c:v>
                </c:pt>
                <c:pt idx="143">
                  <c:v>23/5/1959</c:v>
                </c:pt>
                <c:pt idx="144">
                  <c:v>24/5/1959</c:v>
                </c:pt>
                <c:pt idx="145">
                  <c:v>25/5/1959</c:v>
                </c:pt>
                <c:pt idx="146">
                  <c:v>26/5/1959</c:v>
                </c:pt>
                <c:pt idx="147">
                  <c:v>27/5/1959</c:v>
                </c:pt>
                <c:pt idx="148">
                  <c:v>28/5/1959</c:v>
                </c:pt>
                <c:pt idx="149">
                  <c:v>29/5/1959</c:v>
                </c:pt>
                <c:pt idx="150">
                  <c:v>30/5/1959</c:v>
                </c:pt>
                <c:pt idx="151">
                  <c:v>31/5/1959</c:v>
                </c:pt>
                <c:pt idx="152">
                  <c:v>1/6/1959</c:v>
                </c:pt>
                <c:pt idx="153">
                  <c:v>2/6/1959</c:v>
                </c:pt>
                <c:pt idx="154">
                  <c:v>3/6/1959</c:v>
                </c:pt>
                <c:pt idx="155">
                  <c:v>4/6/1959</c:v>
                </c:pt>
                <c:pt idx="156">
                  <c:v>5/6/1959</c:v>
                </c:pt>
                <c:pt idx="157">
                  <c:v>6/6/1959</c:v>
                </c:pt>
                <c:pt idx="158">
                  <c:v>7/6/1959</c:v>
                </c:pt>
                <c:pt idx="159">
                  <c:v>8/6/1959</c:v>
                </c:pt>
                <c:pt idx="160">
                  <c:v>9/6/1959</c:v>
                </c:pt>
                <c:pt idx="161">
                  <c:v>10/6/1959</c:v>
                </c:pt>
                <c:pt idx="162">
                  <c:v>11/6/1959</c:v>
                </c:pt>
                <c:pt idx="163">
                  <c:v>12/6/1959</c:v>
                </c:pt>
                <c:pt idx="164">
                  <c:v>13/6/1959</c:v>
                </c:pt>
                <c:pt idx="165">
                  <c:v>14/6/1959</c:v>
                </c:pt>
                <c:pt idx="166">
                  <c:v>15/6/1959</c:v>
                </c:pt>
                <c:pt idx="167">
                  <c:v>16/6/1959</c:v>
                </c:pt>
                <c:pt idx="168">
                  <c:v>17/6/1959</c:v>
                </c:pt>
                <c:pt idx="169">
                  <c:v>18/6/1959</c:v>
                </c:pt>
                <c:pt idx="170">
                  <c:v>19/6/1959</c:v>
                </c:pt>
                <c:pt idx="171">
                  <c:v>20/6/1959</c:v>
                </c:pt>
                <c:pt idx="172">
                  <c:v>21/6/1959</c:v>
                </c:pt>
                <c:pt idx="173">
                  <c:v>22/6/1959</c:v>
                </c:pt>
                <c:pt idx="174">
                  <c:v>23/6/1959</c:v>
                </c:pt>
                <c:pt idx="175">
                  <c:v>24/6/1959</c:v>
                </c:pt>
                <c:pt idx="176">
                  <c:v>25/6/1959</c:v>
                </c:pt>
                <c:pt idx="177">
                  <c:v>26/6/1959</c:v>
                </c:pt>
                <c:pt idx="178">
                  <c:v>27/6/1959</c:v>
                </c:pt>
                <c:pt idx="179">
                  <c:v>28/6/1959</c:v>
                </c:pt>
                <c:pt idx="180">
                  <c:v>29/6/1959</c:v>
                </c:pt>
                <c:pt idx="181">
                  <c:v>30/6/1959</c:v>
                </c:pt>
                <c:pt idx="182">
                  <c:v>1/7/1959</c:v>
                </c:pt>
                <c:pt idx="183">
                  <c:v>2/7/1959</c:v>
                </c:pt>
                <c:pt idx="184">
                  <c:v>3/7/1959</c:v>
                </c:pt>
                <c:pt idx="185">
                  <c:v>4/7/1959</c:v>
                </c:pt>
                <c:pt idx="186">
                  <c:v>5/7/1959</c:v>
                </c:pt>
                <c:pt idx="187">
                  <c:v>6/7/1959</c:v>
                </c:pt>
                <c:pt idx="188">
                  <c:v>7/7/1959</c:v>
                </c:pt>
                <c:pt idx="189">
                  <c:v>8/7/1959</c:v>
                </c:pt>
                <c:pt idx="190">
                  <c:v>9/7/1959</c:v>
                </c:pt>
                <c:pt idx="191">
                  <c:v>10/7/1959</c:v>
                </c:pt>
                <c:pt idx="192">
                  <c:v>11/7/1959</c:v>
                </c:pt>
                <c:pt idx="193">
                  <c:v>12/7/1959</c:v>
                </c:pt>
                <c:pt idx="194">
                  <c:v>13/7/1959</c:v>
                </c:pt>
                <c:pt idx="195">
                  <c:v>14/7/1959</c:v>
                </c:pt>
                <c:pt idx="196">
                  <c:v>15/7/1959</c:v>
                </c:pt>
                <c:pt idx="197">
                  <c:v>16/7/1959</c:v>
                </c:pt>
                <c:pt idx="198">
                  <c:v>17/7/1959</c:v>
                </c:pt>
                <c:pt idx="199">
                  <c:v>18/7/1959</c:v>
                </c:pt>
                <c:pt idx="200">
                  <c:v>19/7/1959</c:v>
                </c:pt>
                <c:pt idx="201">
                  <c:v>20/7/1959</c:v>
                </c:pt>
                <c:pt idx="202">
                  <c:v>21/7/1959</c:v>
                </c:pt>
                <c:pt idx="203">
                  <c:v>22/7/1959</c:v>
                </c:pt>
                <c:pt idx="204">
                  <c:v>23/7/1959</c:v>
                </c:pt>
                <c:pt idx="205">
                  <c:v>24/7/1959</c:v>
                </c:pt>
                <c:pt idx="206">
                  <c:v>25/7/1959</c:v>
                </c:pt>
                <c:pt idx="207">
                  <c:v>26/7/1959</c:v>
                </c:pt>
                <c:pt idx="208">
                  <c:v>27/7/1959</c:v>
                </c:pt>
                <c:pt idx="209">
                  <c:v>28/7/1959</c:v>
                </c:pt>
                <c:pt idx="210">
                  <c:v>29/7/1959</c:v>
                </c:pt>
                <c:pt idx="211">
                  <c:v>30/7/1959</c:v>
                </c:pt>
                <c:pt idx="212">
                  <c:v>31/7/1959</c:v>
                </c:pt>
                <c:pt idx="213">
                  <c:v>1/8/1959</c:v>
                </c:pt>
                <c:pt idx="214">
                  <c:v>2/8/1959</c:v>
                </c:pt>
                <c:pt idx="215">
                  <c:v>3/8/1959</c:v>
                </c:pt>
                <c:pt idx="216">
                  <c:v>4/8/1959</c:v>
                </c:pt>
                <c:pt idx="217">
                  <c:v>5/8/1959</c:v>
                </c:pt>
                <c:pt idx="218">
                  <c:v>6/8/1959</c:v>
                </c:pt>
                <c:pt idx="219">
                  <c:v>7/8/1959</c:v>
                </c:pt>
                <c:pt idx="220">
                  <c:v>8/8/1959</c:v>
                </c:pt>
                <c:pt idx="221">
                  <c:v>9/8/1959</c:v>
                </c:pt>
                <c:pt idx="222">
                  <c:v>10/8/1959</c:v>
                </c:pt>
                <c:pt idx="223">
                  <c:v>11/8/1959</c:v>
                </c:pt>
                <c:pt idx="224">
                  <c:v>12/8/1959</c:v>
                </c:pt>
                <c:pt idx="225">
                  <c:v>13/8/1959</c:v>
                </c:pt>
                <c:pt idx="226">
                  <c:v>14/8/1959</c:v>
                </c:pt>
                <c:pt idx="227">
                  <c:v>15/8/1959</c:v>
                </c:pt>
                <c:pt idx="228">
                  <c:v>16/8/1959</c:v>
                </c:pt>
                <c:pt idx="229">
                  <c:v>17/8/1959</c:v>
                </c:pt>
                <c:pt idx="230">
                  <c:v>18/8/1959</c:v>
                </c:pt>
                <c:pt idx="231">
                  <c:v>19/8/1959</c:v>
                </c:pt>
                <c:pt idx="232">
                  <c:v>20/8/1959</c:v>
                </c:pt>
                <c:pt idx="233">
                  <c:v>21/8/1959</c:v>
                </c:pt>
                <c:pt idx="234">
                  <c:v>22/8/1959</c:v>
                </c:pt>
                <c:pt idx="235">
                  <c:v>23/8/1959</c:v>
                </c:pt>
                <c:pt idx="236">
                  <c:v>24/8/1959</c:v>
                </c:pt>
                <c:pt idx="237">
                  <c:v>25/8/1959</c:v>
                </c:pt>
                <c:pt idx="238">
                  <c:v>26/8/1959</c:v>
                </c:pt>
                <c:pt idx="239">
                  <c:v>27/8/1959</c:v>
                </c:pt>
                <c:pt idx="240">
                  <c:v>28/8/1959</c:v>
                </c:pt>
                <c:pt idx="241">
                  <c:v>29/8/1959</c:v>
                </c:pt>
                <c:pt idx="242">
                  <c:v>30/8/1959</c:v>
                </c:pt>
                <c:pt idx="243">
                  <c:v>31/8/1959</c:v>
                </c:pt>
                <c:pt idx="244">
                  <c:v>1/9/1959</c:v>
                </c:pt>
                <c:pt idx="245">
                  <c:v>2/9/1959</c:v>
                </c:pt>
                <c:pt idx="246">
                  <c:v>3/9/1959</c:v>
                </c:pt>
                <c:pt idx="247">
                  <c:v>4/9/1959</c:v>
                </c:pt>
                <c:pt idx="248">
                  <c:v>5/9/1959</c:v>
                </c:pt>
                <c:pt idx="249">
                  <c:v>6/9/1959</c:v>
                </c:pt>
                <c:pt idx="250">
                  <c:v>7/9/1959</c:v>
                </c:pt>
                <c:pt idx="251">
                  <c:v>8/9/1959</c:v>
                </c:pt>
                <c:pt idx="252">
                  <c:v>9/9/1959</c:v>
                </c:pt>
                <c:pt idx="253">
                  <c:v>10/9/1959</c:v>
                </c:pt>
                <c:pt idx="254">
                  <c:v>11/9/1959</c:v>
                </c:pt>
                <c:pt idx="255">
                  <c:v>12/9/1959</c:v>
                </c:pt>
                <c:pt idx="256">
                  <c:v>13/9/1959</c:v>
                </c:pt>
                <c:pt idx="257">
                  <c:v>14/9/1959</c:v>
                </c:pt>
                <c:pt idx="258">
                  <c:v>15/9/1959</c:v>
                </c:pt>
                <c:pt idx="259">
                  <c:v>16/9/1959</c:v>
                </c:pt>
                <c:pt idx="260">
                  <c:v>17/9/1959</c:v>
                </c:pt>
                <c:pt idx="261">
                  <c:v>18/9/1959</c:v>
                </c:pt>
                <c:pt idx="262">
                  <c:v>19/9/1959</c:v>
                </c:pt>
                <c:pt idx="263">
                  <c:v>20/9/1959</c:v>
                </c:pt>
                <c:pt idx="264">
                  <c:v>21/9/1959</c:v>
                </c:pt>
                <c:pt idx="265">
                  <c:v>22/9/1959</c:v>
                </c:pt>
                <c:pt idx="266">
                  <c:v>23/9/1959</c:v>
                </c:pt>
                <c:pt idx="267">
                  <c:v>24/9/1959</c:v>
                </c:pt>
                <c:pt idx="268">
                  <c:v>25/9/1959</c:v>
                </c:pt>
                <c:pt idx="269">
                  <c:v>26/9/1959</c:v>
                </c:pt>
                <c:pt idx="270">
                  <c:v>27/9/1959</c:v>
                </c:pt>
                <c:pt idx="271">
                  <c:v>28/9/1959</c:v>
                </c:pt>
                <c:pt idx="272">
                  <c:v>29/9/1959</c:v>
                </c:pt>
                <c:pt idx="273">
                  <c:v>30/9/1959</c:v>
                </c:pt>
                <c:pt idx="274">
                  <c:v>1/10/1959</c:v>
                </c:pt>
                <c:pt idx="275">
                  <c:v>2/10/1959</c:v>
                </c:pt>
                <c:pt idx="276">
                  <c:v>3/10/1959</c:v>
                </c:pt>
                <c:pt idx="277">
                  <c:v>4/10/1959</c:v>
                </c:pt>
                <c:pt idx="278">
                  <c:v>5/10/1959</c:v>
                </c:pt>
                <c:pt idx="279">
                  <c:v>6/10/1959</c:v>
                </c:pt>
                <c:pt idx="280">
                  <c:v>7/10/1959</c:v>
                </c:pt>
                <c:pt idx="281">
                  <c:v>8/10/1959</c:v>
                </c:pt>
                <c:pt idx="282">
                  <c:v>9/10/1959</c:v>
                </c:pt>
                <c:pt idx="283">
                  <c:v>10/10/1959</c:v>
                </c:pt>
                <c:pt idx="284">
                  <c:v>11/10/1959</c:v>
                </c:pt>
                <c:pt idx="285">
                  <c:v>12/10/1959</c:v>
                </c:pt>
                <c:pt idx="286">
                  <c:v>13/10/1959</c:v>
                </c:pt>
                <c:pt idx="287">
                  <c:v>14/10/1959</c:v>
                </c:pt>
                <c:pt idx="288">
                  <c:v>15/10/1959</c:v>
                </c:pt>
                <c:pt idx="289">
                  <c:v>16/10/1959</c:v>
                </c:pt>
                <c:pt idx="290">
                  <c:v>17/10/1959</c:v>
                </c:pt>
                <c:pt idx="291">
                  <c:v>18/10/1959</c:v>
                </c:pt>
                <c:pt idx="292">
                  <c:v>19/10/1959</c:v>
                </c:pt>
                <c:pt idx="293">
                  <c:v>20/10/1959</c:v>
                </c:pt>
                <c:pt idx="294">
                  <c:v>21/10/1959</c:v>
                </c:pt>
                <c:pt idx="295">
                  <c:v>22/10/1959</c:v>
                </c:pt>
                <c:pt idx="296">
                  <c:v>23/10/1959</c:v>
                </c:pt>
                <c:pt idx="297">
                  <c:v>24/10/1959</c:v>
                </c:pt>
                <c:pt idx="298">
                  <c:v>25/10/1959</c:v>
                </c:pt>
                <c:pt idx="299">
                  <c:v>26/10/1959</c:v>
                </c:pt>
                <c:pt idx="300">
                  <c:v>27/10/1959</c:v>
                </c:pt>
                <c:pt idx="301">
                  <c:v>28/10/1959</c:v>
                </c:pt>
                <c:pt idx="302">
                  <c:v>29/10/1959</c:v>
                </c:pt>
                <c:pt idx="303">
                  <c:v>30/10/1959</c:v>
                </c:pt>
                <c:pt idx="304">
                  <c:v>31/10/1959</c:v>
                </c:pt>
                <c:pt idx="305">
                  <c:v>1/11/1959</c:v>
                </c:pt>
                <c:pt idx="306">
                  <c:v>2/11/1959</c:v>
                </c:pt>
                <c:pt idx="307">
                  <c:v>3/11/1959</c:v>
                </c:pt>
                <c:pt idx="308">
                  <c:v>4/11/1959</c:v>
                </c:pt>
                <c:pt idx="309">
                  <c:v>5/11/1959</c:v>
                </c:pt>
                <c:pt idx="310">
                  <c:v>6/11/1959</c:v>
                </c:pt>
                <c:pt idx="311">
                  <c:v>7/11/1959</c:v>
                </c:pt>
                <c:pt idx="312">
                  <c:v>8/11/1959</c:v>
                </c:pt>
                <c:pt idx="313">
                  <c:v>9/11/1959</c:v>
                </c:pt>
                <c:pt idx="314">
                  <c:v>10/11/1959</c:v>
                </c:pt>
                <c:pt idx="315">
                  <c:v>11/11/1959</c:v>
                </c:pt>
                <c:pt idx="316">
                  <c:v>12/11/1959</c:v>
                </c:pt>
                <c:pt idx="317">
                  <c:v>13/11/1959</c:v>
                </c:pt>
                <c:pt idx="318">
                  <c:v>14/11/1959</c:v>
                </c:pt>
                <c:pt idx="319">
                  <c:v>15/11/1959</c:v>
                </c:pt>
                <c:pt idx="320">
                  <c:v>16/11/1959</c:v>
                </c:pt>
                <c:pt idx="321">
                  <c:v>17/11/1959</c:v>
                </c:pt>
                <c:pt idx="322">
                  <c:v>18/11/1959</c:v>
                </c:pt>
                <c:pt idx="323">
                  <c:v>19/11/1959</c:v>
                </c:pt>
                <c:pt idx="324">
                  <c:v>20/11/1959</c:v>
                </c:pt>
                <c:pt idx="325">
                  <c:v>21/11/1959</c:v>
                </c:pt>
                <c:pt idx="326">
                  <c:v>22/11/1959</c:v>
                </c:pt>
                <c:pt idx="327">
                  <c:v>23/11/1959</c:v>
                </c:pt>
                <c:pt idx="328">
                  <c:v>24/11/1959</c:v>
                </c:pt>
                <c:pt idx="329">
                  <c:v>25/11/1959</c:v>
                </c:pt>
                <c:pt idx="330">
                  <c:v>26/11/1959</c:v>
                </c:pt>
                <c:pt idx="331">
                  <c:v>27/11/1959</c:v>
                </c:pt>
                <c:pt idx="332">
                  <c:v>28/11/1959</c:v>
                </c:pt>
                <c:pt idx="333">
                  <c:v>29/11/1959</c:v>
                </c:pt>
                <c:pt idx="334">
                  <c:v>30/11/1959</c:v>
                </c:pt>
                <c:pt idx="335">
                  <c:v>1/12/1959</c:v>
                </c:pt>
                <c:pt idx="336">
                  <c:v>2/12/1959</c:v>
                </c:pt>
                <c:pt idx="337">
                  <c:v>3/12/1959</c:v>
                </c:pt>
                <c:pt idx="338">
                  <c:v>4/12/1959</c:v>
                </c:pt>
                <c:pt idx="339">
                  <c:v>5/12/1959</c:v>
                </c:pt>
                <c:pt idx="340">
                  <c:v>6/12/1959</c:v>
                </c:pt>
                <c:pt idx="341">
                  <c:v>7/12/1959</c:v>
                </c:pt>
                <c:pt idx="342">
                  <c:v>8/12/1959</c:v>
                </c:pt>
                <c:pt idx="343">
                  <c:v>9/12/1959</c:v>
                </c:pt>
                <c:pt idx="344">
                  <c:v>10/12/1959</c:v>
                </c:pt>
                <c:pt idx="345">
                  <c:v>11/12/1959</c:v>
                </c:pt>
                <c:pt idx="346">
                  <c:v>12/12/1959</c:v>
                </c:pt>
                <c:pt idx="347">
                  <c:v>13/12/1959</c:v>
                </c:pt>
                <c:pt idx="348">
                  <c:v>14/12/1959</c:v>
                </c:pt>
                <c:pt idx="349">
                  <c:v>15/12/1959</c:v>
                </c:pt>
                <c:pt idx="350">
                  <c:v>16/12/1959</c:v>
                </c:pt>
                <c:pt idx="351">
                  <c:v>17/12/1959</c:v>
                </c:pt>
                <c:pt idx="352">
                  <c:v>18/12/1959</c:v>
                </c:pt>
                <c:pt idx="353">
                  <c:v>19/12/1959</c:v>
                </c:pt>
                <c:pt idx="354">
                  <c:v>20/12/1959</c:v>
                </c:pt>
                <c:pt idx="355">
                  <c:v>21/12/1959</c:v>
                </c:pt>
                <c:pt idx="356">
                  <c:v>22/12/1959</c:v>
                </c:pt>
                <c:pt idx="357">
                  <c:v>23/12/1959</c:v>
                </c:pt>
                <c:pt idx="358">
                  <c:v>24/12/1959</c:v>
                </c:pt>
                <c:pt idx="359">
                  <c:v>25/12/1959</c:v>
                </c:pt>
                <c:pt idx="360">
                  <c:v>26/12/1959</c:v>
                </c:pt>
                <c:pt idx="361">
                  <c:v>27/12/1959</c:v>
                </c:pt>
                <c:pt idx="362">
                  <c:v>28/12/1959</c:v>
                </c:pt>
                <c:pt idx="363">
                  <c:v>29/12/1959</c:v>
                </c:pt>
                <c:pt idx="364">
                  <c:v>30/12/1959</c:v>
                </c:pt>
                <c:pt idx="365">
                  <c:v>31/12/1959</c:v>
                </c:pt>
              </c:strCache>
            </c:strRef>
          </c:cat>
          <c:val>
            <c:numRef>
              <c:f>'Moving Average'!$C$1:$C$366</c:f>
              <c:numCache>
                <c:formatCode>General</c:formatCode>
                <c:ptCount val="366"/>
                <c:pt idx="0">
                  <c:v>0</c:v>
                </c:pt>
                <c:pt idx="4" formatCode="0.00">
                  <c:v>32.333333333333336</c:v>
                </c:pt>
                <c:pt idx="5" formatCode="0.00">
                  <c:v>31</c:v>
                </c:pt>
                <c:pt idx="6" formatCode="0.00">
                  <c:v>35</c:v>
                </c:pt>
                <c:pt idx="7" formatCode="0.00">
                  <c:v>34.666666666666664</c:v>
                </c:pt>
                <c:pt idx="8" formatCode="0.00">
                  <c:v>39.333333333333336</c:v>
                </c:pt>
                <c:pt idx="9" formatCode="0.00">
                  <c:v>39</c:v>
                </c:pt>
                <c:pt idx="10" formatCode="0.00">
                  <c:v>42</c:v>
                </c:pt>
                <c:pt idx="11" formatCode="0.00">
                  <c:v>36</c:v>
                </c:pt>
                <c:pt idx="12" formatCode="0.00">
                  <c:v>34.333333333333336</c:v>
                </c:pt>
                <c:pt idx="13" formatCode="0.00">
                  <c:v>32.666666666666664</c:v>
                </c:pt>
                <c:pt idx="14" formatCode="0.00">
                  <c:v>42</c:v>
                </c:pt>
                <c:pt idx="15" formatCode="0.00">
                  <c:v>45</c:v>
                </c:pt>
                <c:pt idx="16" formatCode="0.00">
                  <c:v>49</c:v>
                </c:pt>
                <c:pt idx="17" formatCode="0.00">
                  <c:v>43</c:v>
                </c:pt>
                <c:pt idx="18" formatCode="0.00">
                  <c:v>44</c:v>
                </c:pt>
                <c:pt idx="19" formatCode="0.00">
                  <c:v>43.333333333333336</c:v>
                </c:pt>
                <c:pt idx="20" formatCode="0.00">
                  <c:v>44.666666666666664</c:v>
                </c:pt>
                <c:pt idx="21" formatCode="0.00">
                  <c:v>45.333333333333336</c:v>
                </c:pt>
                <c:pt idx="22" formatCode="0.00">
                  <c:v>42.333333333333336</c:v>
                </c:pt>
                <c:pt idx="23" formatCode="0.00">
                  <c:v>46.333333333333336</c:v>
                </c:pt>
                <c:pt idx="24" formatCode="0.00">
                  <c:v>42</c:v>
                </c:pt>
                <c:pt idx="25" formatCode="0.00">
                  <c:v>41.333333333333336</c:v>
                </c:pt>
                <c:pt idx="26" formatCode="0.00">
                  <c:v>36</c:v>
                </c:pt>
                <c:pt idx="27" formatCode="0.00">
                  <c:v>37.333333333333336</c:v>
                </c:pt>
                <c:pt idx="28" formatCode="0.00">
                  <c:v>39.666666666666664</c:v>
                </c:pt>
                <c:pt idx="29" formatCode="0.00">
                  <c:v>39</c:v>
                </c:pt>
                <c:pt idx="30" formatCode="0.00">
                  <c:v>39.333333333333336</c:v>
                </c:pt>
                <c:pt idx="31" formatCode="0.00">
                  <c:v>39</c:v>
                </c:pt>
                <c:pt idx="32" formatCode="0.00">
                  <c:v>35.333333333333336</c:v>
                </c:pt>
                <c:pt idx="33" formatCode="0.00">
                  <c:v>28.333333333333332</c:v>
                </c:pt>
                <c:pt idx="34" formatCode="0.00">
                  <c:v>26</c:v>
                </c:pt>
                <c:pt idx="35" formatCode="0.00">
                  <c:v>32.666666666666664</c:v>
                </c:pt>
                <c:pt idx="36" formatCode="0.00">
                  <c:v>37.666666666666664</c:v>
                </c:pt>
                <c:pt idx="37" formatCode="0.00">
                  <c:v>44</c:v>
                </c:pt>
                <c:pt idx="38" formatCode="0.00">
                  <c:v>42</c:v>
                </c:pt>
                <c:pt idx="39" formatCode="0.00">
                  <c:v>46.333333333333336</c:v>
                </c:pt>
                <c:pt idx="40" formatCode="0.00">
                  <c:v>40</c:v>
                </c:pt>
                <c:pt idx="41" formatCode="0.00">
                  <c:v>37.666666666666664</c:v>
                </c:pt>
                <c:pt idx="42" formatCode="0.00">
                  <c:v>37.666666666666664</c:v>
                </c:pt>
                <c:pt idx="43" formatCode="0.00">
                  <c:v>39.333333333333336</c:v>
                </c:pt>
                <c:pt idx="44" formatCode="0.00">
                  <c:v>44</c:v>
                </c:pt>
                <c:pt idx="45" formatCode="0.00">
                  <c:v>44</c:v>
                </c:pt>
                <c:pt idx="46" formatCode="0.00">
                  <c:v>43.333333333333336</c:v>
                </c:pt>
                <c:pt idx="47" formatCode="0.00">
                  <c:v>45.666666666666664</c:v>
                </c:pt>
                <c:pt idx="48" formatCode="0.00">
                  <c:v>44.333333333333336</c:v>
                </c:pt>
                <c:pt idx="49" formatCode="0.00">
                  <c:v>48</c:v>
                </c:pt>
                <c:pt idx="50" formatCode="0.00">
                  <c:v>46</c:v>
                </c:pt>
                <c:pt idx="51" formatCode="0.00">
                  <c:v>43.333333333333336</c:v>
                </c:pt>
                <c:pt idx="52" formatCode="0.00">
                  <c:v>44.333333333333336</c:v>
                </c:pt>
                <c:pt idx="53" formatCode="0.00">
                  <c:v>41.333333333333336</c:v>
                </c:pt>
                <c:pt idx="54" formatCode="0.00">
                  <c:v>40</c:v>
                </c:pt>
                <c:pt idx="55" formatCode="0.00">
                  <c:v>41.333333333333336</c:v>
                </c:pt>
                <c:pt idx="56" formatCode="0.00">
                  <c:v>43</c:v>
                </c:pt>
                <c:pt idx="57" formatCode="0.00">
                  <c:v>46.333333333333336</c:v>
                </c:pt>
                <c:pt idx="58" formatCode="0.00">
                  <c:v>42</c:v>
                </c:pt>
                <c:pt idx="59" formatCode="0.00">
                  <c:v>40.333333333333336</c:v>
                </c:pt>
                <c:pt idx="60" formatCode="0.00">
                  <c:v>35.333333333333336</c:v>
                </c:pt>
                <c:pt idx="61" formatCode="0.00">
                  <c:v>34</c:v>
                </c:pt>
                <c:pt idx="62" formatCode="0.00">
                  <c:v>31</c:v>
                </c:pt>
                <c:pt idx="63" formatCode="0.00">
                  <c:v>36</c:v>
                </c:pt>
                <c:pt idx="64" formatCode="0.00">
                  <c:v>35.666666666666664</c:v>
                </c:pt>
                <c:pt idx="65" formatCode="0.00">
                  <c:v>38.333333333333336</c:v>
                </c:pt>
                <c:pt idx="66" formatCode="0.00">
                  <c:v>40</c:v>
                </c:pt>
                <c:pt idx="67" formatCode="0.00">
                  <c:v>43.333333333333336</c:v>
                </c:pt>
                <c:pt idx="68" formatCode="0.00">
                  <c:v>44.333333333333336</c:v>
                </c:pt>
                <c:pt idx="69" formatCode="0.00">
                  <c:v>38.333333333333336</c:v>
                </c:pt>
                <c:pt idx="70" formatCode="0.00">
                  <c:v>36.666666666666664</c:v>
                </c:pt>
                <c:pt idx="71" formatCode="0.00">
                  <c:v>38.666666666666664</c:v>
                </c:pt>
                <c:pt idx="72" formatCode="0.00">
                  <c:v>42.333333333333336</c:v>
                </c:pt>
                <c:pt idx="73" formatCode="0.00">
                  <c:v>42.333333333333336</c:v>
                </c:pt>
                <c:pt idx="74" formatCode="0.00">
                  <c:v>37.666666666666664</c:v>
                </c:pt>
                <c:pt idx="75" formatCode="0.00">
                  <c:v>32.333333333333336</c:v>
                </c:pt>
                <c:pt idx="76" formatCode="0.00">
                  <c:v>29.333333333333332</c:v>
                </c:pt>
                <c:pt idx="77" formatCode="0.00">
                  <c:v>33</c:v>
                </c:pt>
                <c:pt idx="78" formatCode="0.00">
                  <c:v>39.333333333333336</c:v>
                </c:pt>
                <c:pt idx="79" formatCode="0.00">
                  <c:v>43</c:v>
                </c:pt>
                <c:pt idx="80" formatCode="0.00">
                  <c:v>41</c:v>
                </c:pt>
                <c:pt idx="81" formatCode="0.00">
                  <c:v>40.666666666666664</c:v>
                </c:pt>
                <c:pt idx="82" formatCode="0.00">
                  <c:v>42.333333333333336</c:v>
                </c:pt>
                <c:pt idx="83" formatCode="0.00">
                  <c:v>44.666666666666664</c:v>
                </c:pt>
                <c:pt idx="84" formatCode="0.00">
                  <c:v>42.333333333333336</c:v>
                </c:pt>
                <c:pt idx="85" formatCode="0.00">
                  <c:v>38.333333333333336</c:v>
                </c:pt>
                <c:pt idx="86" formatCode="0.00">
                  <c:v>35.666666666666664</c:v>
                </c:pt>
                <c:pt idx="87" formatCode="0.00">
                  <c:v>41.666666666666664</c:v>
                </c:pt>
                <c:pt idx="88" formatCode="0.00">
                  <c:v>42.333333333333336</c:v>
                </c:pt>
                <c:pt idx="89" formatCode="0.00">
                  <c:v>41.333333333333336</c:v>
                </c:pt>
                <c:pt idx="90" formatCode="0.00">
                  <c:v>39.333333333333336</c:v>
                </c:pt>
                <c:pt idx="91" formatCode="0.00">
                  <c:v>41</c:v>
                </c:pt>
                <c:pt idx="92" formatCode="0.00">
                  <c:v>43.333333333333336</c:v>
                </c:pt>
                <c:pt idx="93" formatCode="0.00">
                  <c:v>40.333333333333336</c:v>
                </c:pt>
                <c:pt idx="94" formatCode="0.00">
                  <c:v>42.333333333333336</c:v>
                </c:pt>
                <c:pt idx="95" formatCode="0.00">
                  <c:v>40.666666666666664</c:v>
                </c:pt>
                <c:pt idx="96" formatCode="0.00">
                  <c:v>39</c:v>
                </c:pt>
                <c:pt idx="97" formatCode="0.00">
                  <c:v>34.333333333333336</c:v>
                </c:pt>
                <c:pt idx="98" formatCode="0.00">
                  <c:v>34.666666666666664</c:v>
                </c:pt>
                <c:pt idx="99" formatCode="0.00">
                  <c:v>35.333333333333336</c:v>
                </c:pt>
                <c:pt idx="100" formatCode="0.00">
                  <c:v>37</c:v>
                </c:pt>
                <c:pt idx="101" formatCode="0.00">
                  <c:v>36.666666666666664</c:v>
                </c:pt>
                <c:pt idx="102" formatCode="0.00">
                  <c:v>41.666666666666664</c:v>
                </c:pt>
                <c:pt idx="103" formatCode="0.00">
                  <c:v>40.333333333333336</c:v>
                </c:pt>
                <c:pt idx="104" formatCode="0.00">
                  <c:v>40.333333333333336</c:v>
                </c:pt>
                <c:pt idx="105" formatCode="0.00">
                  <c:v>35.333333333333336</c:v>
                </c:pt>
                <c:pt idx="106" formatCode="0.00">
                  <c:v>35.666666666666664</c:v>
                </c:pt>
                <c:pt idx="107" formatCode="0.00">
                  <c:v>35</c:v>
                </c:pt>
                <c:pt idx="108" formatCode="0.00">
                  <c:v>36.333333333333336</c:v>
                </c:pt>
                <c:pt idx="109" formatCode="0.00">
                  <c:v>36</c:v>
                </c:pt>
                <c:pt idx="110" formatCode="0.00">
                  <c:v>40.666666666666664</c:v>
                </c:pt>
                <c:pt idx="111" formatCode="0.00">
                  <c:v>36.666666666666664</c:v>
                </c:pt>
                <c:pt idx="112" formatCode="0.00">
                  <c:v>40.666666666666664</c:v>
                </c:pt>
                <c:pt idx="113" formatCode="0.00">
                  <c:v>40.333333333333336</c:v>
                </c:pt>
                <c:pt idx="114" formatCode="0.00">
                  <c:v>48.333333333333336</c:v>
                </c:pt>
                <c:pt idx="115" formatCode="0.00">
                  <c:v>44.333333333333336</c:v>
                </c:pt>
                <c:pt idx="116" formatCode="0.00">
                  <c:v>41.666666666666664</c:v>
                </c:pt>
                <c:pt idx="117" formatCode="0.00">
                  <c:v>35.333333333333336</c:v>
                </c:pt>
                <c:pt idx="118" formatCode="0.00">
                  <c:v>37.333333333333336</c:v>
                </c:pt>
                <c:pt idx="119" formatCode="0.00">
                  <c:v>39</c:v>
                </c:pt>
                <c:pt idx="120" formatCode="0.00">
                  <c:v>46.666666666666664</c:v>
                </c:pt>
                <c:pt idx="121" formatCode="0.00">
                  <c:v>50.333333333333336</c:v>
                </c:pt>
                <c:pt idx="122" formatCode="0.00">
                  <c:v>47</c:v>
                </c:pt>
                <c:pt idx="123" formatCode="0.00">
                  <c:v>39.333333333333336</c:v>
                </c:pt>
                <c:pt idx="124" formatCode="0.00">
                  <c:v>35</c:v>
                </c:pt>
                <c:pt idx="125" formatCode="0.00">
                  <c:v>35.333333333333336</c:v>
                </c:pt>
                <c:pt idx="126" formatCode="0.00">
                  <c:v>36.666666666666664</c:v>
                </c:pt>
                <c:pt idx="127" formatCode="0.00">
                  <c:v>39.666666666666664</c:v>
                </c:pt>
                <c:pt idx="128" formatCode="0.00">
                  <c:v>41.333333333333336</c:v>
                </c:pt>
                <c:pt idx="129" formatCode="0.00">
                  <c:v>45.666666666666664</c:v>
                </c:pt>
                <c:pt idx="130" formatCode="0.00">
                  <c:v>40</c:v>
                </c:pt>
                <c:pt idx="131" formatCode="0.00">
                  <c:v>38.666666666666664</c:v>
                </c:pt>
                <c:pt idx="132" formatCode="0.00">
                  <c:v>34.666666666666664</c:v>
                </c:pt>
                <c:pt idx="133" formatCode="0.00">
                  <c:v>36.333333333333336</c:v>
                </c:pt>
                <c:pt idx="134" formatCode="0.00">
                  <c:v>39</c:v>
                </c:pt>
                <c:pt idx="135" formatCode="0.00">
                  <c:v>39.333333333333336</c:v>
                </c:pt>
                <c:pt idx="136" formatCode="0.00">
                  <c:v>41.666666666666664</c:v>
                </c:pt>
                <c:pt idx="137" formatCode="0.00">
                  <c:v>40.333333333333336</c:v>
                </c:pt>
                <c:pt idx="138" formatCode="0.00">
                  <c:v>34.666666666666664</c:v>
                </c:pt>
                <c:pt idx="139" formatCode="0.00">
                  <c:v>32</c:v>
                </c:pt>
                <c:pt idx="140" formatCode="0.00">
                  <c:v>33.666666666666664</c:v>
                </c:pt>
                <c:pt idx="141" formatCode="0.00">
                  <c:v>37.666666666666664</c:v>
                </c:pt>
                <c:pt idx="142" formatCode="0.00">
                  <c:v>44.666666666666664</c:v>
                </c:pt>
                <c:pt idx="143" formatCode="0.00">
                  <c:v>44</c:v>
                </c:pt>
                <c:pt idx="144" formatCode="0.00">
                  <c:v>47</c:v>
                </c:pt>
                <c:pt idx="145" formatCode="0.00">
                  <c:v>42.333333333333336</c:v>
                </c:pt>
                <c:pt idx="146" formatCode="0.00">
                  <c:v>41</c:v>
                </c:pt>
                <c:pt idx="147" formatCode="0.00">
                  <c:v>40.333333333333336</c:v>
                </c:pt>
                <c:pt idx="148" formatCode="0.00">
                  <c:v>39.666666666666664</c:v>
                </c:pt>
                <c:pt idx="149" formatCode="0.00">
                  <c:v>38.333333333333336</c:v>
                </c:pt>
                <c:pt idx="150" formatCode="0.00">
                  <c:v>38.333333333333336</c:v>
                </c:pt>
                <c:pt idx="151" formatCode="0.00">
                  <c:v>38.666666666666664</c:v>
                </c:pt>
                <c:pt idx="152" formatCode="0.00">
                  <c:v>40.333333333333336</c:v>
                </c:pt>
                <c:pt idx="153" formatCode="0.00">
                  <c:v>41</c:v>
                </c:pt>
                <c:pt idx="154" formatCode="0.00">
                  <c:v>43</c:v>
                </c:pt>
                <c:pt idx="155" formatCode="0.00">
                  <c:v>41.666666666666664</c:v>
                </c:pt>
                <c:pt idx="156" formatCode="0.00">
                  <c:v>38.333333333333336</c:v>
                </c:pt>
                <c:pt idx="157" formatCode="0.00">
                  <c:v>39</c:v>
                </c:pt>
                <c:pt idx="158" formatCode="0.00">
                  <c:v>44.666666666666664</c:v>
                </c:pt>
                <c:pt idx="159" formatCode="0.00">
                  <c:v>45</c:v>
                </c:pt>
                <c:pt idx="160" formatCode="0.00">
                  <c:v>40</c:v>
                </c:pt>
                <c:pt idx="161" formatCode="0.00">
                  <c:v>38.333333333333336</c:v>
                </c:pt>
                <c:pt idx="162" formatCode="0.00">
                  <c:v>40.333333333333336</c:v>
                </c:pt>
                <c:pt idx="163" formatCode="0.00">
                  <c:v>45.333333333333336</c:v>
                </c:pt>
                <c:pt idx="164" formatCode="0.00">
                  <c:v>41.333333333333336</c:v>
                </c:pt>
                <c:pt idx="165" formatCode="0.00">
                  <c:v>41</c:v>
                </c:pt>
                <c:pt idx="166" formatCode="0.00">
                  <c:v>36.666666666666664</c:v>
                </c:pt>
                <c:pt idx="167" formatCode="0.00">
                  <c:v>38.666666666666664</c:v>
                </c:pt>
                <c:pt idx="168" formatCode="0.00">
                  <c:v>36.333333333333336</c:v>
                </c:pt>
                <c:pt idx="169" formatCode="0.00">
                  <c:v>34.666666666666664</c:v>
                </c:pt>
                <c:pt idx="170" formatCode="0.00">
                  <c:v>33.333333333333336</c:v>
                </c:pt>
                <c:pt idx="171" formatCode="0.00">
                  <c:v>35.333333333333336</c:v>
                </c:pt>
                <c:pt idx="172" formatCode="0.00">
                  <c:v>38.333333333333336</c:v>
                </c:pt>
                <c:pt idx="173" formatCode="0.00">
                  <c:v>41.333333333333336</c:v>
                </c:pt>
                <c:pt idx="174" formatCode="0.00">
                  <c:v>40.666666666666664</c:v>
                </c:pt>
                <c:pt idx="175" formatCode="0.00">
                  <c:v>43.333333333333336</c:v>
                </c:pt>
                <c:pt idx="176" formatCode="0.00">
                  <c:v>39.333333333333336</c:v>
                </c:pt>
                <c:pt idx="177" formatCode="0.00">
                  <c:v>36.666666666666664</c:v>
                </c:pt>
                <c:pt idx="178" formatCode="0.00">
                  <c:v>35</c:v>
                </c:pt>
                <c:pt idx="179" formatCode="0.00">
                  <c:v>38.333333333333336</c:v>
                </c:pt>
                <c:pt idx="180" formatCode="0.00">
                  <c:v>42</c:v>
                </c:pt>
                <c:pt idx="181" formatCode="0.00">
                  <c:v>41.666666666666664</c:v>
                </c:pt>
                <c:pt idx="182" formatCode="0.00">
                  <c:v>47</c:v>
                </c:pt>
                <c:pt idx="183" formatCode="0.00">
                  <c:v>47.666666666666664</c:v>
                </c:pt>
                <c:pt idx="184" formatCode="0.00">
                  <c:v>49</c:v>
                </c:pt>
                <c:pt idx="185" formatCode="0.00">
                  <c:v>42</c:v>
                </c:pt>
                <c:pt idx="186" formatCode="0.00">
                  <c:v>40</c:v>
                </c:pt>
                <c:pt idx="187" formatCode="0.00">
                  <c:v>40</c:v>
                </c:pt>
                <c:pt idx="188" formatCode="0.00">
                  <c:v>41.333333333333336</c:v>
                </c:pt>
                <c:pt idx="189" formatCode="0.00">
                  <c:v>48</c:v>
                </c:pt>
                <c:pt idx="190" formatCode="0.00">
                  <c:v>48.333333333333336</c:v>
                </c:pt>
                <c:pt idx="191" formatCode="0.00">
                  <c:v>51.333333333333336</c:v>
                </c:pt>
                <c:pt idx="192" formatCode="0.00">
                  <c:v>46</c:v>
                </c:pt>
                <c:pt idx="193" formatCode="0.00">
                  <c:v>46.333333333333336</c:v>
                </c:pt>
                <c:pt idx="194" formatCode="0.00">
                  <c:v>38</c:v>
                </c:pt>
                <c:pt idx="195" formatCode="0.00">
                  <c:v>36</c:v>
                </c:pt>
                <c:pt idx="196" formatCode="0.00">
                  <c:v>35</c:v>
                </c:pt>
                <c:pt idx="197" formatCode="0.00">
                  <c:v>40</c:v>
                </c:pt>
                <c:pt idx="198" formatCode="0.00">
                  <c:v>42.333333333333336</c:v>
                </c:pt>
                <c:pt idx="199" formatCode="0.00">
                  <c:v>39.666666666666664</c:v>
                </c:pt>
                <c:pt idx="200" formatCode="0.00">
                  <c:v>41</c:v>
                </c:pt>
                <c:pt idx="201" formatCode="0.00">
                  <c:v>42</c:v>
                </c:pt>
                <c:pt idx="202" formatCode="0.00">
                  <c:v>45</c:v>
                </c:pt>
                <c:pt idx="203" formatCode="0.00">
                  <c:v>45.666666666666664</c:v>
                </c:pt>
                <c:pt idx="204" formatCode="0.00">
                  <c:v>43.333333333333336</c:v>
                </c:pt>
                <c:pt idx="205" formatCode="0.00">
                  <c:v>42.333333333333336</c:v>
                </c:pt>
                <c:pt idx="206" formatCode="0.00">
                  <c:v>38.333333333333336</c:v>
                </c:pt>
                <c:pt idx="207" formatCode="0.00">
                  <c:v>37.666666666666664</c:v>
                </c:pt>
                <c:pt idx="208" formatCode="0.00">
                  <c:v>36.666666666666664</c:v>
                </c:pt>
                <c:pt idx="209" formatCode="0.00">
                  <c:v>40</c:v>
                </c:pt>
                <c:pt idx="210" formatCode="0.00">
                  <c:v>42.333333333333336</c:v>
                </c:pt>
                <c:pt idx="211" formatCode="0.00">
                  <c:v>45</c:v>
                </c:pt>
                <c:pt idx="212" formatCode="0.00">
                  <c:v>42</c:v>
                </c:pt>
                <c:pt idx="213" formatCode="0.00">
                  <c:v>41.333333333333336</c:v>
                </c:pt>
                <c:pt idx="214" formatCode="0.00">
                  <c:v>42.333333333333336</c:v>
                </c:pt>
                <c:pt idx="215" formatCode="0.00">
                  <c:v>43.333333333333336</c:v>
                </c:pt>
                <c:pt idx="216" formatCode="0.00">
                  <c:v>43.333333333333336</c:v>
                </c:pt>
                <c:pt idx="217" formatCode="0.00">
                  <c:v>42</c:v>
                </c:pt>
                <c:pt idx="218" formatCode="0.00">
                  <c:v>50.333333333333336</c:v>
                </c:pt>
                <c:pt idx="219" formatCode="0.00">
                  <c:v>51.666666666666664</c:v>
                </c:pt>
                <c:pt idx="220" formatCode="0.00">
                  <c:v>47.666666666666664</c:v>
                </c:pt>
                <c:pt idx="221" formatCode="0.00">
                  <c:v>39</c:v>
                </c:pt>
                <c:pt idx="222" formatCode="0.00">
                  <c:v>38.666666666666664</c:v>
                </c:pt>
                <c:pt idx="223" formatCode="0.00">
                  <c:v>43.333333333333336</c:v>
                </c:pt>
                <c:pt idx="224" formatCode="0.00">
                  <c:v>46</c:v>
                </c:pt>
                <c:pt idx="225" formatCode="0.00">
                  <c:v>46</c:v>
                </c:pt>
                <c:pt idx="226" formatCode="0.00">
                  <c:v>42.333333333333336</c:v>
                </c:pt>
                <c:pt idx="227" formatCode="0.00">
                  <c:v>40</c:v>
                </c:pt>
                <c:pt idx="228" formatCode="0.00">
                  <c:v>40</c:v>
                </c:pt>
                <c:pt idx="229" formatCode="0.00">
                  <c:v>42.666666666666664</c:v>
                </c:pt>
                <c:pt idx="230" formatCode="0.00">
                  <c:v>40.666666666666664</c:v>
                </c:pt>
                <c:pt idx="231" formatCode="0.00">
                  <c:v>40.666666666666664</c:v>
                </c:pt>
                <c:pt idx="232" formatCode="0.00">
                  <c:v>38.333333333333336</c:v>
                </c:pt>
                <c:pt idx="233" formatCode="0.00">
                  <c:v>42.666666666666664</c:v>
                </c:pt>
                <c:pt idx="234" formatCode="0.00">
                  <c:v>43.333333333333336</c:v>
                </c:pt>
                <c:pt idx="235" formatCode="0.00">
                  <c:v>44</c:v>
                </c:pt>
                <c:pt idx="236" formatCode="0.00">
                  <c:v>41.666666666666664</c:v>
                </c:pt>
                <c:pt idx="237" formatCode="0.00">
                  <c:v>41</c:v>
                </c:pt>
                <c:pt idx="238" formatCode="0.00">
                  <c:v>43.666666666666664</c:v>
                </c:pt>
                <c:pt idx="239" formatCode="0.00">
                  <c:v>47.333333333333336</c:v>
                </c:pt>
                <c:pt idx="240" formatCode="0.00">
                  <c:v>46.333333333333336</c:v>
                </c:pt>
                <c:pt idx="241" formatCode="0.00">
                  <c:v>44.333333333333336</c:v>
                </c:pt>
                <c:pt idx="242" formatCode="0.00">
                  <c:v>44.666666666666664</c:v>
                </c:pt>
                <c:pt idx="243" formatCode="0.00">
                  <c:v>44.666666666666664</c:v>
                </c:pt>
                <c:pt idx="244" formatCode="0.00">
                  <c:v>45.333333333333336</c:v>
                </c:pt>
                <c:pt idx="245" formatCode="0.00">
                  <c:v>41</c:v>
                </c:pt>
                <c:pt idx="246" formatCode="0.00">
                  <c:v>50</c:v>
                </c:pt>
                <c:pt idx="247" formatCode="0.00">
                  <c:v>48.666666666666664</c:v>
                </c:pt>
                <c:pt idx="248" formatCode="0.00">
                  <c:v>50</c:v>
                </c:pt>
                <c:pt idx="249" formatCode="0.00">
                  <c:v>44.333333333333336</c:v>
                </c:pt>
                <c:pt idx="250" formatCode="0.00">
                  <c:v>45.666666666666664</c:v>
                </c:pt>
                <c:pt idx="251" formatCode="0.00">
                  <c:v>46.666666666666664</c:v>
                </c:pt>
                <c:pt idx="252" formatCode="0.00">
                  <c:v>41.666666666666664</c:v>
                </c:pt>
                <c:pt idx="253" formatCode="0.00">
                  <c:v>46</c:v>
                </c:pt>
                <c:pt idx="254" formatCode="0.00">
                  <c:v>45.666666666666664</c:v>
                </c:pt>
                <c:pt idx="255" formatCode="0.00">
                  <c:v>47.666666666666664</c:v>
                </c:pt>
                <c:pt idx="256" formatCode="0.00">
                  <c:v>46.333333333333336</c:v>
                </c:pt>
                <c:pt idx="257" formatCode="0.00">
                  <c:v>45.666666666666664</c:v>
                </c:pt>
                <c:pt idx="258" formatCode="0.00">
                  <c:v>43</c:v>
                </c:pt>
                <c:pt idx="259" formatCode="0.00">
                  <c:v>38.666666666666664</c:v>
                </c:pt>
                <c:pt idx="260" formatCode="0.00">
                  <c:v>43.333333333333336</c:v>
                </c:pt>
                <c:pt idx="261" formatCode="0.00">
                  <c:v>46.666666666666664</c:v>
                </c:pt>
                <c:pt idx="262" formatCode="0.00">
                  <c:v>51</c:v>
                </c:pt>
                <c:pt idx="263" formatCode="0.00">
                  <c:v>50.666666666666664</c:v>
                </c:pt>
                <c:pt idx="264" formatCode="0.00">
                  <c:v>49</c:v>
                </c:pt>
                <c:pt idx="265" formatCode="0.00">
                  <c:v>51</c:v>
                </c:pt>
                <c:pt idx="266" formatCode="0.00">
                  <c:v>51</c:v>
                </c:pt>
                <c:pt idx="267" formatCode="0.00">
                  <c:v>62.333333333333336</c:v>
                </c:pt>
                <c:pt idx="268" formatCode="0.00">
                  <c:v>61</c:v>
                </c:pt>
                <c:pt idx="269" formatCode="0.00">
                  <c:v>57.333333333333336</c:v>
                </c:pt>
                <c:pt idx="270" formatCode="0.00">
                  <c:v>47.333333333333336</c:v>
                </c:pt>
                <c:pt idx="271" formatCode="0.00">
                  <c:v>42.333333333333336</c:v>
                </c:pt>
                <c:pt idx="272" formatCode="0.00">
                  <c:v>43.333333333333336</c:v>
                </c:pt>
                <c:pt idx="273" formatCode="0.00">
                  <c:v>46</c:v>
                </c:pt>
                <c:pt idx="274" formatCode="0.00">
                  <c:v>51.333333333333336</c:v>
                </c:pt>
                <c:pt idx="275" formatCode="0.00">
                  <c:v>52</c:v>
                </c:pt>
                <c:pt idx="276" formatCode="0.00">
                  <c:v>53</c:v>
                </c:pt>
                <c:pt idx="277" formatCode="0.00">
                  <c:v>53</c:v>
                </c:pt>
                <c:pt idx="278" formatCode="0.00">
                  <c:v>52.333333333333336</c:v>
                </c:pt>
                <c:pt idx="279" formatCode="0.00">
                  <c:v>49</c:v>
                </c:pt>
                <c:pt idx="280" formatCode="0.00">
                  <c:v>44.666666666666664</c:v>
                </c:pt>
                <c:pt idx="281" formatCode="0.00">
                  <c:v>43</c:v>
                </c:pt>
                <c:pt idx="282" formatCode="0.00">
                  <c:v>43.333333333333336</c:v>
                </c:pt>
                <c:pt idx="283" formatCode="0.00">
                  <c:v>45.666666666666664</c:v>
                </c:pt>
                <c:pt idx="284" formatCode="0.00">
                  <c:v>47.666666666666664</c:v>
                </c:pt>
                <c:pt idx="285" formatCode="0.00">
                  <c:v>47</c:v>
                </c:pt>
                <c:pt idx="286" formatCode="0.00">
                  <c:v>43.666666666666664</c:v>
                </c:pt>
                <c:pt idx="287" formatCode="0.00">
                  <c:v>47.333333333333336</c:v>
                </c:pt>
                <c:pt idx="288" formatCode="0.00">
                  <c:v>46.666666666666664</c:v>
                </c:pt>
                <c:pt idx="289" formatCode="0.00">
                  <c:v>47.333333333333336</c:v>
                </c:pt>
                <c:pt idx="290" formatCode="0.00">
                  <c:v>44.666666666666664</c:v>
                </c:pt>
                <c:pt idx="291" formatCode="0.00">
                  <c:v>47.333333333333336</c:v>
                </c:pt>
                <c:pt idx="292" formatCode="0.00">
                  <c:v>48.333333333333336</c:v>
                </c:pt>
                <c:pt idx="293" formatCode="0.00">
                  <c:v>45.666666666666664</c:v>
                </c:pt>
                <c:pt idx="294" formatCode="0.00">
                  <c:v>43.333333333333336</c:v>
                </c:pt>
                <c:pt idx="295" formatCode="0.00">
                  <c:v>41</c:v>
                </c:pt>
                <c:pt idx="296" formatCode="0.00">
                  <c:v>42.333333333333336</c:v>
                </c:pt>
                <c:pt idx="297" formatCode="0.00">
                  <c:v>41</c:v>
                </c:pt>
                <c:pt idx="298" formatCode="0.00">
                  <c:v>40.333333333333336</c:v>
                </c:pt>
                <c:pt idx="299" formatCode="0.00">
                  <c:v>38.666666666666664</c:v>
                </c:pt>
                <c:pt idx="300" formatCode="0.00">
                  <c:v>37.666666666666664</c:v>
                </c:pt>
                <c:pt idx="301" formatCode="0.00">
                  <c:v>35</c:v>
                </c:pt>
                <c:pt idx="302" formatCode="0.00">
                  <c:v>35.666666666666664</c:v>
                </c:pt>
                <c:pt idx="303" formatCode="0.00">
                  <c:v>36</c:v>
                </c:pt>
                <c:pt idx="304" formatCode="0.00">
                  <c:v>41.666666666666664</c:v>
                </c:pt>
                <c:pt idx="305" formatCode="0.00">
                  <c:v>42.333333333333336</c:v>
                </c:pt>
                <c:pt idx="306" formatCode="0.00">
                  <c:v>46.333333333333336</c:v>
                </c:pt>
                <c:pt idx="307" formatCode="0.00">
                  <c:v>47.666666666666664</c:v>
                </c:pt>
                <c:pt idx="308" formatCode="0.00">
                  <c:v>46.666666666666664</c:v>
                </c:pt>
                <c:pt idx="309" formatCode="0.00">
                  <c:v>44.666666666666664</c:v>
                </c:pt>
                <c:pt idx="310" formatCode="0.00">
                  <c:v>48</c:v>
                </c:pt>
                <c:pt idx="311" formatCode="0.00">
                  <c:v>48.666666666666664</c:v>
                </c:pt>
                <c:pt idx="312" formatCode="0.00">
                  <c:v>52</c:v>
                </c:pt>
                <c:pt idx="313" formatCode="0.00">
                  <c:v>47.666666666666664</c:v>
                </c:pt>
                <c:pt idx="314" formatCode="0.00">
                  <c:v>46.666666666666664</c:v>
                </c:pt>
                <c:pt idx="315" formatCode="0.00">
                  <c:v>42.666666666666664</c:v>
                </c:pt>
                <c:pt idx="316" formatCode="0.00">
                  <c:v>40.666666666666664</c:v>
                </c:pt>
                <c:pt idx="317" formatCode="0.00">
                  <c:v>41.666666666666664</c:v>
                </c:pt>
                <c:pt idx="318" formatCode="0.00">
                  <c:v>40</c:v>
                </c:pt>
                <c:pt idx="319" formatCode="0.00">
                  <c:v>38.333333333333336</c:v>
                </c:pt>
                <c:pt idx="320" formatCode="0.00">
                  <c:v>36.666666666666664</c:v>
                </c:pt>
                <c:pt idx="321" formatCode="0.00">
                  <c:v>38</c:v>
                </c:pt>
                <c:pt idx="322" formatCode="0.00">
                  <c:v>37.333333333333336</c:v>
                </c:pt>
                <c:pt idx="323" formatCode="0.00">
                  <c:v>38</c:v>
                </c:pt>
                <c:pt idx="324" formatCode="0.00">
                  <c:v>40.666666666666664</c:v>
                </c:pt>
                <c:pt idx="325" formatCode="0.00">
                  <c:v>46.666666666666664</c:v>
                </c:pt>
                <c:pt idx="326" formatCode="0.00">
                  <c:v>47.333333333333336</c:v>
                </c:pt>
                <c:pt idx="327" formatCode="0.00">
                  <c:v>45</c:v>
                </c:pt>
                <c:pt idx="328" formatCode="0.00">
                  <c:v>47</c:v>
                </c:pt>
                <c:pt idx="329" formatCode="0.00">
                  <c:v>48.666666666666664</c:v>
                </c:pt>
                <c:pt idx="330" formatCode="0.00">
                  <c:v>50.333333333333336</c:v>
                </c:pt>
                <c:pt idx="331" formatCode="0.00">
                  <c:v>47.666666666666664</c:v>
                </c:pt>
                <c:pt idx="332" formatCode="0.00">
                  <c:v>48.333333333333336</c:v>
                </c:pt>
                <c:pt idx="333" formatCode="0.00">
                  <c:v>48.666666666666664</c:v>
                </c:pt>
                <c:pt idx="334" formatCode="0.00">
                  <c:v>47</c:v>
                </c:pt>
                <c:pt idx="335" formatCode="0.00">
                  <c:v>47.333333333333336</c:v>
                </c:pt>
                <c:pt idx="336" formatCode="0.00">
                  <c:v>47</c:v>
                </c:pt>
                <c:pt idx="337" formatCode="0.00">
                  <c:v>43</c:v>
                </c:pt>
                <c:pt idx="338" formatCode="0.00">
                  <c:v>41</c:v>
                </c:pt>
                <c:pt idx="339" formatCode="0.00">
                  <c:v>39.666666666666664</c:v>
                </c:pt>
                <c:pt idx="340" formatCode="0.00">
                  <c:v>40.333333333333336</c:v>
                </c:pt>
                <c:pt idx="341" formatCode="0.00">
                  <c:v>36</c:v>
                </c:pt>
                <c:pt idx="342" formatCode="0.00">
                  <c:v>34.333333333333336</c:v>
                </c:pt>
                <c:pt idx="343" formatCode="0.00">
                  <c:v>39.333333333333336</c:v>
                </c:pt>
                <c:pt idx="344" formatCode="0.00">
                  <c:v>42.666666666666664</c:v>
                </c:pt>
                <c:pt idx="345" formatCode="0.00">
                  <c:v>45</c:v>
                </c:pt>
                <c:pt idx="346" formatCode="0.00">
                  <c:v>40</c:v>
                </c:pt>
                <c:pt idx="347" formatCode="0.00">
                  <c:v>38.666666666666664</c:v>
                </c:pt>
                <c:pt idx="348" formatCode="0.00">
                  <c:v>36</c:v>
                </c:pt>
                <c:pt idx="349" formatCode="0.00">
                  <c:v>42</c:v>
                </c:pt>
                <c:pt idx="350" formatCode="0.00">
                  <c:v>44.666666666666664</c:v>
                </c:pt>
                <c:pt idx="351" formatCode="0.00">
                  <c:v>50.333333333333336</c:v>
                </c:pt>
                <c:pt idx="352" formatCode="0.00">
                  <c:v>46</c:v>
                </c:pt>
                <c:pt idx="353" formatCode="0.00">
                  <c:v>43.666666666666664</c:v>
                </c:pt>
                <c:pt idx="354" formatCode="0.00">
                  <c:v>40.333333333333336</c:v>
                </c:pt>
                <c:pt idx="355" formatCode="0.00">
                  <c:v>41.333333333333336</c:v>
                </c:pt>
                <c:pt idx="356" formatCode="0.00">
                  <c:v>45.666666666666664</c:v>
                </c:pt>
                <c:pt idx="357" formatCode="0.00">
                  <c:v>44.666666666666664</c:v>
                </c:pt>
                <c:pt idx="358" formatCode="0.00">
                  <c:v>44</c:v>
                </c:pt>
                <c:pt idx="359" formatCode="0.00">
                  <c:v>39</c:v>
                </c:pt>
                <c:pt idx="360" formatCode="0.00">
                  <c:v>40.666666666666664</c:v>
                </c:pt>
                <c:pt idx="361" formatCode="0.00">
                  <c:v>38.666666666666664</c:v>
                </c:pt>
                <c:pt idx="362" formatCode="0.00">
                  <c:v>38.333333333333336</c:v>
                </c:pt>
                <c:pt idx="363" formatCode="0.00">
                  <c:v>41</c:v>
                </c:pt>
                <c:pt idx="364" formatCode="0.00">
                  <c:v>45.666666666666664</c:v>
                </c:pt>
                <c:pt idx="365" formatCode="0.00">
                  <c:v>51.666666666666664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1-4F64-B0C7-7D118A7B5C9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'Moving Average'!$A$1:$A$366</c:f>
              <c:strCache>
                <c:ptCount val="366"/>
                <c:pt idx="0">
                  <c:v>Date</c:v>
                </c:pt>
                <c:pt idx="1">
                  <c:v>1/1/1959</c:v>
                </c:pt>
                <c:pt idx="2">
                  <c:v>2/1/1959</c:v>
                </c:pt>
                <c:pt idx="3">
                  <c:v>3/1/1959</c:v>
                </c:pt>
                <c:pt idx="4">
                  <c:v>4/1/1959</c:v>
                </c:pt>
                <c:pt idx="5">
                  <c:v>5/1/1959</c:v>
                </c:pt>
                <c:pt idx="6">
                  <c:v>6/1/1959</c:v>
                </c:pt>
                <c:pt idx="7">
                  <c:v>7/1/1959</c:v>
                </c:pt>
                <c:pt idx="8">
                  <c:v>8/1/1959</c:v>
                </c:pt>
                <c:pt idx="9">
                  <c:v>9/1/1959</c:v>
                </c:pt>
                <c:pt idx="10">
                  <c:v>10/1/1959</c:v>
                </c:pt>
                <c:pt idx="11">
                  <c:v>11/1/1959</c:v>
                </c:pt>
                <c:pt idx="12">
                  <c:v>12/1/1959</c:v>
                </c:pt>
                <c:pt idx="13">
                  <c:v>13/1/1959</c:v>
                </c:pt>
                <c:pt idx="14">
                  <c:v>14/1/1959</c:v>
                </c:pt>
                <c:pt idx="15">
                  <c:v>15/1/1959</c:v>
                </c:pt>
                <c:pt idx="16">
                  <c:v>16/1/1959</c:v>
                </c:pt>
                <c:pt idx="17">
                  <c:v>17/1/1959</c:v>
                </c:pt>
                <c:pt idx="18">
                  <c:v>18/1/1959</c:v>
                </c:pt>
                <c:pt idx="19">
                  <c:v>19/1/1959</c:v>
                </c:pt>
                <c:pt idx="20">
                  <c:v>20/1/1959</c:v>
                </c:pt>
                <c:pt idx="21">
                  <c:v>21/1/1959</c:v>
                </c:pt>
                <c:pt idx="22">
                  <c:v>22/1/1959</c:v>
                </c:pt>
                <c:pt idx="23">
                  <c:v>23/1/1959</c:v>
                </c:pt>
                <c:pt idx="24">
                  <c:v>24/1/1959</c:v>
                </c:pt>
                <c:pt idx="25">
                  <c:v>25/1/1959</c:v>
                </c:pt>
                <c:pt idx="26">
                  <c:v>26/1/1959</c:v>
                </c:pt>
                <c:pt idx="27">
                  <c:v>27/1/1959</c:v>
                </c:pt>
                <c:pt idx="28">
                  <c:v>28/1/1959</c:v>
                </c:pt>
                <c:pt idx="29">
                  <c:v>29/1/1959</c:v>
                </c:pt>
                <c:pt idx="30">
                  <c:v>30/1/1959</c:v>
                </c:pt>
                <c:pt idx="31">
                  <c:v>31/1/1959</c:v>
                </c:pt>
                <c:pt idx="32">
                  <c:v>1/2/1959</c:v>
                </c:pt>
                <c:pt idx="33">
                  <c:v>2/2/1959</c:v>
                </c:pt>
                <c:pt idx="34">
                  <c:v>3/2/1959</c:v>
                </c:pt>
                <c:pt idx="35">
                  <c:v>4/2/1959</c:v>
                </c:pt>
                <c:pt idx="36">
                  <c:v>5/2/1959</c:v>
                </c:pt>
                <c:pt idx="37">
                  <c:v>6/2/1959</c:v>
                </c:pt>
                <c:pt idx="38">
                  <c:v>7/2/1959</c:v>
                </c:pt>
                <c:pt idx="39">
                  <c:v>8/2/1959</c:v>
                </c:pt>
                <c:pt idx="40">
                  <c:v>9/2/1959</c:v>
                </c:pt>
                <c:pt idx="41">
                  <c:v>10/2/1959</c:v>
                </c:pt>
                <c:pt idx="42">
                  <c:v>11/2/1959</c:v>
                </c:pt>
                <c:pt idx="43">
                  <c:v>12/2/1959</c:v>
                </c:pt>
                <c:pt idx="44">
                  <c:v>13/2/1959</c:v>
                </c:pt>
                <c:pt idx="45">
                  <c:v>14/2/1959</c:v>
                </c:pt>
                <c:pt idx="46">
                  <c:v>15/2/1959</c:v>
                </c:pt>
                <c:pt idx="47">
                  <c:v>16/2/1959</c:v>
                </c:pt>
                <c:pt idx="48">
                  <c:v>17/2/1959</c:v>
                </c:pt>
                <c:pt idx="49">
                  <c:v>18/2/1959</c:v>
                </c:pt>
                <c:pt idx="50">
                  <c:v>19/2/1959</c:v>
                </c:pt>
                <c:pt idx="51">
                  <c:v>20/2/1959</c:v>
                </c:pt>
                <c:pt idx="52">
                  <c:v>21/2/1959</c:v>
                </c:pt>
                <c:pt idx="53">
                  <c:v>22/2/1959</c:v>
                </c:pt>
                <c:pt idx="54">
                  <c:v>23/2/1959</c:v>
                </c:pt>
                <c:pt idx="55">
                  <c:v>24/2/1959</c:v>
                </c:pt>
                <c:pt idx="56">
                  <c:v>25/2/1959</c:v>
                </c:pt>
                <c:pt idx="57">
                  <c:v>26/2/1959</c:v>
                </c:pt>
                <c:pt idx="58">
                  <c:v>27/2/1959</c:v>
                </c:pt>
                <c:pt idx="59">
                  <c:v>28/2/1959</c:v>
                </c:pt>
                <c:pt idx="60">
                  <c:v>1/3/1959</c:v>
                </c:pt>
                <c:pt idx="61">
                  <c:v>2/3/1959</c:v>
                </c:pt>
                <c:pt idx="62">
                  <c:v>3/3/1959</c:v>
                </c:pt>
                <c:pt idx="63">
                  <c:v>4/3/1959</c:v>
                </c:pt>
                <c:pt idx="64">
                  <c:v>5/3/1959</c:v>
                </c:pt>
                <c:pt idx="65">
                  <c:v>6/3/1959</c:v>
                </c:pt>
                <c:pt idx="66">
                  <c:v>7/3/1959</c:v>
                </c:pt>
                <c:pt idx="67">
                  <c:v>8/3/1959</c:v>
                </c:pt>
                <c:pt idx="68">
                  <c:v>9/3/1959</c:v>
                </c:pt>
                <c:pt idx="69">
                  <c:v>10/3/1959</c:v>
                </c:pt>
                <c:pt idx="70">
                  <c:v>11/3/1959</c:v>
                </c:pt>
                <c:pt idx="71">
                  <c:v>12/3/1959</c:v>
                </c:pt>
                <c:pt idx="72">
                  <c:v>13/3/1959</c:v>
                </c:pt>
                <c:pt idx="73">
                  <c:v>14/3/1959</c:v>
                </c:pt>
                <c:pt idx="74">
                  <c:v>15/3/1959</c:v>
                </c:pt>
                <c:pt idx="75">
                  <c:v>16/3/1959</c:v>
                </c:pt>
                <c:pt idx="76">
                  <c:v>17/3/1959</c:v>
                </c:pt>
                <c:pt idx="77">
                  <c:v>18/3/1959</c:v>
                </c:pt>
                <c:pt idx="78">
                  <c:v>19/3/1959</c:v>
                </c:pt>
                <c:pt idx="79">
                  <c:v>20/3/1959</c:v>
                </c:pt>
                <c:pt idx="80">
                  <c:v>21/3/1959</c:v>
                </c:pt>
                <c:pt idx="81">
                  <c:v>22/3/1959</c:v>
                </c:pt>
                <c:pt idx="82">
                  <c:v>23/3/1959</c:v>
                </c:pt>
                <c:pt idx="83">
                  <c:v>24/3/1959</c:v>
                </c:pt>
                <c:pt idx="84">
                  <c:v>25/3/1959</c:v>
                </c:pt>
                <c:pt idx="85">
                  <c:v>26/3/1959</c:v>
                </c:pt>
                <c:pt idx="86">
                  <c:v>27/3/1959</c:v>
                </c:pt>
                <c:pt idx="87">
                  <c:v>28/3/1959</c:v>
                </c:pt>
                <c:pt idx="88">
                  <c:v>29/3/1959</c:v>
                </c:pt>
                <c:pt idx="89">
                  <c:v>30/3/1959</c:v>
                </c:pt>
                <c:pt idx="90">
                  <c:v>31/3/1959</c:v>
                </c:pt>
                <c:pt idx="91">
                  <c:v>1/4/1959</c:v>
                </c:pt>
                <c:pt idx="92">
                  <c:v>2/4/1959</c:v>
                </c:pt>
                <c:pt idx="93">
                  <c:v>3/4/1959</c:v>
                </c:pt>
                <c:pt idx="94">
                  <c:v>4/4/1959</c:v>
                </c:pt>
                <c:pt idx="95">
                  <c:v>5/4/1959</c:v>
                </c:pt>
                <c:pt idx="96">
                  <c:v>6/4/1959</c:v>
                </c:pt>
                <c:pt idx="97">
                  <c:v>7/4/1959</c:v>
                </c:pt>
                <c:pt idx="98">
                  <c:v>8/4/1959</c:v>
                </c:pt>
                <c:pt idx="99">
                  <c:v>9/4/1959</c:v>
                </c:pt>
                <c:pt idx="100">
                  <c:v>10/4/1959</c:v>
                </c:pt>
                <c:pt idx="101">
                  <c:v>11/4/1959</c:v>
                </c:pt>
                <c:pt idx="102">
                  <c:v>12/4/1959</c:v>
                </c:pt>
                <c:pt idx="103">
                  <c:v>13/4/1959</c:v>
                </c:pt>
                <c:pt idx="104">
                  <c:v>14/4/1959</c:v>
                </c:pt>
                <c:pt idx="105">
                  <c:v>15/4/1959</c:v>
                </c:pt>
                <c:pt idx="106">
                  <c:v>16/4/1959</c:v>
                </c:pt>
                <c:pt idx="107">
                  <c:v>17/4/1959</c:v>
                </c:pt>
                <c:pt idx="108">
                  <c:v>18/4/1959</c:v>
                </c:pt>
                <c:pt idx="109">
                  <c:v>19/4/1959</c:v>
                </c:pt>
                <c:pt idx="110">
                  <c:v>20/4/1959</c:v>
                </c:pt>
                <c:pt idx="111">
                  <c:v>21/4/1959</c:v>
                </c:pt>
                <c:pt idx="112">
                  <c:v>22/4/1959</c:v>
                </c:pt>
                <c:pt idx="113">
                  <c:v>23/4/1959</c:v>
                </c:pt>
                <c:pt idx="114">
                  <c:v>24/4/1959</c:v>
                </c:pt>
                <c:pt idx="115">
                  <c:v>25/4/1959</c:v>
                </c:pt>
                <c:pt idx="116">
                  <c:v>26/4/1959</c:v>
                </c:pt>
                <c:pt idx="117">
                  <c:v>27/4/1959</c:v>
                </c:pt>
                <c:pt idx="118">
                  <c:v>28/4/1959</c:v>
                </c:pt>
                <c:pt idx="119">
                  <c:v>29/4/1959</c:v>
                </c:pt>
                <c:pt idx="120">
                  <c:v>30/4/1959</c:v>
                </c:pt>
                <c:pt idx="121">
                  <c:v>1/5/1959</c:v>
                </c:pt>
                <c:pt idx="122">
                  <c:v>2/5/1959</c:v>
                </c:pt>
                <c:pt idx="123">
                  <c:v>3/5/1959</c:v>
                </c:pt>
                <c:pt idx="124">
                  <c:v>4/5/1959</c:v>
                </c:pt>
                <c:pt idx="125">
                  <c:v>5/5/1959</c:v>
                </c:pt>
                <c:pt idx="126">
                  <c:v>6/5/1959</c:v>
                </c:pt>
                <c:pt idx="127">
                  <c:v>7/5/1959</c:v>
                </c:pt>
                <c:pt idx="128">
                  <c:v>8/5/1959</c:v>
                </c:pt>
                <c:pt idx="129">
                  <c:v>9/5/1959</c:v>
                </c:pt>
                <c:pt idx="130">
                  <c:v>10/5/1959</c:v>
                </c:pt>
                <c:pt idx="131">
                  <c:v>11/5/1959</c:v>
                </c:pt>
                <c:pt idx="132">
                  <c:v>12/5/1959</c:v>
                </c:pt>
                <c:pt idx="133">
                  <c:v>13/5/1959</c:v>
                </c:pt>
                <c:pt idx="134">
                  <c:v>14/5/1959</c:v>
                </c:pt>
                <c:pt idx="135">
                  <c:v>15/5/1959</c:v>
                </c:pt>
                <c:pt idx="136">
                  <c:v>16/5/1959</c:v>
                </c:pt>
                <c:pt idx="137">
                  <c:v>17/5/1959</c:v>
                </c:pt>
                <c:pt idx="138">
                  <c:v>18/5/1959</c:v>
                </c:pt>
                <c:pt idx="139">
                  <c:v>19/5/1959</c:v>
                </c:pt>
                <c:pt idx="140">
                  <c:v>20/5/1959</c:v>
                </c:pt>
                <c:pt idx="141">
                  <c:v>21/5/1959</c:v>
                </c:pt>
                <c:pt idx="142">
                  <c:v>22/5/1959</c:v>
                </c:pt>
                <c:pt idx="143">
                  <c:v>23/5/1959</c:v>
                </c:pt>
                <c:pt idx="144">
                  <c:v>24/5/1959</c:v>
                </c:pt>
                <c:pt idx="145">
                  <c:v>25/5/1959</c:v>
                </c:pt>
                <c:pt idx="146">
                  <c:v>26/5/1959</c:v>
                </c:pt>
                <c:pt idx="147">
                  <c:v>27/5/1959</c:v>
                </c:pt>
                <c:pt idx="148">
                  <c:v>28/5/1959</c:v>
                </c:pt>
                <c:pt idx="149">
                  <c:v>29/5/1959</c:v>
                </c:pt>
                <c:pt idx="150">
                  <c:v>30/5/1959</c:v>
                </c:pt>
                <c:pt idx="151">
                  <c:v>31/5/1959</c:v>
                </c:pt>
                <c:pt idx="152">
                  <c:v>1/6/1959</c:v>
                </c:pt>
                <c:pt idx="153">
                  <c:v>2/6/1959</c:v>
                </c:pt>
                <c:pt idx="154">
                  <c:v>3/6/1959</c:v>
                </c:pt>
                <c:pt idx="155">
                  <c:v>4/6/1959</c:v>
                </c:pt>
                <c:pt idx="156">
                  <c:v>5/6/1959</c:v>
                </c:pt>
                <c:pt idx="157">
                  <c:v>6/6/1959</c:v>
                </c:pt>
                <c:pt idx="158">
                  <c:v>7/6/1959</c:v>
                </c:pt>
                <c:pt idx="159">
                  <c:v>8/6/1959</c:v>
                </c:pt>
                <c:pt idx="160">
                  <c:v>9/6/1959</c:v>
                </c:pt>
                <c:pt idx="161">
                  <c:v>10/6/1959</c:v>
                </c:pt>
                <c:pt idx="162">
                  <c:v>11/6/1959</c:v>
                </c:pt>
                <c:pt idx="163">
                  <c:v>12/6/1959</c:v>
                </c:pt>
                <c:pt idx="164">
                  <c:v>13/6/1959</c:v>
                </c:pt>
                <c:pt idx="165">
                  <c:v>14/6/1959</c:v>
                </c:pt>
                <c:pt idx="166">
                  <c:v>15/6/1959</c:v>
                </c:pt>
                <c:pt idx="167">
                  <c:v>16/6/1959</c:v>
                </c:pt>
                <c:pt idx="168">
                  <c:v>17/6/1959</c:v>
                </c:pt>
                <c:pt idx="169">
                  <c:v>18/6/1959</c:v>
                </c:pt>
                <c:pt idx="170">
                  <c:v>19/6/1959</c:v>
                </c:pt>
                <c:pt idx="171">
                  <c:v>20/6/1959</c:v>
                </c:pt>
                <c:pt idx="172">
                  <c:v>21/6/1959</c:v>
                </c:pt>
                <c:pt idx="173">
                  <c:v>22/6/1959</c:v>
                </c:pt>
                <c:pt idx="174">
                  <c:v>23/6/1959</c:v>
                </c:pt>
                <c:pt idx="175">
                  <c:v>24/6/1959</c:v>
                </c:pt>
                <c:pt idx="176">
                  <c:v>25/6/1959</c:v>
                </c:pt>
                <c:pt idx="177">
                  <c:v>26/6/1959</c:v>
                </c:pt>
                <c:pt idx="178">
                  <c:v>27/6/1959</c:v>
                </c:pt>
                <c:pt idx="179">
                  <c:v>28/6/1959</c:v>
                </c:pt>
                <c:pt idx="180">
                  <c:v>29/6/1959</c:v>
                </c:pt>
                <c:pt idx="181">
                  <c:v>30/6/1959</c:v>
                </c:pt>
                <c:pt idx="182">
                  <c:v>1/7/1959</c:v>
                </c:pt>
                <c:pt idx="183">
                  <c:v>2/7/1959</c:v>
                </c:pt>
                <c:pt idx="184">
                  <c:v>3/7/1959</c:v>
                </c:pt>
                <c:pt idx="185">
                  <c:v>4/7/1959</c:v>
                </c:pt>
                <c:pt idx="186">
                  <c:v>5/7/1959</c:v>
                </c:pt>
                <c:pt idx="187">
                  <c:v>6/7/1959</c:v>
                </c:pt>
                <c:pt idx="188">
                  <c:v>7/7/1959</c:v>
                </c:pt>
                <c:pt idx="189">
                  <c:v>8/7/1959</c:v>
                </c:pt>
                <c:pt idx="190">
                  <c:v>9/7/1959</c:v>
                </c:pt>
                <c:pt idx="191">
                  <c:v>10/7/1959</c:v>
                </c:pt>
                <c:pt idx="192">
                  <c:v>11/7/1959</c:v>
                </c:pt>
                <c:pt idx="193">
                  <c:v>12/7/1959</c:v>
                </c:pt>
                <c:pt idx="194">
                  <c:v>13/7/1959</c:v>
                </c:pt>
                <c:pt idx="195">
                  <c:v>14/7/1959</c:v>
                </c:pt>
                <c:pt idx="196">
                  <c:v>15/7/1959</c:v>
                </c:pt>
                <c:pt idx="197">
                  <c:v>16/7/1959</c:v>
                </c:pt>
                <c:pt idx="198">
                  <c:v>17/7/1959</c:v>
                </c:pt>
                <c:pt idx="199">
                  <c:v>18/7/1959</c:v>
                </c:pt>
                <c:pt idx="200">
                  <c:v>19/7/1959</c:v>
                </c:pt>
                <c:pt idx="201">
                  <c:v>20/7/1959</c:v>
                </c:pt>
                <c:pt idx="202">
                  <c:v>21/7/1959</c:v>
                </c:pt>
                <c:pt idx="203">
                  <c:v>22/7/1959</c:v>
                </c:pt>
                <c:pt idx="204">
                  <c:v>23/7/1959</c:v>
                </c:pt>
                <c:pt idx="205">
                  <c:v>24/7/1959</c:v>
                </c:pt>
                <c:pt idx="206">
                  <c:v>25/7/1959</c:v>
                </c:pt>
                <c:pt idx="207">
                  <c:v>26/7/1959</c:v>
                </c:pt>
                <c:pt idx="208">
                  <c:v>27/7/1959</c:v>
                </c:pt>
                <c:pt idx="209">
                  <c:v>28/7/1959</c:v>
                </c:pt>
                <c:pt idx="210">
                  <c:v>29/7/1959</c:v>
                </c:pt>
                <c:pt idx="211">
                  <c:v>30/7/1959</c:v>
                </c:pt>
                <c:pt idx="212">
                  <c:v>31/7/1959</c:v>
                </c:pt>
                <c:pt idx="213">
                  <c:v>1/8/1959</c:v>
                </c:pt>
                <c:pt idx="214">
                  <c:v>2/8/1959</c:v>
                </c:pt>
                <c:pt idx="215">
                  <c:v>3/8/1959</c:v>
                </c:pt>
                <c:pt idx="216">
                  <c:v>4/8/1959</c:v>
                </c:pt>
                <c:pt idx="217">
                  <c:v>5/8/1959</c:v>
                </c:pt>
                <c:pt idx="218">
                  <c:v>6/8/1959</c:v>
                </c:pt>
                <c:pt idx="219">
                  <c:v>7/8/1959</c:v>
                </c:pt>
                <c:pt idx="220">
                  <c:v>8/8/1959</c:v>
                </c:pt>
                <c:pt idx="221">
                  <c:v>9/8/1959</c:v>
                </c:pt>
                <c:pt idx="222">
                  <c:v>10/8/1959</c:v>
                </c:pt>
                <c:pt idx="223">
                  <c:v>11/8/1959</c:v>
                </c:pt>
                <c:pt idx="224">
                  <c:v>12/8/1959</c:v>
                </c:pt>
                <c:pt idx="225">
                  <c:v>13/8/1959</c:v>
                </c:pt>
                <c:pt idx="226">
                  <c:v>14/8/1959</c:v>
                </c:pt>
                <c:pt idx="227">
                  <c:v>15/8/1959</c:v>
                </c:pt>
                <c:pt idx="228">
                  <c:v>16/8/1959</c:v>
                </c:pt>
                <c:pt idx="229">
                  <c:v>17/8/1959</c:v>
                </c:pt>
                <c:pt idx="230">
                  <c:v>18/8/1959</c:v>
                </c:pt>
                <c:pt idx="231">
                  <c:v>19/8/1959</c:v>
                </c:pt>
                <c:pt idx="232">
                  <c:v>20/8/1959</c:v>
                </c:pt>
                <c:pt idx="233">
                  <c:v>21/8/1959</c:v>
                </c:pt>
                <c:pt idx="234">
                  <c:v>22/8/1959</c:v>
                </c:pt>
                <c:pt idx="235">
                  <c:v>23/8/1959</c:v>
                </c:pt>
                <c:pt idx="236">
                  <c:v>24/8/1959</c:v>
                </c:pt>
                <c:pt idx="237">
                  <c:v>25/8/1959</c:v>
                </c:pt>
                <c:pt idx="238">
                  <c:v>26/8/1959</c:v>
                </c:pt>
                <c:pt idx="239">
                  <c:v>27/8/1959</c:v>
                </c:pt>
                <c:pt idx="240">
                  <c:v>28/8/1959</c:v>
                </c:pt>
                <c:pt idx="241">
                  <c:v>29/8/1959</c:v>
                </c:pt>
                <c:pt idx="242">
                  <c:v>30/8/1959</c:v>
                </c:pt>
                <c:pt idx="243">
                  <c:v>31/8/1959</c:v>
                </c:pt>
                <c:pt idx="244">
                  <c:v>1/9/1959</c:v>
                </c:pt>
                <c:pt idx="245">
                  <c:v>2/9/1959</c:v>
                </c:pt>
                <c:pt idx="246">
                  <c:v>3/9/1959</c:v>
                </c:pt>
                <c:pt idx="247">
                  <c:v>4/9/1959</c:v>
                </c:pt>
                <c:pt idx="248">
                  <c:v>5/9/1959</c:v>
                </c:pt>
                <c:pt idx="249">
                  <c:v>6/9/1959</c:v>
                </c:pt>
                <c:pt idx="250">
                  <c:v>7/9/1959</c:v>
                </c:pt>
                <c:pt idx="251">
                  <c:v>8/9/1959</c:v>
                </c:pt>
                <c:pt idx="252">
                  <c:v>9/9/1959</c:v>
                </c:pt>
                <c:pt idx="253">
                  <c:v>10/9/1959</c:v>
                </c:pt>
                <c:pt idx="254">
                  <c:v>11/9/1959</c:v>
                </c:pt>
                <c:pt idx="255">
                  <c:v>12/9/1959</c:v>
                </c:pt>
                <c:pt idx="256">
                  <c:v>13/9/1959</c:v>
                </c:pt>
                <c:pt idx="257">
                  <c:v>14/9/1959</c:v>
                </c:pt>
                <c:pt idx="258">
                  <c:v>15/9/1959</c:v>
                </c:pt>
                <c:pt idx="259">
                  <c:v>16/9/1959</c:v>
                </c:pt>
                <c:pt idx="260">
                  <c:v>17/9/1959</c:v>
                </c:pt>
                <c:pt idx="261">
                  <c:v>18/9/1959</c:v>
                </c:pt>
                <c:pt idx="262">
                  <c:v>19/9/1959</c:v>
                </c:pt>
                <c:pt idx="263">
                  <c:v>20/9/1959</c:v>
                </c:pt>
                <c:pt idx="264">
                  <c:v>21/9/1959</c:v>
                </c:pt>
                <c:pt idx="265">
                  <c:v>22/9/1959</c:v>
                </c:pt>
                <c:pt idx="266">
                  <c:v>23/9/1959</c:v>
                </c:pt>
                <c:pt idx="267">
                  <c:v>24/9/1959</c:v>
                </c:pt>
                <c:pt idx="268">
                  <c:v>25/9/1959</c:v>
                </c:pt>
                <c:pt idx="269">
                  <c:v>26/9/1959</c:v>
                </c:pt>
                <c:pt idx="270">
                  <c:v>27/9/1959</c:v>
                </c:pt>
                <c:pt idx="271">
                  <c:v>28/9/1959</c:v>
                </c:pt>
                <c:pt idx="272">
                  <c:v>29/9/1959</c:v>
                </c:pt>
                <c:pt idx="273">
                  <c:v>30/9/1959</c:v>
                </c:pt>
                <c:pt idx="274">
                  <c:v>1/10/1959</c:v>
                </c:pt>
                <c:pt idx="275">
                  <c:v>2/10/1959</c:v>
                </c:pt>
                <c:pt idx="276">
                  <c:v>3/10/1959</c:v>
                </c:pt>
                <c:pt idx="277">
                  <c:v>4/10/1959</c:v>
                </c:pt>
                <c:pt idx="278">
                  <c:v>5/10/1959</c:v>
                </c:pt>
                <c:pt idx="279">
                  <c:v>6/10/1959</c:v>
                </c:pt>
                <c:pt idx="280">
                  <c:v>7/10/1959</c:v>
                </c:pt>
                <c:pt idx="281">
                  <c:v>8/10/1959</c:v>
                </c:pt>
                <c:pt idx="282">
                  <c:v>9/10/1959</c:v>
                </c:pt>
                <c:pt idx="283">
                  <c:v>10/10/1959</c:v>
                </c:pt>
                <c:pt idx="284">
                  <c:v>11/10/1959</c:v>
                </c:pt>
                <c:pt idx="285">
                  <c:v>12/10/1959</c:v>
                </c:pt>
                <c:pt idx="286">
                  <c:v>13/10/1959</c:v>
                </c:pt>
                <c:pt idx="287">
                  <c:v>14/10/1959</c:v>
                </c:pt>
                <c:pt idx="288">
                  <c:v>15/10/1959</c:v>
                </c:pt>
                <c:pt idx="289">
                  <c:v>16/10/1959</c:v>
                </c:pt>
                <c:pt idx="290">
                  <c:v>17/10/1959</c:v>
                </c:pt>
                <c:pt idx="291">
                  <c:v>18/10/1959</c:v>
                </c:pt>
                <c:pt idx="292">
                  <c:v>19/10/1959</c:v>
                </c:pt>
                <c:pt idx="293">
                  <c:v>20/10/1959</c:v>
                </c:pt>
                <c:pt idx="294">
                  <c:v>21/10/1959</c:v>
                </c:pt>
                <c:pt idx="295">
                  <c:v>22/10/1959</c:v>
                </c:pt>
                <c:pt idx="296">
                  <c:v>23/10/1959</c:v>
                </c:pt>
                <c:pt idx="297">
                  <c:v>24/10/1959</c:v>
                </c:pt>
                <c:pt idx="298">
                  <c:v>25/10/1959</c:v>
                </c:pt>
                <c:pt idx="299">
                  <c:v>26/10/1959</c:v>
                </c:pt>
                <c:pt idx="300">
                  <c:v>27/10/1959</c:v>
                </c:pt>
                <c:pt idx="301">
                  <c:v>28/10/1959</c:v>
                </c:pt>
                <c:pt idx="302">
                  <c:v>29/10/1959</c:v>
                </c:pt>
                <c:pt idx="303">
                  <c:v>30/10/1959</c:v>
                </c:pt>
                <c:pt idx="304">
                  <c:v>31/10/1959</c:v>
                </c:pt>
                <c:pt idx="305">
                  <c:v>1/11/1959</c:v>
                </c:pt>
                <c:pt idx="306">
                  <c:v>2/11/1959</c:v>
                </c:pt>
                <c:pt idx="307">
                  <c:v>3/11/1959</c:v>
                </c:pt>
                <c:pt idx="308">
                  <c:v>4/11/1959</c:v>
                </c:pt>
                <c:pt idx="309">
                  <c:v>5/11/1959</c:v>
                </c:pt>
                <c:pt idx="310">
                  <c:v>6/11/1959</c:v>
                </c:pt>
                <c:pt idx="311">
                  <c:v>7/11/1959</c:v>
                </c:pt>
                <c:pt idx="312">
                  <c:v>8/11/1959</c:v>
                </c:pt>
                <c:pt idx="313">
                  <c:v>9/11/1959</c:v>
                </c:pt>
                <c:pt idx="314">
                  <c:v>10/11/1959</c:v>
                </c:pt>
                <c:pt idx="315">
                  <c:v>11/11/1959</c:v>
                </c:pt>
                <c:pt idx="316">
                  <c:v>12/11/1959</c:v>
                </c:pt>
                <c:pt idx="317">
                  <c:v>13/11/1959</c:v>
                </c:pt>
                <c:pt idx="318">
                  <c:v>14/11/1959</c:v>
                </c:pt>
                <c:pt idx="319">
                  <c:v>15/11/1959</c:v>
                </c:pt>
                <c:pt idx="320">
                  <c:v>16/11/1959</c:v>
                </c:pt>
                <c:pt idx="321">
                  <c:v>17/11/1959</c:v>
                </c:pt>
                <c:pt idx="322">
                  <c:v>18/11/1959</c:v>
                </c:pt>
                <c:pt idx="323">
                  <c:v>19/11/1959</c:v>
                </c:pt>
                <c:pt idx="324">
                  <c:v>20/11/1959</c:v>
                </c:pt>
                <c:pt idx="325">
                  <c:v>21/11/1959</c:v>
                </c:pt>
                <c:pt idx="326">
                  <c:v>22/11/1959</c:v>
                </c:pt>
                <c:pt idx="327">
                  <c:v>23/11/1959</c:v>
                </c:pt>
                <c:pt idx="328">
                  <c:v>24/11/1959</c:v>
                </c:pt>
                <c:pt idx="329">
                  <c:v>25/11/1959</c:v>
                </c:pt>
                <c:pt idx="330">
                  <c:v>26/11/1959</c:v>
                </c:pt>
                <c:pt idx="331">
                  <c:v>27/11/1959</c:v>
                </c:pt>
                <c:pt idx="332">
                  <c:v>28/11/1959</c:v>
                </c:pt>
                <c:pt idx="333">
                  <c:v>29/11/1959</c:v>
                </c:pt>
                <c:pt idx="334">
                  <c:v>30/11/1959</c:v>
                </c:pt>
                <c:pt idx="335">
                  <c:v>1/12/1959</c:v>
                </c:pt>
                <c:pt idx="336">
                  <c:v>2/12/1959</c:v>
                </c:pt>
                <c:pt idx="337">
                  <c:v>3/12/1959</c:v>
                </c:pt>
                <c:pt idx="338">
                  <c:v>4/12/1959</c:v>
                </c:pt>
                <c:pt idx="339">
                  <c:v>5/12/1959</c:v>
                </c:pt>
                <c:pt idx="340">
                  <c:v>6/12/1959</c:v>
                </c:pt>
                <c:pt idx="341">
                  <c:v>7/12/1959</c:v>
                </c:pt>
                <c:pt idx="342">
                  <c:v>8/12/1959</c:v>
                </c:pt>
                <c:pt idx="343">
                  <c:v>9/12/1959</c:v>
                </c:pt>
                <c:pt idx="344">
                  <c:v>10/12/1959</c:v>
                </c:pt>
                <c:pt idx="345">
                  <c:v>11/12/1959</c:v>
                </c:pt>
                <c:pt idx="346">
                  <c:v>12/12/1959</c:v>
                </c:pt>
                <c:pt idx="347">
                  <c:v>13/12/1959</c:v>
                </c:pt>
                <c:pt idx="348">
                  <c:v>14/12/1959</c:v>
                </c:pt>
                <c:pt idx="349">
                  <c:v>15/12/1959</c:v>
                </c:pt>
                <c:pt idx="350">
                  <c:v>16/12/1959</c:v>
                </c:pt>
                <c:pt idx="351">
                  <c:v>17/12/1959</c:v>
                </c:pt>
                <c:pt idx="352">
                  <c:v>18/12/1959</c:v>
                </c:pt>
                <c:pt idx="353">
                  <c:v>19/12/1959</c:v>
                </c:pt>
                <c:pt idx="354">
                  <c:v>20/12/1959</c:v>
                </c:pt>
                <c:pt idx="355">
                  <c:v>21/12/1959</c:v>
                </c:pt>
                <c:pt idx="356">
                  <c:v>22/12/1959</c:v>
                </c:pt>
                <c:pt idx="357">
                  <c:v>23/12/1959</c:v>
                </c:pt>
                <c:pt idx="358">
                  <c:v>24/12/1959</c:v>
                </c:pt>
                <c:pt idx="359">
                  <c:v>25/12/1959</c:v>
                </c:pt>
                <c:pt idx="360">
                  <c:v>26/12/1959</c:v>
                </c:pt>
                <c:pt idx="361">
                  <c:v>27/12/1959</c:v>
                </c:pt>
                <c:pt idx="362">
                  <c:v>28/12/1959</c:v>
                </c:pt>
                <c:pt idx="363">
                  <c:v>29/12/1959</c:v>
                </c:pt>
                <c:pt idx="364">
                  <c:v>30/12/1959</c:v>
                </c:pt>
                <c:pt idx="365">
                  <c:v>31/12/1959</c:v>
                </c:pt>
              </c:strCache>
            </c:strRef>
          </c:cat>
          <c:val>
            <c:numRef>
              <c:f>'Moving Average'!$D$1:$D$366</c:f>
              <c:numCache>
                <c:formatCode>0.00</c:formatCode>
                <c:ptCount val="366"/>
                <c:pt idx="0" formatCode="General">
                  <c:v>0</c:v>
                </c:pt>
                <c:pt idx="4">
                  <c:v>-1.3333333333333357</c:v>
                </c:pt>
                <c:pt idx="5">
                  <c:v>13</c:v>
                </c:pt>
                <c:pt idx="6">
                  <c:v>-6</c:v>
                </c:pt>
                <c:pt idx="7">
                  <c:v>10.333333333333336</c:v>
                </c:pt>
                <c:pt idx="8">
                  <c:v>3.6666666666666643</c:v>
                </c:pt>
                <c:pt idx="9">
                  <c:v>-1</c:v>
                </c:pt>
                <c:pt idx="10">
                  <c:v>-15</c:v>
                </c:pt>
                <c:pt idx="11">
                  <c:v>2</c:v>
                </c:pt>
                <c:pt idx="12">
                  <c:v>-1.3333333333333357</c:v>
                </c:pt>
                <c:pt idx="13">
                  <c:v>22.333333333333336</c:v>
                </c:pt>
                <c:pt idx="14">
                  <c:v>5</c:v>
                </c:pt>
                <c:pt idx="15">
                  <c:v>0</c:v>
                </c:pt>
                <c:pt idx="16">
                  <c:v>-12</c:v>
                </c:pt>
                <c:pt idx="17">
                  <c:v>7</c:v>
                </c:pt>
                <c:pt idx="18">
                  <c:v>-1</c:v>
                </c:pt>
                <c:pt idx="19">
                  <c:v>-2.3333333333333357</c:v>
                </c:pt>
                <c:pt idx="20">
                  <c:v>7.3333333333333357</c:v>
                </c:pt>
                <c:pt idx="21">
                  <c:v>-11.333333333333336</c:v>
                </c:pt>
                <c:pt idx="22">
                  <c:v>10.666666666666664</c:v>
                </c:pt>
                <c:pt idx="23">
                  <c:v>-7.3333333333333357</c:v>
                </c:pt>
                <c:pt idx="24">
                  <c:v>-10</c:v>
                </c:pt>
                <c:pt idx="25">
                  <c:v>-4.3333333333333357</c:v>
                </c:pt>
                <c:pt idx="26">
                  <c:v>7</c:v>
                </c:pt>
                <c:pt idx="27">
                  <c:v>1.6666666666666643</c:v>
                </c:pt>
                <c:pt idx="28">
                  <c:v>-4.6666666666666643</c:v>
                </c:pt>
                <c:pt idx="29">
                  <c:v>5</c:v>
                </c:pt>
                <c:pt idx="30">
                  <c:v>-1.3333333333333357</c:v>
                </c:pt>
                <c:pt idx="31">
                  <c:v>-15</c:v>
                </c:pt>
                <c:pt idx="32">
                  <c:v>-12.333333333333336</c:v>
                </c:pt>
                <c:pt idx="33">
                  <c:v>2.6666666666666679</c:v>
                </c:pt>
                <c:pt idx="34">
                  <c:v>18</c:v>
                </c:pt>
                <c:pt idx="35">
                  <c:v>5.3333333333333357</c:v>
                </c:pt>
                <c:pt idx="36">
                  <c:v>12.333333333333336</c:v>
                </c:pt>
                <c:pt idx="37">
                  <c:v>-6</c:v>
                </c:pt>
                <c:pt idx="38">
                  <c:v>9</c:v>
                </c:pt>
                <c:pt idx="39">
                  <c:v>-15.333333333333336</c:v>
                </c:pt>
                <c:pt idx="40">
                  <c:v>-9</c:v>
                </c:pt>
                <c:pt idx="41">
                  <c:v>13.333333333333336</c:v>
                </c:pt>
                <c:pt idx="42">
                  <c:v>-1.6666666666666643</c:v>
                </c:pt>
                <c:pt idx="43">
                  <c:v>5.6666666666666643</c:v>
                </c:pt>
                <c:pt idx="44">
                  <c:v>7</c:v>
                </c:pt>
                <c:pt idx="45">
                  <c:v>-10</c:v>
                </c:pt>
                <c:pt idx="46">
                  <c:v>8.6666666666666643</c:v>
                </c:pt>
                <c:pt idx="47">
                  <c:v>1.3333333333333357</c:v>
                </c:pt>
                <c:pt idx="48">
                  <c:v>0.6666666666666643</c:v>
                </c:pt>
                <c:pt idx="49">
                  <c:v>-2</c:v>
                </c:pt>
                <c:pt idx="50">
                  <c:v>-7</c:v>
                </c:pt>
                <c:pt idx="51">
                  <c:v>4.6666666666666643</c:v>
                </c:pt>
                <c:pt idx="52">
                  <c:v>-7.3333333333333357</c:v>
                </c:pt>
                <c:pt idx="53">
                  <c:v>-6.3333333333333357</c:v>
                </c:pt>
                <c:pt idx="54">
                  <c:v>12</c:v>
                </c:pt>
                <c:pt idx="55">
                  <c:v>0.6666666666666643</c:v>
                </c:pt>
                <c:pt idx="56">
                  <c:v>2</c:v>
                </c:pt>
                <c:pt idx="57">
                  <c:v>-7.3333333333333357</c:v>
                </c:pt>
                <c:pt idx="58">
                  <c:v>-5</c:v>
                </c:pt>
                <c:pt idx="59">
                  <c:v>-10.333333333333336</c:v>
                </c:pt>
                <c:pt idx="60">
                  <c:v>-0.3333333333333357</c:v>
                </c:pt>
                <c:pt idx="61">
                  <c:v>-6</c:v>
                </c:pt>
                <c:pt idx="62">
                  <c:v>14</c:v>
                </c:pt>
                <c:pt idx="63">
                  <c:v>-2</c:v>
                </c:pt>
                <c:pt idx="64">
                  <c:v>0.3333333333333357</c:v>
                </c:pt>
                <c:pt idx="65">
                  <c:v>11.666666666666664</c:v>
                </c:pt>
                <c:pt idx="66">
                  <c:v>4</c:v>
                </c:pt>
                <c:pt idx="67">
                  <c:v>-4.3333333333333357</c:v>
                </c:pt>
                <c:pt idx="68">
                  <c:v>-12.333333333333336</c:v>
                </c:pt>
                <c:pt idx="69">
                  <c:v>0.6666666666666643</c:v>
                </c:pt>
                <c:pt idx="70">
                  <c:v>8.3333333333333357</c:v>
                </c:pt>
                <c:pt idx="71">
                  <c:v>4.3333333333333357</c:v>
                </c:pt>
                <c:pt idx="72">
                  <c:v>-3.3333333333333357</c:v>
                </c:pt>
                <c:pt idx="73">
                  <c:v>-11.333333333333336</c:v>
                </c:pt>
                <c:pt idx="74">
                  <c:v>-10.666666666666664</c:v>
                </c:pt>
                <c:pt idx="75">
                  <c:v>-2.3333333333333357</c:v>
                </c:pt>
                <c:pt idx="76">
                  <c:v>12.666666666666668</c:v>
                </c:pt>
                <c:pt idx="77">
                  <c:v>13</c:v>
                </c:pt>
                <c:pt idx="78">
                  <c:v>1.6666666666666643</c:v>
                </c:pt>
                <c:pt idx="79">
                  <c:v>-7</c:v>
                </c:pt>
                <c:pt idx="80">
                  <c:v>4</c:v>
                </c:pt>
                <c:pt idx="81">
                  <c:v>5.3333333333333357</c:v>
                </c:pt>
                <c:pt idx="82">
                  <c:v>0.6666666666666643</c:v>
                </c:pt>
                <c:pt idx="83">
                  <c:v>-6.6666666666666643</c:v>
                </c:pt>
                <c:pt idx="84">
                  <c:v>-8.3333333333333357</c:v>
                </c:pt>
                <c:pt idx="85">
                  <c:v>-3.3333333333333357</c:v>
                </c:pt>
                <c:pt idx="86">
                  <c:v>20.333333333333336</c:v>
                </c:pt>
                <c:pt idx="87">
                  <c:v>-5.6666666666666643</c:v>
                </c:pt>
                <c:pt idx="88">
                  <c:v>-10.333333333333336</c:v>
                </c:pt>
                <c:pt idx="89">
                  <c:v>8.6666666666666643</c:v>
                </c:pt>
                <c:pt idx="90">
                  <c:v>1.6666666666666643</c:v>
                </c:pt>
                <c:pt idx="91">
                  <c:v>-2</c:v>
                </c:pt>
                <c:pt idx="92">
                  <c:v>-2.3333333333333357</c:v>
                </c:pt>
                <c:pt idx="93">
                  <c:v>6.6666666666666643</c:v>
                </c:pt>
                <c:pt idx="94">
                  <c:v>-8.3333333333333357</c:v>
                </c:pt>
                <c:pt idx="95">
                  <c:v>-4.6666666666666643</c:v>
                </c:pt>
                <c:pt idx="96">
                  <c:v>-6</c:v>
                </c:pt>
                <c:pt idx="97">
                  <c:v>0.6666666666666643</c:v>
                </c:pt>
                <c:pt idx="98">
                  <c:v>3.3333333333333357</c:v>
                </c:pt>
                <c:pt idx="99">
                  <c:v>2.6666666666666643</c:v>
                </c:pt>
                <c:pt idx="100">
                  <c:v>-3</c:v>
                </c:pt>
                <c:pt idx="101">
                  <c:v>16.333333333333336</c:v>
                </c:pt>
                <c:pt idx="102">
                  <c:v>-7.6666666666666643</c:v>
                </c:pt>
                <c:pt idx="103">
                  <c:v>-6.3333333333333357</c:v>
                </c:pt>
                <c:pt idx="104">
                  <c:v>-2.3333333333333357</c:v>
                </c:pt>
                <c:pt idx="105">
                  <c:v>-0.3333333333333357</c:v>
                </c:pt>
                <c:pt idx="106">
                  <c:v>-3.6666666666666643</c:v>
                </c:pt>
                <c:pt idx="107">
                  <c:v>7</c:v>
                </c:pt>
                <c:pt idx="108">
                  <c:v>-2.3333333333333357</c:v>
                </c:pt>
                <c:pt idx="109">
                  <c:v>10</c:v>
                </c:pt>
                <c:pt idx="110">
                  <c:v>-10.666666666666664</c:v>
                </c:pt>
                <c:pt idx="111">
                  <c:v>9.3333333333333357</c:v>
                </c:pt>
                <c:pt idx="112">
                  <c:v>4.3333333333333357</c:v>
                </c:pt>
                <c:pt idx="113">
                  <c:v>13.666666666666664</c:v>
                </c:pt>
                <c:pt idx="114">
                  <c:v>-14.333333333333336</c:v>
                </c:pt>
                <c:pt idx="115">
                  <c:v>-7.3333333333333357</c:v>
                </c:pt>
                <c:pt idx="116">
                  <c:v>-6.6666666666666643</c:v>
                </c:pt>
                <c:pt idx="117">
                  <c:v>4.6666666666666643</c:v>
                </c:pt>
                <c:pt idx="118">
                  <c:v>4.6666666666666643</c:v>
                </c:pt>
                <c:pt idx="119">
                  <c:v>19</c:v>
                </c:pt>
                <c:pt idx="120">
                  <c:v>4.3333333333333357</c:v>
                </c:pt>
                <c:pt idx="121">
                  <c:v>-18.333333333333336</c:v>
                </c:pt>
                <c:pt idx="122">
                  <c:v>-12</c:v>
                </c:pt>
                <c:pt idx="123">
                  <c:v>-1.3333333333333357</c:v>
                </c:pt>
                <c:pt idx="124">
                  <c:v>-2</c:v>
                </c:pt>
                <c:pt idx="125">
                  <c:v>3.6666666666666643</c:v>
                </c:pt>
                <c:pt idx="126">
                  <c:v>10.333333333333336</c:v>
                </c:pt>
                <c:pt idx="127">
                  <c:v>-1.6666666666666643</c:v>
                </c:pt>
                <c:pt idx="128">
                  <c:v>10.666666666666664</c:v>
                </c:pt>
                <c:pt idx="129">
                  <c:v>-15.666666666666664</c:v>
                </c:pt>
                <c:pt idx="130">
                  <c:v>-6</c:v>
                </c:pt>
                <c:pt idx="131">
                  <c:v>1.3333333333333357</c:v>
                </c:pt>
                <c:pt idx="132">
                  <c:v>0.3333333333333357</c:v>
                </c:pt>
                <c:pt idx="133">
                  <c:v>5.6666666666666643</c:v>
                </c:pt>
                <c:pt idx="134">
                  <c:v>2</c:v>
                </c:pt>
                <c:pt idx="135">
                  <c:v>2.6666666666666643</c:v>
                </c:pt>
                <c:pt idx="136">
                  <c:v>-3.6666666666666643</c:v>
                </c:pt>
                <c:pt idx="137">
                  <c:v>-16.333333333333336</c:v>
                </c:pt>
                <c:pt idx="138">
                  <c:v>-0.6666666666666643</c:v>
                </c:pt>
                <c:pt idx="139">
                  <c:v>11</c:v>
                </c:pt>
                <c:pt idx="140">
                  <c:v>2.3333333333333357</c:v>
                </c:pt>
                <c:pt idx="141">
                  <c:v>17.333333333333336</c:v>
                </c:pt>
                <c:pt idx="142">
                  <c:v>-3.6666666666666643</c:v>
                </c:pt>
                <c:pt idx="143">
                  <c:v>1</c:v>
                </c:pt>
                <c:pt idx="144">
                  <c:v>-6</c:v>
                </c:pt>
                <c:pt idx="145">
                  <c:v>-5.3333333333333357</c:v>
                </c:pt>
                <c:pt idx="146">
                  <c:v>2</c:v>
                </c:pt>
                <c:pt idx="147">
                  <c:v>-1.3333333333333357</c:v>
                </c:pt>
                <c:pt idx="148">
                  <c:v>-6.6666666666666643</c:v>
                </c:pt>
                <c:pt idx="149">
                  <c:v>4.6666666666666643</c:v>
                </c:pt>
                <c:pt idx="150">
                  <c:v>1.6666666666666643</c:v>
                </c:pt>
                <c:pt idx="151">
                  <c:v>-0.6666666666666643</c:v>
                </c:pt>
                <c:pt idx="152">
                  <c:v>4.6666666666666643</c:v>
                </c:pt>
                <c:pt idx="153">
                  <c:v>5</c:v>
                </c:pt>
                <c:pt idx="154">
                  <c:v>-9</c:v>
                </c:pt>
                <c:pt idx="155">
                  <c:v>-6.6666666666666643</c:v>
                </c:pt>
                <c:pt idx="156">
                  <c:v>9.6666666666666643</c:v>
                </c:pt>
                <c:pt idx="157">
                  <c:v>12</c:v>
                </c:pt>
                <c:pt idx="158">
                  <c:v>-8.6666666666666643</c:v>
                </c:pt>
                <c:pt idx="159">
                  <c:v>-12</c:v>
                </c:pt>
                <c:pt idx="160">
                  <c:v>6</c:v>
                </c:pt>
                <c:pt idx="161">
                  <c:v>3.6666666666666643</c:v>
                </c:pt>
                <c:pt idx="162">
                  <c:v>7.6666666666666643</c:v>
                </c:pt>
                <c:pt idx="163">
                  <c:v>-11.333333333333336</c:v>
                </c:pt>
                <c:pt idx="164">
                  <c:v>-0.3333333333333357</c:v>
                </c:pt>
                <c:pt idx="165">
                  <c:v>-6</c:v>
                </c:pt>
                <c:pt idx="166">
                  <c:v>3.3333333333333357</c:v>
                </c:pt>
                <c:pt idx="167">
                  <c:v>-4.6666666666666643</c:v>
                </c:pt>
                <c:pt idx="168">
                  <c:v>-6.3333333333333357</c:v>
                </c:pt>
                <c:pt idx="169">
                  <c:v>1.3333333333333357</c:v>
                </c:pt>
                <c:pt idx="170">
                  <c:v>6.6666666666666643</c:v>
                </c:pt>
                <c:pt idx="171">
                  <c:v>3.6666666666666643</c:v>
                </c:pt>
                <c:pt idx="172">
                  <c:v>6.6666666666666643</c:v>
                </c:pt>
                <c:pt idx="173">
                  <c:v>-3.3333333333333357</c:v>
                </c:pt>
                <c:pt idx="174">
                  <c:v>6.3333333333333357</c:v>
                </c:pt>
                <c:pt idx="175">
                  <c:v>-10.333333333333336</c:v>
                </c:pt>
                <c:pt idx="176">
                  <c:v>-9.3333333333333357</c:v>
                </c:pt>
                <c:pt idx="177">
                  <c:v>5.3333333333333357</c:v>
                </c:pt>
                <c:pt idx="178">
                  <c:v>8</c:v>
                </c:pt>
                <c:pt idx="179">
                  <c:v>2.6666666666666643</c:v>
                </c:pt>
                <c:pt idx="180">
                  <c:v>-1</c:v>
                </c:pt>
                <c:pt idx="181">
                  <c:v>17.333333333333336</c:v>
                </c:pt>
                <c:pt idx="182">
                  <c:v>-4</c:v>
                </c:pt>
                <c:pt idx="183">
                  <c:v>-2.6666666666666643</c:v>
                </c:pt>
                <c:pt idx="184">
                  <c:v>-11</c:v>
                </c:pt>
                <c:pt idx="185">
                  <c:v>-5</c:v>
                </c:pt>
                <c:pt idx="186">
                  <c:v>5</c:v>
                </c:pt>
                <c:pt idx="187">
                  <c:v>2</c:v>
                </c:pt>
                <c:pt idx="188">
                  <c:v>15.666666666666664</c:v>
                </c:pt>
                <c:pt idx="189">
                  <c:v>-2</c:v>
                </c:pt>
                <c:pt idx="190">
                  <c:v>2.6666666666666643</c:v>
                </c:pt>
                <c:pt idx="191">
                  <c:v>-10.333333333333336</c:v>
                </c:pt>
                <c:pt idx="192">
                  <c:v>1</c:v>
                </c:pt>
                <c:pt idx="193">
                  <c:v>-20.333333333333336</c:v>
                </c:pt>
                <c:pt idx="194">
                  <c:v>-3</c:v>
                </c:pt>
                <c:pt idx="195">
                  <c:v>8</c:v>
                </c:pt>
                <c:pt idx="196">
                  <c:v>6</c:v>
                </c:pt>
                <c:pt idx="197">
                  <c:v>2</c:v>
                </c:pt>
                <c:pt idx="198">
                  <c:v>-6.3333333333333357</c:v>
                </c:pt>
                <c:pt idx="199">
                  <c:v>5.3333333333333357</c:v>
                </c:pt>
                <c:pt idx="200">
                  <c:v>4</c:v>
                </c:pt>
                <c:pt idx="201">
                  <c:v>3</c:v>
                </c:pt>
                <c:pt idx="202">
                  <c:v>2</c:v>
                </c:pt>
                <c:pt idx="203">
                  <c:v>-7.6666666666666643</c:v>
                </c:pt>
                <c:pt idx="204">
                  <c:v>-1.3333333333333357</c:v>
                </c:pt>
                <c:pt idx="205">
                  <c:v>-7.3333333333333357</c:v>
                </c:pt>
                <c:pt idx="206">
                  <c:v>-2.3333333333333357</c:v>
                </c:pt>
                <c:pt idx="207">
                  <c:v>1.3333333333333357</c:v>
                </c:pt>
                <c:pt idx="208">
                  <c:v>8.3333333333333357</c:v>
                </c:pt>
                <c:pt idx="209">
                  <c:v>3</c:v>
                </c:pt>
                <c:pt idx="210">
                  <c:v>4.6666666666666643</c:v>
                </c:pt>
                <c:pt idx="211">
                  <c:v>-9</c:v>
                </c:pt>
                <c:pt idx="212">
                  <c:v>-1</c:v>
                </c:pt>
                <c:pt idx="213">
                  <c:v>8.6666666666666643</c:v>
                </c:pt>
                <c:pt idx="214">
                  <c:v>-3.3333333333333357</c:v>
                </c:pt>
                <c:pt idx="215">
                  <c:v>-2.3333333333333357</c:v>
                </c:pt>
                <c:pt idx="216">
                  <c:v>2.6666666666666643</c:v>
                </c:pt>
                <c:pt idx="217">
                  <c:v>22</c:v>
                </c:pt>
                <c:pt idx="218">
                  <c:v>-5.3333333333333357</c:v>
                </c:pt>
                <c:pt idx="219">
                  <c:v>-17.666666666666664</c:v>
                </c:pt>
                <c:pt idx="220">
                  <c:v>-9.6666666666666643</c:v>
                </c:pt>
                <c:pt idx="221">
                  <c:v>5</c:v>
                </c:pt>
                <c:pt idx="222">
                  <c:v>9.3333333333333357</c:v>
                </c:pt>
                <c:pt idx="223">
                  <c:v>2.6666666666666643</c:v>
                </c:pt>
                <c:pt idx="224">
                  <c:v>-2</c:v>
                </c:pt>
                <c:pt idx="225">
                  <c:v>-9</c:v>
                </c:pt>
                <c:pt idx="226">
                  <c:v>-3.3333333333333357</c:v>
                </c:pt>
                <c:pt idx="227">
                  <c:v>4</c:v>
                </c:pt>
                <c:pt idx="228">
                  <c:v>5</c:v>
                </c:pt>
                <c:pt idx="229">
                  <c:v>-9.6666666666666643</c:v>
                </c:pt>
                <c:pt idx="230">
                  <c:v>3.3333333333333357</c:v>
                </c:pt>
                <c:pt idx="231">
                  <c:v>-2.6666666666666643</c:v>
                </c:pt>
                <c:pt idx="232">
                  <c:v>7.6666666666666643</c:v>
                </c:pt>
                <c:pt idx="233">
                  <c:v>3.3333333333333357</c:v>
                </c:pt>
                <c:pt idx="234">
                  <c:v>-3.3333333333333357</c:v>
                </c:pt>
                <c:pt idx="235">
                  <c:v>-5</c:v>
                </c:pt>
                <c:pt idx="236">
                  <c:v>2.3333333333333357</c:v>
                </c:pt>
                <c:pt idx="237">
                  <c:v>7</c:v>
                </c:pt>
                <c:pt idx="238">
                  <c:v>6.3333333333333357</c:v>
                </c:pt>
                <c:pt idx="239">
                  <c:v>-6.3333333333333357</c:v>
                </c:pt>
                <c:pt idx="240">
                  <c:v>-4.3333333333333357</c:v>
                </c:pt>
                <c:pt idx="241">
                  <c:v>6.6666666666666643</c:v>
                </c:pt>
                <c:pt idx="242">
                  <c:v>-3.6666666666666643</c:v>
                </c:pt>
                <c:pt idx="243">
                  <c:v>-0.6666666666666643</c:v>
                </c:pt>
                <c:pt idx="244">
                  <c:v>-7.3333333333333357</c:v>
                </c:pt>
                <c:pt idx="245">
                  <c:v>27</c:v>
                </c:pt>
                <c:pt idx="246">
                  <c:v>-10</c:v>
                </c:pt>
                <c:pt idx="247">
                  <c:v>-6.6666666666666643</c:v>
                </c:pt>
                <c:pt idx="248">
                  <c:v>1</c:v>
                </c:pt>
                <c:pt idx="249">
                  <c:v>-0.3333333333333357</c:v>
                </c:pt>
                <c:pt idx="250">
                  <c:v>-0.6666666666666643</c:v>
                </c:pt>
                <c:pt idx="251">
                  <c:v>-10.666666666666664</c:v>
                </c:pt>
                <c:pt idx="252">
                  <c:v>15.333333333333336</c:v>
                </c:pt>
                <c:pt idx="253">
                  <c:v>-2</c:v>
                </c:pt>
                <c:pt idx="254">
                  <c:v>-3.6666666666666643</c:v>
                </c:pt>
                <c:pt idx="255">
                  <c:v>5.3333333333333357</c:v>
                </c:pt>
                <c:pt idx="256">
                  <c:v>-4.3333333333333357</c:v>
                </c:pt>
                <c:pt idx="257">
                  <c:v>-11.666666666666664</c:v>
                </c:pt>
                <c:pt idx="258">
                  <c:v>-3</c:v>
                </c:pt>
                <c:pt idx="259">
                  <c:v>17.333333333333336</c:v>
                </c:pt>
                <c:pt idx="260">
                  <c:v>0.6666666666666643</c:v>
                </c:pt>
                <c:pt idx="261">
                  <c:v>6.3333333333333357</c:v>
                </c:pt>
                <c:pt idx="262">
                  <c:v>4</c:v>
                </c:pt>
                <c:pt idx="263">
                  <c:v>-11.666666666666664</c:v>
                </c:pt>
                <c:pt idx="264">
                  <c:v>10</c:v>
                </c:pt>
                <c:pt idx="265">
                  <c:v>4</c:v>
                </c:pt>
                <c:pt idx="266">
                  <c:v>22</c:v>
                </c:pt>
                <c:pt idx="267">
                  <c:v>-7.3333333333333357</c:v>
                </c:pt>
                <c:pt idx="268">
                  <c:v>-17</c:v>
                </c:pt>
                <c:pt idx="269">
                  <c:v>-14.333333333333336</c:v>
                </c:pt>
                <c:pt idx="270">
                  <c:v>-7.3333333333333357</c:v>
                </c:pt>
                <c:pt idx="271">
                  <c:v>4.6666666666666643</c:v>
                </c:pt>
                <c:pt idx="272">
                  <c:v>7.6666666666666643</c:v>
                </c:pt>
                <c:pt idx="273">
                  <c:v>10</c:v>
                </c:pt>
                <c:pt idx="274">
                  <c:v>-2.3333333333333357</c:v>
                </c:pt>
                <c:pt idx="275">
                  <c:v>2</c:v>
                </c:pt>
                <c:pt idx="276">
                  <c:v>3</c:v>
                </c:pt>
                <c:pt idx="277">
                  <c:v>-6</c:v>
                </c:pt>
                <c:pt idx="278">
                  <c:v>-8.3333333333333357</c:v>
                </c:pt>
                <c:pt idx="279">
                  <c:v>-6</c:v>
                </c:pt>
                <c:pt idx="280">
                  <c:v>-2.6666666666666643</c:v>
                </c:pt>
                <c:pt idx="281">
                  <c:v>2</c:v>
                </c:pt>
                <c:pt idx="282">
                  <c:v>6.6666666666666643</c:v>
                </c:pt>
                <c:pt idx="283">
                  <c:v>2.3333333333333357</c:v>
                </c:pt>
                <c:pt idx="284">
                  <c:v>-4.6666666666666643</c:v>
                </c:pt>
                <c:pt idx="285">
                  <c:v>-7</c:v>
                </c:pt>
                <c:pt idx="286">
                  <c:v>15.333333333333336</c:v>
                </c:pt>
                <c:pt idx="287">
                  <c:v>-6.3333333333333357</c:v>
                </c:pt>
                <c:pt idx="288">
                  <c:v>-4.6666666666666643</c:v>
                </c:pt>
                <c:pt idx="289">
                  <c:v>3.6666666666666643</c:v>
                </c:pt>
                <c:pt idx="290">
                  <c:v>4.3333333333333357</c:v>
                </c:pt>
                <c:pt idx="291">
                  <c:v>-2.3333333333333357</c:v>
                </c:pt>
                <c:pt idx="292">
                  <c:v>-5.3333333333333357</c:v>
                </c:pt>
                <c:pt idx="293">
                  <c:v>-3.6666666666666643</c:v>
                </c:pt>
                <c:pt idx="294">
                  <c:v>-5.3333333333333357</c:v>
                </c:pt>
                <c:pt idx="295">
                  <c:v>6</c:v>
                </c:pt>
                <c:pt idx="296">
                  <c:v>-4.3333333333333357</c:v>
                </c:pt>
                <c:pt idx="297">
                  <c:v>-5</c:v>
                </c:pt>
                <c:pt idx="298">
                  <c:v>1.6666666666666643</c:v>
                </c:pt>
                <c:pt idx="299">
                  <c:v>-3.6666666666666643</c:v>
                </c:pt>
                <c:pt idx="300">
                  <c:v>-9.6666666666666643</c:v>
                </c:pt>
                <c:pt idx="301">
                  <c:v>9</c:v>
                </c:pt>
                <c:pt idx="302">
                  <c:v>0.3333333333333357</c:v>
                </c:pt>
                <c:pt idx="303">
                  <c:v>9</c:v>
                </c:pt>
                <c:pt idx="304">
                  <c:v>4.3333333333333357</c:v>
                </c:pt>
                <c:pt idx="305">
                  <c:v>5.6666666666666643</c:v>
                </c:pt>
                <c:pt idx="306">
                  <c:v>2.6666666666666643</c:v>
                </c:pt>
                <c:pt idx="307">
                  <c:v>-4.6666666666666643</c:v>
                </c:pt>
                <c:pt idx="308">
                  <c:v>-4.6666666666666643</c:v>
                </c:pt>
                <c:pt idx="309">
                  <c:v>14.333333333333336</c:v>
                </c:pt>
                <c:pt idx="310">
                  <c:v>-3</c:v>
                </c:pt>
                <c:pt idx="311">
                  <c:v>3.3333333333333357</c:v>
                </c:pt>
                <c:pt idx="312">
                  <c:v>-6</c:v>
                </c:pt>
                <c:pt idx="313">
                  <c:v>-5.6666666666666643</c:v>
                </c:pt>
                <c:pt idx="314">
                  <c:v>-6.6666666666666643</c:v>
                </c:pt>
                <c:pt idx="315">
                  <c:v>-2.6666666666666643</c:v>
                </c:pt>
                <c:pt idx="316">
                  <c:v>4.3333333333333357</c:v>
                </c:pt>
                <c:pt idx="317">
                  <c:v>-6.6666666666666643</c:v>
                </c:pt>
                <c:pt idx="318">
                  <c:v>-5</c:v>
                </c:pt>
                <c:pt idx="319">
                  <c:v>1.6666666666666643</c:v>
                </c:pt>
                <c:pt idx="320">
                  <c:v>2.3333333333333357</c:v>
                </c:pt>
                <c:pt idx="321">
                  <c:v>-5</c:v>
                </c:pt>
                <c:pt idx="322">
                  <c:v>4.6666666666666643</c:v>
                </c:pt>
                <c:pt idx="323">
                  <c:v>9</c:v>
                </c:pt>
                <c:pt idx="324">
                  <c:v>10.333333333333336</c:v>
                </c:pt>
                <c:pt idx="325">
                  <c:v>-2.6666666666666643</c:v>
                </c:pt>
                <c:pt idx="326">
                  <c:v>-7.3333333333333357</c:v>
                </c:pt>
                <c:pt idx="327">
                  <c:v>12</c:v>
                </c:pt>
                <c:pt idx="328">
                  <c:v>2</c:v>
                </c:pt>
                <c:pt idx="329">
                  <c:v>-3.6666666666666643</c:v>
                </c:pt>
                <c:pt idx="330">
                  <c:v>-1.3333333333333357</c:v>
                </c:pt>
                <c:pt idx="331">
                  <c:v>3.3333333333333357</c:v>
                </c:pt>
                <c:pt idx="332">
                  <c:v>-2.3333333333333357</c:v>
                </c:pt>
                <c:pt idx="333">
                  <c:v>-4.6666666666666643</c:v>
                </c:pt>
                <c:pt idx="334">
                  <c:v>5</c:v>
                </c:pt>
                <c:pt idx="335">
                  <c:v>-2.3333333333333357</c:v>
                </c:pt>
                <c:pt idx="336">
                  <c:v>-15</c:v>
                </c:pt>
                <c:pt idx="337">
                  <c:v>3</c:v>
                </c:pt>
                <c:pt idx="338">
                  <c:v>0</c:v>
                </c:pt>
                <c:pt idx="339">
                  <c:v>-5.6666666666666643</c:v>
                </c:pt>
                <c:pt idx="340">
                  <c:v>-7.3333333333333357</c:v>
                </c:pt>
                <c:pt idx="341">
                  <c:v>0</c:v>
                </c:pt>
                <c:pt idx="342">
                  <c:v>14.666666666666664</c:v>
                </c:pt>
                <c:pt idx="343">
                  <c:v>3.6666666666666643</c:v>
                </c:pt>
                <c:pt idx="344">
                  <c:v>0.3333333333333357</c:v>
                </c:pt>
                <c:pt idx="345">
                  <c:v>-11</c:v>
                </c:pt>
                <c:pt idx="346">
                  <c:v>-1</c:v>
                </c:pt>
                <c:pt idx="347">
                  <c:v>-3.6666666666666643</c:v>
                </c:pt>
                <c:pt idx="348">
                  <c:v>16</c:v>
                </c:pt>
                <c:pt idx="349">
                  <c:v>5</c:v>
                </c:pt>
                <c:pt idx="350">
                  <c:v>7.3333333333333357</c:v>
                </c:pt>
                <c:pt idx="351">
                  <c:v>-11.333333333333336</c:v>
                </c:pt>
                <c:pt idx="352">
                  <c:v>-6</c:v>
                </c:pt>
                <c:pt idx="353">
                  <c:v>-1.6666666666666643</c:v>
                </c:pt>
                <c:pt idx="354">
                  <c:v>1.6666666666666643</c:v>
                </c:pt>
                <c:pt idx="355">
                  <c:v>11.666666666666664</c:v>
                </c:pt>
                <c:pt idx="356">
                  <c:v>-6.6666666666666643</c:v>
                </c:pt>
                <c:pt idx="357">
                  <c:v>-4.6666666666666643</c:v>
                </c:pt>
                <c:pt idx="358">
                  <c:v>-6</c:v>
                </c:pt>
                <c:pt idx="359">
                  <c:v>5</c:v>
                </c:pt>
                <c:pt idx="360">
                  <c:v>-6.6666666666666643</c:v>
                </c:pt>
                <c:pt idx="361">
                  <c:v>-1.6666666666666643</c:v>
                </c:pt>
                <c:pt idx="362">
                  <c:v>13.666666666666664</c:v>
                </c:pt>
                <c:pt idx="363">
                  <c:v>7</c:v>
                </c:pt>
                <c:pt idx="364">
                  <c:v>9.3333333333333357</c:v>
                </c:pt>
                <c:pt idx="365">
                  <c:v>-1.6666666666666643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91-4F64-B0C7-7D118A7B5C9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'Moving Average'!$A$1:$A$366</c:f>
              <c:strCache>
                <c:ptCount val="366"/>
                <c:pt idx="0">
                  <c:v>Date</c:v>
                </c:pt>
                <c:pt idx="1">
                  <c:v>1/1/1959</c:v>
                </c:pt>
                <c:pt idx="2">
                  <c:v>2/1/1959</c:v>
                </c:pt>
                <c:pt idx="3">
                  <c:v>3/1/1959</c:v>
                </c:pt>
                <c:pt idx="4">
                  <c:v>4/1/1959</c:v>
                </c:pt>
                <c:pt idx="5">
                  <c:v>5/1/1959</c:v>
                </c:pt>
                <c:pt idx="6">
                  <c:v>6/1/1959</c:v>
                </c:pt>
                <c:pt idx="7">
                  <c:v>7/1/1959</c:v>
                </c:pt>
                <c:pt idx="8">
                  <c:v>8/1/1959</c:v>
                </c:pt>
                <c:pt idx="9">
                  <c:v>9/1/1959</c:v>
                </c:pt>
                <c:pt idx="10">
                  <c:v>10/1/1959</c:v>
                </c:pt>
                <c:pt idx="11">
                  <c:v>11/1/1959</c:v>
                </c:pt>
                <c:pt idx="12">
                  <c:v>12/1/1959</c:v>
                </c:pt>
                <c:pt idx="13">
                  <c:v>13/1/1959</c:v>
                </c:pt>
                <c:pt idx="14">
                  <c:v>14/1/1959</c:v>
                </c:pt>
                <c:pt idx="15">
                  <c:v>15/1/1959</c:v>
                </c:pt>
                <c:pt idx="16">
                  <c:v>16/1/1959</c:v>
                </c:pt>
                <c:pt idx="17">
                  <c:v>17/1/1959</c:v>
                </c:pt>
                <c:pt idx="18">
                  <c:v>18/1/1959</c:v>
                </c:pt>
                <c:pt idx="19">
                  <c:v>19/1/1959</c:v>
                </c:pt>
                <c:pt idx="20">
                  <c:v>20/1/1959</c:v>
                </c:pt>
                <c:pt idx="21">
                  <c:v>21/1/1959</c:v>
                </c:pt>
                <c:pt idx="22">
                  <c:v>22/1/1959</c:v>
                </c:pt>
                <c:pt idx="23">
                  <c:v>23/1/1959</c:v>
                </c:pt>
                <c:pt idx="24">
                  <c:v>24/1/1959</c:v>
                </c:pt>
                <c:pt idx="25">
                  <c:v>25/1/1959</c:v>
                </c:pt>
                <c:pt idx="26">
                  <c:v>26/1/1959</c:v>
                </c:pt>
                <c:pt idx="27">
                  <c:v>27/1/1959</c:v>
                </c:pt>
                <c:pt idx="28">
                  <c:v>28/1/1959</c:v>
                </c:pt>
                <c:pt idx="29">
                  <c:v>29/1/1959</c:v>
                </c:pt>
                <c:pt idx="30">
                  <c:v>30/1/1959</c:v>
                </c:pt>
                <c:pt idx="31">
                  <c:v>31/1/1959</c:v>
                </c:pt>
                <c:pt idx="32">
                  <c:v>1/2/1959</c:v>
                </c:pt>
                <c:pt idx="33">
                  <c:v>2/2/1959</c:v>
                </c:pt>
                <c:pt idx="34">
                  <c:v>3/2/1959</c:v>
                </c:pt>
                <c:pt idx="35">
                  <c:v>4/2/1959</c:v>
                </c:pt>
                <c:pt idx="36">
                  <c:v>5/2/1959</c:v>
                </c:pt>
                <c:pt idx="37">
                  <c:v>6/2/1959</c:v>
                </c:pt>
                <c:pt idx="38">
                  <c:v>7/2/1959</c:v>
                </c:pt>
                <c:pt idx="39">
                  <c:v>8/2/1959</c:v>
                </c:pt>
                <c:pt idx="40">
                  <c:v>9/2/1959</c:v>
                </c:pt>
                <c:pt idx="41">
                  <c:v>10/2/1959</c:v>
                </c:pt>
                <c:pt idx="42">
                  <c:v>11/2/1959</c:v>
                </c:pt>
                <c:pt idx="43">
                  <c:v>12/2/1959</c:v>
                </c:pt>
                <c:pt idx="44">
                  <c:v>13/2/1959</c:v>
                </c:pt>
                <c:pt idx="45">
                  <c:v>14/2/1959</c:v>
                </c:pt>
                <c:pt idx="46">
                  <c:v>15/2/1959</c:v>
                </c:pt>
                <c:pt idx="47">
                  <c:v>16/2/1959</c:v>
                </c:pt>
                <c:pt idx="48">
                  <c:v>17/2/1959</c:v>
                </c:pt>
                <c:pt idx="49">
                  <c:v>18/2/1959</c:v>
                </c:pt>
                <c:pt idx="50">
                  <c:v>19/2/1959</c:v>
                </c:pt>
                <c:pt idx="51">
                  <c:v>20/2/1959</c:v>
                </c:pt>
                <c:pt idx="52">
                  <c:v>21/2/1959</c:v>
                </c:pt>
                <c:pt idx="53">
                  <c:v>22/2/1959</c:v>
                </c:pt>
                <c:pt idx="54">
                  <c:v>23/2/1959</c:v>
                </c:pt>
                <c:pt idx="55">
                  <c:v>24/2/1959</c:v>
                </c:pt>
                <c:pt idx="56">
                  <c:v>25/2/1959</c:v>
                </c:pt>
                <c:pt idx="57">
                  <c:v>26/2/1959</c:v>
                </c:pt>
                <c:pt idx="58">
                  <c:v>27/2/1959</c:v>
                </c:pt>
                <c:pt idx="59">
                  <c:v>28/2/1959</c:v>
                </c:pt>
                <c:pt idx="60">
                  <c:v>1/3/1959</c:v>
                </c:pt>
                <c:pt idx="61">
                  <c:v>2/3/1959</c:v>
                </c:pt>
                <c:pt idx="62">
                  <c:v>3/3/1959</c:v>
                </c:pt>
                <c:pt idx="63">
                  <c:v>4/3/1959</c:v>
                </c:pt>
                <c:pt idx="64">
                  <c:v>5/3/1959</c:v>
                </c:pt>
                <c:pt idx="65">
                  <c:v>6/3/1959</c:v>
                </c:pt>
                <c:pt idx="66">
                  <c:v>7/3/1959</c:v>
                </c:pt>
                <c:pt idx="67">
                  <c:v>8/3/1959</c:v>
                </c:pt>
                <c:pt idx="68">
                  <c:v>9/3/1959</c:v>
                </c:pt>
                <c:pt idx="69">
                  <c:v>10/3/1959</c:v>
                </c:pt>
                <c:pt idx="70">
                  <c:v>11/3/1959</c:v>
                </c:pt>
                <c:pt idx="71">
                  <c:v>12/3/1959</c:v>
                </c:pt>
                <c:pt idx="72">
                  <c:v>13/3/1959</c:v>
                </c:pt>
                <c:pt idx="73">
                  <c:v>14/3/1959</c:v>
                </c:pt>
                <c:pt idx="74">
                  <c:v>15/3/1959</c:v>
                </c:pt>
                <c:pt idx="75">
                  <c:v>16/3/1959</c:v>
                </c:pt>
                <c:pt idx="76">
                  <c:v>17/3/1959</c:v>
                </c:pt>
                <c:pt idx="77">
                  <c:v>18/3/1959</c:v>
                </c:pt>
                <c:pt idx="78">
                  <c:v>19/3/1959</c:v>
                </c:pt>
                <c:pt idx="79">
                  <c:v>20/3/1959</c:v>
                </c:pt>
                <c:pt idx="80">
                  <c:v>21/3/1959</c:v>
                </c:pt>
                <c:pt idx="81">
                  <c:v>22/3/1959</c:v>
                </c:pt>
                <c:pt idx="82">
                  <c:v>23/3/1959</c:v>
                </c:pt>
                <c:pt idx="83">
                  <c:v>24/3/1959</c:v>
                </c:pt>
                <c:pt idx="84">
                  <c:v>25/3/1959</c:v>
                </c:pt>
                <c:pt idx="85">
                  <c:v>26/3/1959</c:v>
                </c:pt>
                <c:pt idx="86">
                  <c:v>27/3/1959</c:v>
                </c:pt>
                <c:pt idx="87">
                  <c:v>28/3/1959</c:v>
                </c:pt>
                <c:pt idx="88">
                  <c:v>29/3/1959</c:v>
                </c:pt>
                <c:pt idx="89">
                  <c:v>30/3/1959</c:v>
                </c:pt>
                <c:pt idx="90">
                  <c:v>31/3/1959</c:v>
                </c:pt>
                <c:pt idx="91">
                  <c:v>1/4/1959</c:v>
                </c:pt>
                <c:pt idx="92">
                  <c:v>2/4/1959</c:v>
                </c:pt>
                <c:pt idx="93">
                  <c:v>3/4/1959</c:v>
                </c:pt>
                <c:pt idx="94">
                  <c:v>4/4/1959</c:v>
                </c:pt>
                <c:pt idx="95">
                  <c:v>5/4/1959</c:v>
                </c:pt>
                <c:pt idx="96">
                  <c:v>6/4/1959</c:v>
                </c:pt>
                <c:pt idx="97">
                  <c:v>7/4/1959</c:v>
                </c:pt>
                <c:pt idx="98">
                  <c:v>8/4/1959</c:v>
                </c:pt>
                <c:pt idx="99">
                  <c:v>9/4/1959</c:v>
                </c:pt>
                <c:pt idx="100">
                  <c:v>10/4/1959</c:v>
                </c:pt>
                <c:pt idx="101">
                  <c:v>11/4/1959</c:v>
                </c:pt>
                <c:pt idx="102">
                  <c:v>12/4/1959</c:v>
                </c:pt>
                <c:pt idx="103">
                  <c:v>13/4/1959</c:v>
                </c:pt>
                <c:pt idx="104">
                  <c:v>14/4/1959</c:v>
                </c:pt>
                <c:pt idx="105">
                  <c:v>15/4/1959</c:v>
                </c:pt>
                <c:pt idx="106">
                  <c:v>16/4/1959</c:v>
                </c:pt>
                <c:pt idx="107">
                  <c:v>17/4/1959</c:v>
                </c:pt>
                <c:pt idx="108">
                  <c:v>18/4/1959</c:v>
                </c:pt>
                <c:pt idx="109">
                  <c:v>19/4/1959</c:v>
                </c:pt>
                <c:pt idx="110">
                  <c:v>20/4/1959</c:v>
                </c:pt>
                <c:pt idx="111">
                  <c:v>21/4/1959</c:v>
                </c:pt>
                <c:pt idx="112">
                  <c:v>22/4/1959</c:v>
                </c:pt>
                <c:pt idx="113">
                  <c:v>23/4/1959</c:v>
                </c:pt>
                <c:pt idx="114">
                  <c:v>24/4/1959</c:v>
                </c:pt>
                <c:pt idx="115">
                  <c:v>25/4/1959</c:v>
                </c:pt>
                <c:pt idx="116">
                  <c:v>26/4/1959</c:v>
                </c:pt>
                <c:pt idx="117">
                  <c:v>27/4/1959</c:v>
                </c:pt>
                <c:pt idx="118">
                  <c:v>28/4/1959</c:v>
                </c:pt>
                <c:pt idx="119">
                  <c:v>29/4/1959</c:v>
                </c:pt>
                <c:pt idx="120">
                  <c:v>30/4/1959</c:v>
                </c:pt>
                <c:pt idx="121">
                  <c:v>1/5/1959</c:v>
                </c:pt>
                <c:pt idx="122">
                  <c:v>2/5/1959</c:v>
                </c:pt>
                <c:pt idx="123">
                  <c:v>3/5/1959</c:v>
                </c:pt>
                <c:pt idx="124">
                  <c:v>4/5/1959</c:v>
                </c:pt>
                <c:pt idx="125">
                  <c:v>5/5/1959</c:v>
                </c:pt>
                <c:pt idx="126">
                  <c:v>6/5/1959</c:v>
                </c:pt>
                <c:pt idx="127">
                  <c:v>7/5/1959</c:v>
                </c:pt>
                <c:pt idx="128">
                  <c:v>8/5/1959</c:v>
                </c:pt>
                <c:pt idx="129">
                  <c:v>9/5/1959</c:v>
                </c:pt>
                <c:pt idx="130">
                  <c:v>10/5/1959</c:v>
                </c:pt>
                <c:pt idx="131">
                  <c:v>11/5/1959</c:v>
                </c:pt>
                <c:pt idx="132">
                  <c:v>12/5/1959</c:v>
                </c:pt>
                <c:pt idx="133">
                  <c:v>13/5/1959</c:v>
                </c:pt>
                <c:pt idx="134">
                  <c:v>14/5/1959</c:v>
                </c:pt>
                <c:pt idx="135">
                  <c:v>15/5/1959</c:v>
                </c:pt>
                <c:pt idx="136">
                  <c:v>16/5/1959</c:v>
                </c:pt>
                <c:pt idx="137">
                  <c:v>17/5/1959</c:v>
                </c:pt>
                <c:pt idx="138">
                  <c:v>18/5/1959</c:v>
                </c:pt>
                <c:pt idx="139">
                  <c:v>19/5/1959</c:v>
                </c:pt>
                <c:pt idx="140">
                  <c:v>20/5/1959</c:v>
                </c:pt>
                <c:pt idx="141">
                  <c:v>21/5/1959</c:v>
                </c:pt>
                <c:pt idx="142">
                  <c:v>22/5/1959</c:v>
                </c:pt>
                <c:pt idx="143">
                  <c:v>23/5/1959</c:v>
                </c:pt>
                <c:pt idx="144">
                  <c:v>24/5/1959</c:v>
                </c:pt>
                <c:pt idx="145">
                  <c:v>25/5/1959</c:v>
                </c:pt>
                <c:pt idx="146">
                  <c:v>26/5/1959</c:v>
                </c:pt>
                <c:pt idx="147">
                  <c:v>27/5/1959</c:v>
                </c:pt>
                <c:pt idx="148">
                  <c:v>28/5/1959</c:v>
                </c:pt>
                <c:pt idx="149">
                  <c:v>29/5/1959</c:v>
                </c:pt>
                <c:pt idx="150">
                  <c:v>30/5/1959</c:v>
                </c:pt>
                <c:pt idx="151">
                  <c:v>31/5/1959</c:v>
                </c:pt>
                <c:pt idx="152">
                  <c:v>1/6/1959</c:v>
                </c:pt>
                <c:pt idx="153">
                  <c:v>2/6/1959</c:v>
                </c:pt>
                <c:pt idx="154">
                  <c:v>3/6/1959</c:v>
                </c:pt>
                <c:pt idx="155">
                  <c:v>4/6/1959</c:v>
                </c:pt>
                <c:pt idx="156">
                  <c:v>5/6/1959</c:v>
                </c:pt>
                <c:pt idx="157">
                  <c:v>6/6/1959</c:v>
                </c:pt>
                <c:pt idx="158">
                  <c:v>7/6/1959</c:v>
                </c:pt>
                <c:pt idx="159">
                  <c:v>8/6/1959</c:v>
                </c:pt>
                <c:pt idx="160">
                  <c:v>9/6/1959</c:v>
                </c:pt>
                <c:pt idx="161">
                  <c:v>10/6/1959</c:v>
                </c:pt>
                <c:pt idx="162">
                  <c:v>11/6/1959</c:v>
                </c:pt>
                <c:pt idx="163">
                  <c:v>12/6/1959</c:v>
                </c:pt>
                <c:pt idx="164">
                  <c:v>13/6/1959</c:v>
                </c:pt>
                <c:pt idx="165">
                  <c:v>14/6/1959</c:v>
                </c:pt>
                <c:pt idx="166">
                  <c:v>15/6/1959</c:v>
                </c:pt>
                <c:pt idx="167">
                  <c:v>16/6/1959</c:v>
                </c:pt>
                <c:pt idx="168">
                  <c:v>17/6/1959</c:v>
                </c:pt>
                <c:pt idx="169">
                  <c:v>18/6/1959</c:v>
                </c:pt>
                <c:pt idx="170">
                  <c:v>19/6/1959</c:v>
                </c:pt>
                <c:pt idx="171">
                  <c:v>20/6/1959</c:v>
                </c:pt>
                <c:pt idx="172">
                  <c:v>21/6/1959</c:v>
                </c:pt>
                <c:pt idx="173">
                  <c:v>22/6/1959</c:v>
                </c:pt>
                <c:pt idx="174">
                  <c:v>23/6/1959</c:v>
                </c:pt>
                <c:pt idx="175">
                  <c:v>24/6/1959</c:v>
                </c:pt>
                <c:pt idx="176">
                  <c:v>25/6/1959</c:v>
                </c:pt>
                <c:pt idx="177">
                  <c:v>26/6/1959</c:v>
                </c:pt>
                <c:pt idx="178">
                  <c:v>27/6/1959</c:v>
                </c:pt>
                <c:pt idx="179">
                  <c:v>28/6/1959</c:v>
                </c:pt>
                <c:pt idx="180">
                  <c:v>29/6/1959</c:v>
                </c:pt>
                <c:pt idx="181">
                  <c:v>30/6/1959</c:v>
                </c:pt>
                <c:pt idx="182">
                  <c:v>1/7/1959</c:v>
                </c:pt>
                <c:pt idx="183">
                  <c:v>2/7/1959</c:v>
                </c:pt>
                <c:pt idx="184">
                  <c:v>3/7/1959</c:v>
                </c:pt>
                <c:pt idx="185">
                  <c:v>4/7/1959</c:v>
                </c:pt>
                <c:pt idx="186">
                  <c:v>5/7/1959</c:v>
                </c:pt>
                <c:pt idx="187">
                  <c:v>6/7/1959</c:v>
                </c:pt>
                <c:pt idx="188">
                  <c:v>7/7/1959</c:v>
                </c:pt>
                <c:pt idx="189">
                  <c:v>8/7/1959</c:v>
                </c:pt>
                <c:pt idx="190">
                  <c:v>9/7/1959</c:v>
                </c:pt>
                <c:pt idx="191">
                  <c:v>10/7/1959</c:v>
                </c:pt>
                <c:pt idx="192">
                  <c:v>11/7/1959</c:v>
                </c:pt>
                <c:pt idx="193">
                  <c:v>12/7/1959</c:v>
                </c:pt>
                <c:pt idx="194">
                  <c:v>13/7/1959</c:v>
                </c:pt>
                <c:pt idx="195">
                  <c:v>14/7/1959</c:v>
                </c:pt>
                <c:pt idx="196">
                  <c:v>15/7/1959</c:v>
                </c:pt>
                <c:pt idx="197">
                  <c:v>16/7/1959</c:v>
                </c:pt>
                <c:pt idx="198">
                  <c:v>17/7/1959</c:v>
                </c:pt>
                <c:pt idx="199">
                  <c:v>18/7/1959</c:v>
                </c:pt>
                <c:pt idx="200">
                  <c:v>19/7/1959</c:v>
                </c:pt>
                <c:pt idx="201">
                  <c:v>20/7/1959</c:v>
                </c:pt>
                <c:pt idx="202">
                  <c:v>21/7/1959</c:v>
                </c:pt>
                <c:pt idx="203">
                  <c:v>22/7/1959</c:v>
                </c:pt>
                <c:pt idx="204">
                  <c:v>23/7/1959</c:v>
                </c:pt>
                <c:pt idx="205">
                  <c:v>24/7/1959</c:v>
                </c:pt>
                <c:pt idx="206">
                  <c:v>25/7/1959</c:v>
                </c:pt>
                <c:pt idx="207">
                  <c:v>26/7/1959</c:v>
                </c:pt>
                <c:pt idx="208">
                  <c:v>27/7/1959</c:v>
                </c:pt>
                <c:pt idx="209">
                  <c:v>28/7/1959</c:v>
                </c:pt>
                <c:pt idx="210">
                  <c:v>29/7/1959</c:v>
                </c:pt>
                <c:pt idx="211">
                  <c:v>30/7/1959</c:v>
                </c:pt>
                <c:pt idx="212">
                  <c:v>31/7/1959</c:v>
                </c:pt>
                <c:pt idx="213">
                  <c:v>1/8/1959</c:v>
                </c:pt>
                <c:pt idx="214">
                  <c:v>2/8/1959</c:v>
                </c:pt>
                <c:pt idx="215">
                  <c:v>3/8/1959</c:v>
                </c:pt>
                <c:pt idx="216">
                  <c:v>4/8/1959</c:v>
                </c:pt>
                <c:pt idx="217">
                  <c:v>5/8/1959</c:v>
                </c:pt>
                <c:pt idx="218">
                  <c:v>6/8/1959</c:v>
                </c:pt>
                <c:pt idx="219">
                  <c:v>7/8/1959</c:v>
                </c:pt>
                <c:pt idx="220">
                  <c:v>8/8/1959</c:v>
                </c:pt>
                <c:pt idx="221">
                  <c:v>9/8/1959</c:v>
                </c:pt>
                <c:pt idx="222">
                  <c:v>10/8/1959</c:v>
                </c:pt>
                <c:pt idx="223">
                  <c:v>11/8/1959</c:v>
                </c:pt>
                <c:pt idx="224">
                  <c:v>12/8/1959</c:v>
                </c:pt>
                <c:pt idx="225">
                  <c:v>13/8/1959</c:v>
                </c:pt>
                <c:pt idx="226">
                  <c:v>14/8/1959</c:v>
                </c:pt>
                <c:pt idx="227">
                  <c:v>15/8/1959</c:v>
                </c:pt>
                <c:pt idx="228">
                  <c:v>16/8/1959</c:v>
                </c:pt>
                <c:pt idx="229">
                  <c:v>17/8/1959</c:v>
                </c:pt>
                <c:pt idx="230">
                  <c:v>18/8/1959</c:v>
                </c:pt>
                <c:pt idx="231">
                  <c:v>19/8/1959</c:v>
                </c:pt>
                <c:pt idx="232">
                  <c:v>20/8/1959</c:v>
                </c:pt>
                <c:pt idx="233">
                  <c:v>21/8/1959</c:v>
                </c:pt>
                <c:pt idx="234">
                  <c:v>22/8/1959</c:v>
                </c:pt>
                <c:pt idx="235">
                  <c:v>23/8/1959</c:v>
                </c:pt>
                <c:pt idx="236">
                  <c:v>24/8/1959</c:v>
                </c:pt>
                <c:pt idx="237">
                  <c:v>25/8/1959</c:v>
                </c:pt>
                <c:pt idx="238">
                  <c:v>26/8/1959</c:v>
                </c:pt>
                <c:pt idx="239">
                  <c:v>27/8/1959</c:v>
                </c:pt>
                <c:pt idx="240">
                  <c:v>28/8/1959</c:v>
                </c:pt>
                <c:pt idx="241">
                  <c:v>29/8/1959</c:v>
                </c:pt>
                <c:pt idx="242">
                  <c:v>30/8/1959</c:v>
                </c:pt>
                <c:pt idx="243">
                  <c:v>31/8/1959</c:v>
                </c:pt>
                <c:pt idx="244">
                  <c:v>1/9/1959</c:v>
                </c:pt>
                <c:pt idx="245">
                  <c:v>2/9/1959</c:v>
                </c:pt>
                <c:pt idx="246">
                  <c:v>3/9/1959</c:v>
                </c:pt>
                <c:pt idx="247">
                  <c:v>4/9/1959</c:v>
                </c:pt>
                <c:pt idx="248">
                  <c:v>5/9/1959</c:v>
                </c:pt>
                <c:pt idx="249">
                  <c:v>6/9/1959</c:v>
                </c:pt>
                <c:pt idx="250">
                  <c:v>7/9/1959</c:v>
                </c:pt>
                <c:pt idx="251">
                  <c:v>8/9/1959</c:v>
                </c:pt>
                <c:pt idx="252">
                  <c:v>9/9/1959</c:v>
                </c:pt>
                <c:pt idx="253">
                  <c:v>10/9/1959</c:v>
                </c:pt>
                <c:pt idx="254">
                  <c:v>11/9/1959</c:v>
                </c:pt>
                <c:pt idx="255">
                  <c:v>12/9/1959</c:v>
                </c:pt>
                <c:pt idx="256">
                  <c:v>13/9/1959</c:v>
                </c:pt>
                <c:pt idx="257">
                  <c:v>14/9/1959</c:v>
                </c:pt>
                <c:pt idx="258">
                  <c:v>15/9/1959</c:v>
                </c:pt>
                <c:pt idx="259">
                  <c:v>16/9/1959</c:v>
                </c:pt>
                <c:pt idx="260">
                  <c:v>17/9/1959</c:v>
                </c:pt>
                <c:pt idx="261">
                  <c:v>18/9/1959</c:v>
                </c:pt>
                <c:pt idx="262">
                  <c:v>19/9/1959</c:v>
                </c:pt>
                <c:pt idx="263">
                  <c:v>20/9/1959</c:v>
                </c:pt>
                <c:pt idx="264">
                  <c:v>21/9/1959</c:v>
                </c:pt>
                <c:pt idx="265">
                  <c:v>22/9/1959</c:v>
                </c:pt>
                <c:pt idx="266">
                  <c:v>23/9/1959</c:v>
                </c:pt>
                <c:pt idx="267">
                  <c:v>24/9/1959</c:v>
                </c:pt>
                <c:pt idx="268">
                  <c:v>25/9/1959</c:v>
                </c:pt>
                <c:pt idx="269">
                  <c:v>26/9/1959</c:v>
                </c:pt>
                <c:pt idx="270">
                  <c:v>27/9/1959</c:v>
                </c:pt>
                <c:pt idx="271">
                  <c:v>28/9/1959</c:v>
                </c:pt>
                <c:pt idx="272">
                  <c:v>29/9/1959</c:v>
                </c:pt>
                <c:pt idx="273">
                  <c:v>30/9/1959</c:v>
                </c:pt>
                <c:pt idx="274">
                  <c:v>1/10/1959</c:v>
                </c:pt>
                <c:pt idx="275">
                  <c:v>2/10/1959</c:v>
                </c:pt>
                <c:pt idx="276">
                  <c:v>3/10/1959</c:v>
                </c:pt>
                <c:pt idx="277">
                  <c:v>4/10/1959</c:v>
                </c:pt>
                <c:pt idx="278">
                  <c:v>5/10/1959</c:v>
                </c:pt>
                <c:pt idx="279">
                  <c:v>6/10/1959</c:v>
                </c:pt>
                <c:pt idx="280">
                  <c:v>7/10/1959</c:v>
                </c:pt>
                <c:pt idx="281">
                  <c:v>8/10/1959</c:v>
                </c:pt>
                <c:pt idx="282">
                  <c:v>9/10/1959</c:v>
                </c:pt>
                <c:pt idx="283">
                  <c:v>10/10/1959</c:v>
                </c:pt>
                <c:pt idx="284">
                  <c:v>11/10/1959</c:v>
                </c:pt>
                <c:pt idx="285">
                  <c:v>12/10/1959</c:v>
                </c:pt>
                <c:pt idx="286">
                  <c:v>13/10/1959</c:v>
                </c:pt>
                <c:pt idx="287">
                  <c:v>14/10/1959</c:v>
                </c:pt>
                <c:pt idx="288">
                  <c:v>15/10/1959</c:v>
                </c:pt>
                <c:pt idx="289">
                  <c:v>16/10/1959</c:v>
                </c:pt>
                <c:pt idx="290">
                  <c:v>17/10/1959</c:v>
                </c:pt>
                <c:pt idx="291">
                  <c:v>18/10/1959</c:v>
                </c:pt>
                <c:pt idx="292">
                  <c:v>19/10/1959</c:v>
                </c:pt>
                <c:pt idx="293">
                  <c:v>20/10/1959</c:v>
                </c:pt>
                <c:pt idx="294">
                  <c:v>21/10/1959</c:v>
                </c:pt>
                <c:pt idx="295">
                  <c:v>22/10/1959</c:v>
                </c:pt>
                <c:pt idx="296">
                  <c:v>23/10/1959</c:v>
                </c:pt>
                <c:pt idx="297">
                  <c:v>24/10/1959</c:v>
                </c:pt>
                <c:pt idx="298">
                  <c:v>25/10/1959</c:v>
                </c:pt>
                <c:pt idx="299">
                  <c:v>26/10/1959</c:v>
                </c:pt>
                <c:pt idx="300">
                  <c:v>27/10/1959</c:v>
                </c:pt>
                <c:pt idx="301">
                  <c:v>28/10/1959</c:v>
                </c:pt>
                <c:pt idx="302">
                  <c:v>29/10/1959</c:v>
                </c:pt>
                <c:pt idx="303">
                  <c:v>30/10/1959</c:v>
                </c:pt>
                <c:pt idx="304">
                  <c:v>31/10/1959</c:v>
                </c:pt>
                <c:pt idx="305">
                  <c:v>1/11/1959</c:v>
                </c:pt>
                <c:pt idx="306">
                  <c:v>2/11/1959</c:v>
                </c:pt>
                <c:pt idx="307">
                  <c:v>3/11/1959</c:v>
                </c:pt>
                <c:pt idx="308">
                  <c:v>4/11/1959</c:v>
                </c:pt>
                <c:pt idx="309">
                  <c:v>5/11/1959</c:v>
                </c:pt>
                <c:pt idx="310">
                  <c:v>6/11/1959</c:v>
                </c:pt>
                <c:pt idx="311">
                  <c:v>7/11/1959</c:v>
                </c:pt>
                <c:pt idx="312">
                  <c:v>8/11/1959</c:v>
                </c:pt>
                <c:pt idx="313">
                  <c:v>9/11/1959</c:v>
                </c:pt>
                <c:pt idx="314">
                  <c:v>10/11/1959</c:v>
                </c:pt>
                <c:pt idx="315">
                  <c:v>11/11/1959</c:v>
                </c:pt>
                <c:pt idx="316">
                  <c:v>12/11/1959</c:v>
                </c:pt>
                <c:pt idx="317">
                  <c:v>13/11/1959</c:v>
                </c:pt>
                <c:pt idx="318">
                  <c:v>14/11/1959</c:v>
                </c:pt>
                <c:pt idx="319">
                  <c:v>15/11/1959</c:v>
                </c:pt>
                <c:pt idx="320">
                  <c:v>16/11/1959</c:v>
                </c:pt>
                <c:pt idx="321">
                  <c:v>17/11/1959</c:v>
                </c:pt>
                <c:pt idx="322">
                  <c:v>18/11/1959</c:v>
                </c:pt>
                <c:pt idx="323">
                  <c:v>19/11/1959</c:v>
                </c:pt>
                <c:pt idx="324">
                  <c:v>20/11/1959</c:v>
                </c:pt>
                <c:pt idx="325">
                  <c:v>21/11/1959</c:v>
                </c:pt>
                <c:pt idx="326">
                  <c:v>22/11/1959</c:v>
                </c:pt>
                <c:pt idx="327">
                  <c:v>23/11/1959</c:v>
                </c:pt>
                <c:pt idx="328">
                  <c:v>24/11/1959</c:v>
                </c:pt>
                <c:pt idx="329">
                  <c:v>25/11/1959</c:v>
                </c:pt>
                <c:pt idx="330">
                  <c:v>26/11/1959</c:v>
                </c:pt>
                <c:pt idx="331">
                  <c:v>27/11/1959</c:v>
                </c:pt>
                <c:pt idx="332">
                  <c:v>28/11/1959</c:v>
                </c:pt>
                <c:pt idx="333">
                  <c:v>29/11/1959</c:v>
                </c:pt>
                <c:pt idx="334">
                  <c:v>30/11/1959</c:v>
                </c:pt>
                <c:pt idx="335">
                  <c:v>1/12/1959</c:v>
                </c:pt>
                <c:pt idx="336">
                  <c:v>2/12/1959</c:v>
                </c:pt>
                <c:pt idx="337">
                  <c:v>3/12/1959</c:v>
                </c:pt>
                <c:pt idx="338">
                  <c:v>4/12/1959</c:v>
                </c:pt>
                <c:pt idx="339">
                  <c:v>5/12/1959</c:v>
                </c:pt>
                <c:pt idx="340">
                  <c:v>6/12/1959</c:v>
                </c:pt>
                <c:pt idx="341">
                  <c:v>7/12/1959</c:v>
                </c:pt>
                <c:pt idx="342">
                  <c:v>8/12/1959</c:v>
                </c:pt>
                <c:pt idx="343">
                  <c:v>9/12/1959</c:v>
                </c:pt>
                <c:pt idx="344">
                  <c:v>10/12/1959</c:v>
                </c:pt>
                <c:pt idx="345">
                  <c:v>11/12/1959</c:v>
                </c:pt>
                <c:pt idx="346">
                  <c:v>12/12/1959</c:v>
                </c:pt>
                <c:pt idx="347">
                  <c:v>13/12/1959</c:v>
                </c:pt>
                <c:pt idx="348">
                  <c:v>14/12/1959</c:v>
                </c:pt>
                <c:pt idx="349">
                  <c:v>15/12/1959</c:v>
                </c:pt>
                <c:pt idx="350">
                  <c:v>16/12/1959</c:v>
                </c:pt>
                <c:pt idx="351">
                  <c:v>17/12/1959</c:v>
                </c:pt>
                <c:pt idx="352">
                  <c:v>18/12/1959</c:v>
                </c:pt>
                <c:pt idx="353">
                  <c:v>19/12/1959</c:v>
                </c:pt>
                <c:pt idx="354">
                  <c:v>20/12/1959</c:v>
                </c:pt>
                <c:pt idx="355">
                  <c:v>21/12/1959</c:v>
                </c:pt>
                <c:pt idx="356">
                  <c:v>22/12/1959</c:v>
                </c:pt>
                <c:pt idx="357">
                  <c:v>23/12/1959</c:v>
                </c:pt>
                <c:pt idx="358">
                  <c:v>24/12/1959</c:v>
                </c:pt>
                <c:pt idx="359">
                  <c:v>25/12/1959</c:v>
                </c:pt>
                <c:pt idx="360">
                  <c:v>26/12/1959</c:v>
                </c:pt>
                <c:pt idx="361">
                  <c:v>27/12/1959</c:v>
                </c:pt>
                <c:pt idx="362">
                  <c:v>28/12/1959</c:v>
                </c:pt>
                <c:pt idx="363">
                  <c:v>29/12/1959</c:v>
                </c:pt>
                <c:pt idx="364">
                  <c:v>30/12/1959</c:v>
                </c:pt>
                <c:pt idx="365">
                  <c:v>31/12/1959</c:v>
                </c:pt>
              </c:strCache>
            </c:strRef>
          </c:cat>
          <c:val>
            <c:numRef>
              <c:f>'Moving Average'!$E$1:$E$366</c:f>
              <c:numCache>
                <c:formatCode>0.00</c:formatCode>
                <c:ptCount val="366"/>
                <c:pt idx="0" formatCode="General">
                  <c:v>0</c:v>
                </c:pt>
                <c:pt idx="4">
                  <c:v>1.3333333333333357</c:v>
                </c:pt>
                <c:pt idx="5" formatCode="General">
                  <c:v>13</c:v>
                </c:pt>
                <c:pt idx="6">
                  <c:v>6</c:v>
                </c:pt>
                <c:pt idx="7">
                  <c:v>10.333333333333336</c:v>
                </c:pt>
                <c:pt idx="8">
                  <c:v>3.6666666666666643</c:v>
                </c:pt>
                <c:pt idx="9">
                  <c:v>1</c:v>
                </c:pt>
                <c:pt idx="10">
                  <c:v>15</c:v>
                </c:pt>
                <c:pt idx="11">
                  <c:v>2</c:v>
                </c:pt>
                <c:pt idx="12">
                  <c:v>1.3333333333333357</c:v>
                </c:pt>
                <c:pt idx="13">
                  <c:v>22.333333333333336</c:v>
                </c:pt>
                <c:pt idx="14">
                  <c:v>5</c:v>
                </c:pt>
                <c:pt idx="15">
                  <c:v>0</c:v>
                </c:pt>
                <c:pt idx="16">
                  <c:v>12</c:v>
                </c:pt>
                <c:pt idx="17">
                  <c:v>7</c:v>
                </c:pt>
                <c:pt idx="18">
                  <c:v>1</c:v>
                </c:pt>
                <c:pt idx="19">
                  <c:v>2.3333333333333357</c:v>
                </c:pt>
                <c:pt idx="20">
                  <c:v>7.3333333333333357</c:v>
                </c:pt>
                <c:pt idx="21">
                  <c:v>11.333333333333336</c:v>
                </c:pt>
                <c:pt idx="22">
                  <c:v>10.666666666666664</c:v>
                </c:pt>
                <c:pt idx="23">
                  <c:v>7.3333333333333357</c:v>
                </c:pt>
                <c:pt idx="24">
                  <c:v>10</c:v>
                </c:pt>
                <c:pt idx="25">
                  <c:v>4.3333333333333357</c:v>
                </c:pt>
                <c:pt idx="26">
                  <c:v>7</c:v>
                </c:pt>
                <c:pt idx="27">
                  <c:v>1.6666666666666643</c:v>
                </c:pt>
                <c:pt idx="28">
                  <c:v>4.6666666666666643</c:v>
                </c:pt>
                <c:pt idx="29">
                  <c:v>5</c:v>
                </c:pt>
                <c:pt idx="30">
                  <c:v>1.3333333333333357</c:v>
                </c:pt>
                <c:pt idx="31">
                  <c:v>15</c:v>
                </c:pt>
                <c:pt idx="32">
                  <c:v>12.333333333333336</c:v>
                </c:pt>
                <c:pt idx="33">
                  <c:v>2.6666666666666679</c:v>
                </c:pt>
                <c:pt idx="34">
                  <c:v>18</c:v>
                </c:pt>
                <c:pt idx="35">
                  <c:v>5.3333333333333357</c:v>
                </c:pt>
                <c:pt idx="36">
                  <c:v>12.333333333333336</c:v>
                </c:pt>
                <c:pt idx="37">
                  <c:v>6</c:v>
                </c:pt>
                <c:pt idx="38">
                  <c:v>9</c:v>
                </c:pt>
                <c:pt idx="39">
                  <c:v>15.333333333333336</c:v>
                </c:pt>
                <c:pt idx="40">
                  <c:v>9</c:v>
                </c:pt>
                <c:pt idx="41">
                  <c:v>13.333333333333336</c:v>
                </c:pt>
                <c:pt idx="42">
                  <c:v>1.6666666666666643</c:v>
                </c:pt>
                <c:pt idx="43">
                  <c:v>5.6666666666666643</c:v>
                </c:pt>
                <c:pt idx="44">
                  <c:v>7</c:v>
                </c:pt>
                <c:pt idx="45">
                  <c:v>10</c:v>
                </c:pt>
                <c:pt idx="46">
                  <c:v>8.6666666666666643</c:v>
                </c:pt>
                <c:pt idx="47">
                  <c:v>1.3333333333333357</c:v>
                </c:pt>
                <c:pt idx="48">
                  <c:v>0.6666666666666643</c:v>
                </c:pt>
                <c:pt idx="49">
                  <c:v>2</c:v>
                </c:pt>
                <c:pt idx="50">
                  <c:v>7</c:v>
                </c:pt>
                <c:pt idx="51">
                  <c:v>4.6666666666666643</c:v>
                </c:pt>
                <c:pt idx="52">
                  <c:v>7.3333333333333357</c:v>
                </c:pt>
                <c:pt idx="53">
                  <c:v>6.3333333333333357</c:v>
                </c:pt>
                <c:pt idx="54">
                  <c:v>12</c:v>
                </c:pt>
                <c:pt idx="55">
                  <c:v>0.6666666666666643</c:v>
                </c:pt>
                <c:pt idx="56">
                  <c:v>2</c:v>
                </c:pt>
                <c:pt idx="57">
                  <c:v>7.3333333333333357</c:v>
                </c:pt>
                <c:pt idx="58">
                  <c:v>5</c:v>
                </c:pt>
                <c:pt idx="59">
                  <c:v>10.333333333333336</c:v>
                </c:pt>
                <c:pt idx="60">
                  <c:v>0.3333333333333357</c:v>
                </c:pt>
                <c:pt idx="61">
                  <c:v>6</c:v>
                </c:pt>
                <c:pt idx="62">
                  <c:v>14</c:v>
                </c:pt>
                <c:pt idx="63">
                  <c:v>2</c:v>
                </c:pt>
                <c:pt idx="64">
                  <c:v>0.3333333333333357</c:v>
                </c:pt>
                <c:pt idx="65">
                  <c:v>11.666666666666664</c:v>
                </c:pt>
                <c:pt idx="66">
                  <c:v>4</c:v>
                </c:pt>
                <c:pt idx="67">
                  <c:v>4.3333333333333357</c:v>
                </c:pt>
                <c:pt idx="68">
                  <c:v>12.333333333333336</c:v>
                </c:pt>
                <c:pt idx="69">
                  <c:v>0.6666666666666643</c:v>
                </c:pt>
                <c:pt idx="70">
                  <c:v>8.3333333333333357</c:v>
                </c:pt>
                <c:pt idx="71">
                  <c:v>4.3333333333333357</c:v>
                </c:pt>
                <c:pt idx="72">
                  <c:v>3.3333333333333357</c:v>
                </c:pt>
                <c:pt idx="73">
                  <c:v>11.333333333333336</c:v>
                </c:pt>
                <c:pt idx="74">
                  <c:v>10.666666666666664</c:v>
                </c:pt>
                <c:pt idx="75">
                  <c:v>2.3333333333333357</c:v>
                </c:pt>
                <c:pt idx="76">
                  <c:v>12.666666666666668</c:v>
                </c:pt>
                <c:pt idx="77">
                  <c:v>13</c:v>
                </c:pt>
                <c:pt idx="78">
                  <c:v>1.6666666666666643</c:v>
                </c:pt>
                <c:pt idx="79">
                  <c:v>7</c:v>
                </c:pt>
                <c:pt idx="80">
                  <c:v>4</c:v>
                </c:pt>
                <c:pt idx="81">
                  <c:v>5.3333333333333357</c:v>
                </c:pt>
                <c:pt idx="82">
                  <c:v>0.6666666666666643</c:v>
                </c:pt>
                <c:pt idx="83">
                  <c:v>6.6666666666666643</c:v>
                </c:pt>
                <c:pt idx="84">
                  <c:v>8.3333333333333357</c:v>
                </c:pt>
                <c:pt idx="85">
                  <c:v>3.3333333333333357</c:v>
                </c:pt>
                <c:pt idx="86">
                  <c:v>20.333333333333336</c:v>
                </c:pt>
                <c:pt idx="87">
                  <c:v>5.6666666666666643</c:v>
                </c:pt>
                <c:pt idx="88">
                  <c:v>10.333333333333336</c:v>
                </c:pt>
                <c:pt idx="89">
                  <c:v>8.6666666666666643</c:v>
                </c:pt>
                <c:pt idx="90">
                  <c:v>1.6666666666666643</c:v>
                </c:pt>
                <c:pt idx="91">
                  <c:v>2</c:v>
                </c:pt>
                <c:pt idx="92">
                  <c:v>2.3333333333333357</c:v>
                </c:pt>
                <c:pt idx="93">
                  <c:v>6.6666666666666643</c:v>
                </c:pt>
                <c:pt idx="94">
                  <c:v>8.3333333333333357</c:v>
                </c:pt>
                <c:pt idx="95">
                  <c:v>4.6666666666666643</c:v>
                </c:pt>
                <c:pt idx="96">
                  <c:v>6</c:v>
                </c:pt>
                <c:pt idx="97">
                  <c:v>0.6666666666666643</c:v>
                </c:pt>
                <c:pt idx="98">
                  <c:v>3.3333333333333357</c:v>
                </c:pt>
                <c:pt idx="99">
                  <c:v>2.6666666666666643</c:v>
                </c:pt>
                <c:pt idx="100">
                  <c:v>3</c:v>
                </c:pt>
                <c:pt idx="101">
                  <c:v>16.333333333333336</c:v>
                </c:pt>
                <c:pt idx="102">
                  <c:v>7.6666666666666643</c:v>
                </c:pt>
                <c:pt idx="103">
                  <c:v>6.3333333333333357</c:v>
                </c:pt>
                <c:pt idx="104">
                  <c:v>2.3333333333333357</c:v>
                </c:pt>
                <c:pt idx="105">
                  <c:v>0.3333333333333357</c:v>
                </c:pt>
                <c:pt idx="106">
                  <c:v>3.6666666666666643</c:v>
                </c:pt>
                <c:pt idx="107">
                  <c:v>7</c:v>
                </c:pt>
                <c:pt idx="108">
                  <c:v>2.3333333333333357</c:v>
                </c:pt>
                <c:pt idx="109">
                  <c:v>10</c:v>
                </c:pt>
                <c:pt idx="110">
                  <c:v>10.666666666666664</c:v>
                </c:pt>
                <c:pt idx="111">
                  <c:v>9.3333333333333357</c:v>
                </c:pt>
                <c:pt idx="112">
                  <c:v>4.3333333333333357</c:v>
                </c:pt>
                <c:pt idx="113">
                  <c:v>13.666666666666664</c:v>
                </c:pt>
                <c:pt idx="114">
                  <c:v>14.333333333333336</c:v>
                </c:pt>
                <c:pt idx="115">
                  <c:v>7.3333333333333357</c:v>
                </c:pt>
                <c:pt idx="116">
                  <c:v>6.6666666666666643</c:v>
                </c:pt>
                <c:pt idx="117">
                  <c:v>4.6666666666666643</c:v>
                </c:pt>
                <c:pt idx="118">
                  <c:v>4.6666666666666643</c:v>
                </c:pt>
                <c:pt idx="119">
                  <c:v>19</c:v>
                </c:pt>
                <c:pt idx="120">
                  <c:v>4.3333333333333357</c:v>
                </c:pt>
                <c:pt idx="121">
                  <c:v>18.333333333333336</c:v>
                </c:pt>
                <c:pt idx="122">
                  <c:v>12</c:v>
                </c:pt>
                <c:pt idx="123">
                  <c:v>1.3333333333333357</c:v>
                </c:pt>
                <c:pt idx="124">
                  <c:v>2</c:v>
                </c:pt>
                <c:pt idx="125">
                  <c:v>3.6666666666666643</c:v>
                </c:pt>
                <c:pt idx="126">
                  <c:v>10.333333333333336</c:v>
                </c:pt>
                <c:pt idx="127">
                  <c:v>1.6666666666666643</c:v>
                </c:pt>
                <c:pt idx="128">
                  <c:v>10.666666666666664</c:v>
                </c:pt>
                <c:pt idx="129">
                  <c:v>15.666666666666664</c:v>
                </c:pt>
                <c:pt idx="130">
                  <c:v>6</c:v>
                </c:pt>
                <c:pt idx="131">
                  <c:v>1.3333333333333357</c:v>
                </c:pt>
                <c:pt idx="132">
                  <c:v>0.3333333333333357</c:v>
                </c:pt>
                <c:pt idx="133">
                  <c:v>5.6666666666666643</c:v>
                </c:pt>
                <c:pt idx="134">
                  <c:v>2</c:v>
                </c:pt>
                <c:pt idx="135">
                  <c:v>2.6666666666666643</c:v>
                </c:pt>
                <c:pt idx="136">
                  <c:v>3.6666666666666643</c:v>
                </c:pt>
                <c:pt idx="137">
                  <c:v>16.333333333333336</c:v>
                </c:pt>
                <c:pt idx="138">
                  <c:v>0.6666666666666643</c:v>
                </c:pt>
                <c:pt idx="139">
                  <c:v>11</c:v>
                </c:pt>
                <c:pt idx="140">
                  <c:v>2.3333333333333357</c:v>
                </c:pt>
                <c:pt idx="141">
                  <c:v>17.333333333333336</c:v>
                </c:pt>
                <c:pt idx="142">
                  <c:v>3.6666666666666643</c:v>
                </c:pt>
                <c:pt idx="143">
                  <c:v>1</c:v>
                </c:pt>
                <c:pt idx="144">
                  <c:v>6</c:v>
                </c:pt>
                <c:pt idx="145">
                  <c:v>5.3333333333333357</c:v>
                </c:pt>
                <c:pt idx="146">
                  <c:v>2</c:v>
                </c:pt>
                <c:pt idx="147">
                  <c:v>1.3333333333333357</c:v>
                </c:pt>
                <c:pt idx="148">
                  <c:v>6.6666666666666643</c:v>
                </c:pt>
                <c:pt idx="149">
                  <c:v>4.6666666666666643</c:v>
                </c:pt>
                <c:pt idx="150">
                  <c:v>1.6666666666666643</c:v>
                </c:pt>
                <c:pt idx="151">
                  <c:v>0.6666666666666643</c:v>
                </c:pt>
                <c:pt idx="152">
                  <c:v>4.6666666666666643</c:v>
                </c:pt>
                <c:pt idx="153">
                  <c:v>5</c:v>
                </c:pt>
                <c:pt idx="154">
                  <c:v>9</c:v>
                </c:pt>
                <c:pt idx="155">
                  <c:v>6.6666666666666643</c:v>
                </c:pt>
                <c:pt idx="156">
                  <c:v>9.6666666666666643</c:v>
                </c:pt>
                <c:pt idx="157">
                  <c:v>12</c:v>
                </c:pt>
                <c:pt idx="158">
                  <c:v>8.6666666666666643</c:v>
                </c:pt>
                <c:pt idx="159">
                  <c:v>12</c:v>
                </c:pt>
                <c:pt idx="160">
                  <c:v>6</c:v>
                </c:pt>
                <c:pt idx="161">
                  <c:v>3.6666666666666643</c:v>
                </c:pt>
                <c:pt idx="162">
                  <c:v>7.6666666666666643</c:v>
                </c:pt>
                <c:pt idx="163">
                  <c:v>11.333333333333336</c:v>
                </c:pt>
                <c:pt idx="164">
                  <c:v>0.3333333333333357</c:v>
                </c:pt>
                <c:pt idx="165">
                  <c:v>6</c:v>
                </c:pt>
                <c:pt idx="166">
                  <c:v>3.3333333333333357</c:v>
                </c:pt>
                <c:pt idx="167">
                  <c:v>4.6666666666666643</c:v>
                </c:pt>
                <c:pt idx="168">
                  <c:v>6.3333333333333357</c:v>
                </c:pt>
                <c:pt idx="169">
                  <c:v>1.3333333333333357</c:v>
                </c:pt>
                <c:pt idx="170">
                  <c:v>6.6666666666666643</c:v>
                </c:pt>
                <c:pt idx="171">
                  <c:v>3.6666666666666643</c:v>
                </c:pt>
                <c:pt idx="172">
                  <c:v>6.6666666666666643</c:v>
                </c:pt>
                <c:pt idx="173">
                  <c:v>3.3333333333333357</c:v>
                </c:pt>
                <c:pt idx="174">
                  <c:v>6.3333333333333357</c:v>
                </c:pt>
                <c:pt idx="175">
                  <c:v>10.333333333333336</c:v>
                </c:pt>
                <c:pt idx="176">
                  <c:v>9.3333333333333357</c:v>
                </c:pt>
                <c:pt idx="177">
                  <c:v>5.3333333333333357</c:v>
                </c:pt>
                <c:pt idx="178">
                  <c:v>8</c:v>
                </c:pt>
                <c:pt idx="179">
                  <c:v>2.6666666666666643</c:v>
                </c:pt>
                <c:pt idx="180">
                  <c:v>1</c:v>
                </c:pt>
                <c:pt idx="181">
                  <c:v>17.333333333333336</c:v>
                </c:pt>
                <c:pt idx="182">
                  <c:v>4</c:v>
                </c:pt>
                <c:pt idx="183">
                  <c:v>2.6666666666666643</c:v>
                </c:pt>
                <c:pt idx="184">
                  <c:v>11</c:v>
                </c:pt>
                <c:pt idx="185">
                  <c:v>5</c:v>
                </c:pt>
                <c:pt idx="186">
                  <c:v>5</c:v>
                </c:pt>
                <c:pt idx="187">
                  <c:v>2</c:v>
                </c:pt>
                <c:pt idx="188">
                  <c:v>15.666666666666664</c:v>
                </c:pt>
                <c:pt idx="189">
                  <c:v>2</c:v>
                </c:pt>
                <c:pt idx="190">
                  <c:v>2.6666666666666643</c:v>
                </c:pt>
                <c:pt idx="191">
                  <c:v>10.333333333333336</c:v>
                </c:pt>
                <c:pt idx="192">
                  <c:v>1</c:v>
                </c:pt>
                <c:pt idx="193">
                  <c:v>20.333333333333336</c:v>
                </c:pt>
                <c:pt idx="194">
                  <c:v>3</c:v>
                </c:pt>
                <c:pt idx="195">
                  <c:v>8</c:v>
                </c:pt>
                <c:pt idx="196">
                  <c:v>6</c:v>
                </c:pt>
                <c:pt idx="197">
                  <c:v>2</c:v>
                </c:pt>
                <c:pt idx="198">
                  <c:v>6.3333333333333357</c:v>
                </c:pt>
                <c:pt idx="199">
                  <c:v>5.3333333333333357</c:v>
                </c:pt>
                <c:pt idx="200">
                  <c:v>4</c:v>
                </c:pt>
                <c:pt idx="201">
                  <c:v>3</c:v>
                </c:pt>
                <c:pt idx="202">
                  <c:v>2</c:v>
                </c:pt>
                <c:pt idx="203">
                  <c:v>7.6666666666666643</c:v>
                </c:pt>
                <c:pt idx="204">
                  <c:v>1.3333333333333357</c:v>
                </c:pt>
                <c:pt idx="205">
                  <c:v>7.3333333333333357</c:v>
                </c:pt>
                <c:pt idx="206">
                  <c:v>2.3333333333333357</c:v>
                </c:pt>
                <c:pt idx="207">
                  <c:v>1.3333333333333357</c:v>
                </c:pt>
                <c:pt idx="208">
                  <c:v>8.3333333333333357</c:v>
                </c:pt>
                <c:pt idx="209">
                  <c:v>3</c:v>
                </c:pt>
                <c:pt idx="210">
                  <c:v>4.6666666666666643</c:v>
                </c:pt>
                <c:pt idx="211">
                  <c:v>9</c:v>
                </c:pt>
                <c:pt idx="212">
                  <c:v>1</c:v>
                </c:pt>
                <c:pt idx="213">
                  <c:v>8.6666666666666643</c:v>
                </c:pt>
                <c:pt idx="214">
                  <c:v>3.3333333333333357</c:v>
                </c:pt>
                <c:pt idx="215">
                  <c:v>2.3333333333333357</c:v>
                </c:pt>
                <c:pt idx="216">
                  <c:v>2.6666666666666643</c:v>
                </c:pt>
                <c:pt idx="217">
                  <c:v>22</c:v>
                </c:pt>
                <c:pt idx="218">
                  <c:v>5.3333333333333357</c:v>
                </c:pt>
                <c:pt idx="219">
                  <c:v>17.666666666666664</c:v>
                </c:pt>
                <c:pt idx="220">
                  <c:v>9.6666666666666643</c:v>
                </c:pt>
                <c:pt idx="221">
                  <c:v>5</c:v>
                </c:pt>
                <c:pt idx="222">
                  <c:v>9.3333333333333357</c:v>
                </c:pt>
                <c:pt idx="223">
                  <c:v>2.6666666666666643</c:v>
                </c:pt>
                <c:pt idx="224">
                  <c:v>2</c:v>
                </c:pt>
                <c:pt idx="225">
                  <c:v>9</c:v>
                </c:pt>
                <c:pt idx="226">
                  <c:v>3.3333333333333357</c:v>
                </c:pt>
                <c:pt idx="227">
                  <c:v>4</c:v>
                </c:pt>
                <c:pt idx="228">
                  <c:v>5</c:v>
                </c:pt>
                <c:pt idx="229">
                  <c:v>9.6666666666666643</c:v>
                </c:pt>
                <c:pt idx="230">
                  <c:v>3.3333333333333357</c:v>
                </c:pt>
                <c:pt idx="231">
                  <c:v>2.6666666666666643</c:v>
                </c:pt>
                <c:pt idx="232">
                  <c:v>7.6666666666666643</c:v>
                </c:pt>
                <c:pt idx="233">
                  <c:v>3.3333333333333357</c:v>
                </c:pt>
                <c:pt idx="234">
                  <c:v>3.3333333333333357</c:v>
                </c:pt>
                <c:pt idx="235">
                  <c:v>5</c:v>
                </c:pt>
                <c:pt idx="236">
                  <c:v>2.3333333333333357</c:v>
                </c:pt>
                <c:pt idx="237">
                  <c:v>7</c:v>
                </c:pt>
                <c:pt idx="238">
                  <c:v>6.3333333333333357</c:v>
                </c:pt>
                <c:pt idx="239">
                  <c:v>6.3333333333333357</c:v>
                </c:pt>
                <c:pt idx="240">
                  <c:v>4.3333333333333357</c:v>
                </c:pt>
                <c:pt idx="241">
                  <c:v>6.6666666666666643</c:v>
                </c:pt>
                <c:pt idx="242">
                  <c:v>3.6666666666666643</c:v>
                </c:pt>
                <c:pt idx="243">
                  <c:v>0.6666666666666643</c:v>
                </c:pt>
                <c:pt idx="244">
                  <c:v>7.3333333333333357</c:v>
                </c:pt>
                <c:pt idx="245">
                  <c:v>27</c:v>
                </c:pt>
                <c:pt idx="246">
                  <c:v>10</c:v>
                </c:pt>
                <c:pt idx="247">
                  <c:v>6.6666666666666643</c:v>
                </c:pt>
                <c:pt idx="248">
                  <c:v>1</c:v>
                </c:pt>
                <c:pt idx="249">
                  <c:v>0.3333333333333357</c:v>
                </c:pt>
                <c:pt idx="250">
                  <c:v>0.6666666666666643</c:v>
                </c:pt>
                <c:pt idx="251">
                  <c:v>10.666666666666664</c:v>
                </c:pt>
                <c:pt idx="252">
                  <c:v>15.333333333333336</c:v>
                </c:pt>
                <c:pt idx="253">
                  <c:v>2</c:v>
                </c:pt>
                <c:pt idx="254">
                  <c:v>3.6666666666666643</c:v>
                </c:pt>
                <c:pt idx="255">
                  <c:v>5.3333333333333357</c:v>
                </c:pt>
                <c:pt idx="256">
                  <c:v>4.3333333333333357</c:v>
                </c:pt>
                <c:pt idx="257">
                  <c:v>11.666666666666664</c:v>
                </c:pt>
                <c:pt idx="258">
                  <c:v>3</c:v>
                </c:pt>
                <c:pt idx="259">
                  <c:v>17.333333333333336</c:v>
                </c:pt>
                <c:pt idx="260">
                  <c:v>0.6666666666666643</c:v>
                </c:pt>
                <c:pt idx="261">
                  <c:v>6.3333333333333357</c:v>
                </c:pt>
                <c:pt idx="262">
                  <c:v>4</c:v>
                </c:pt>
                <c:pt idx="263">
                  <c:v>11.666666666666664</c:v>
                </c:pt>
                <c:pt idx="264">
                  <c:v>10</c:v>
                </c:pt>
                <c:pt idx="265">
                  <c:v>4</c:v>
                </c:pt>
                <c:pt idx="266">
                  <c:v>22</c:v>
                </c:pt>
                <c:pt idx="267">
                  <c:v>7.3333333333333357</c:v>
                </c:pt>
                <c:pt idx="268">
                  <c:v>17</c:v>
                </c:pt>
                <c:pt idx="269">
                  <c:v>14.333333333333336</c:v>
                </c:pt>
                <c:pt idx="270">
                  <c:v>7.3333333333333357</c:v>
                </c:pt>
                <c:pt idx="271">
                  <c:v>4.6666666666666643</c:v>
                </c:pt>
                <c:pt idx="272">
                  <c:v>7.6666666666666643</c:v>
                </c:pt>
                <c:pt idx="273">
                  <c:v>10</c:v>
                </c:pt>
                <c:pt idx="274">
                  <c:v>2.3333333333333357</c:v>
                </c:pt>
                <c:pt idx="275">
                  <c:v>2</c:v>
                </c:pt>
                <c:pt idx="276">
                  <c:v>3</c:v>
                </c:pt>
                <c:pt idx="277">
                  <c:v>6</c:v>
                </c:pt>
                <c:pt idx="278">
                  <c:v>8.3333333333333357</c:v>
                </c:pt>
                <c:pt idx="279">
                  <c:v>6</c:v>
                </c:pt>
                <c:pt idx="280">
                  <c:v>2.6666666666666643</c:v>
                </c:pt>
                <c:pt idx="281">
                  <c:v>2</c:v>
                </c:pt>
                <c:pt idx="282">
                  <c:v>6.6666666666666643</c:v>
                </c:pt>
                <c:pt idx="283">
                  <c:v>2.3333333333333357</c:v>
                </c:pt>
                <c:pt idx="284">
                  <c:v>4.6666666666666643</c:v>
                </c:pt>
                <c:pt idx="285">
                  <c:v>7</c:v>
                </c:pt>
                <c:pt idx="286">
                  <c:v>15.333333333333336</c:v>
                </c:pt>
                <c:pt idx="287">
                  <c:v>6.3333333333333357</c:v>
                </c:pt>
                <c:pt idx="288">
                  <c:v>4.6666666666666643</c:v>
                </c:pt>
                <c:pt idx="289">
                  <c:v>3.6666666666666643</c:v>
                </c:pt>
                <c:pt idx="290">
                  <c:v>4.3333333333333357</c:v>
                </c:pt>
                <c:pt idx="291">
                  <c:v>2.3333333333333357</c:v>
                </c:pt>
                <c:pt idx="292">
                  <c:v>5.3333333333333357</c:v>
                </c:pt>
                <c:pt idx="293">
                  <c:v>3.6666666666666643</c:v>
                </c:pt>
                <c:pt idx="294">
                  <c:v>5.3333333333333357</c:v>
                </c:pt>
                <c:pt idx="295">
                  <c:v>6</c:v>
                </c:pt>
                <c:pt idx="296">
                  <c:v>4.3333333333333357</c:v>
                </c:pt>
                <c:pt idx="297">
                  <c:v>5</c:v>
                </c:pt>
                <c:pt idx="298">
                  <c:v>1.6666666666666643</c:v>
                </c:pt>
                <c:pt idx="299">
                  <c:v>3.6666666666666643</c:v>
                </c:pt>
                <c:pt idx="300">
                  <c:v>9.6666666666666643</c:v>
                </c:pt>
                <c:pt idx="301">
                  <c:v>9</c:v>
                </c:pt>
                <c:pt idx="302">
                  <c:v>0.3333333333333357</c:v>
                </c:pt>
                <c:pt idx="303">
                  <c:v>9</c:v>
                </c:pt>
                <c:pt idx="304">
                  <c:v>4.3333333333333357</c:v>
                </c:pt>
                <c:pt idx="305">
                  <c:v>5.6666666666666643</c:v>
                </c:pt>
                <c:pt idx="306">
                  <c:v>2.6666666666666643</c:v>
                </c:pt>
                <c:pt idx="307">
                  <c:v>4.6666666666666643</c:v>
                </c:pt>
                <c:pt idx="308">
                  <c:v>4.6666666666666643</c:v>
                </c:pt>
                <c:pt idx="309">
                  <c:v>14.333333333333336</c:v>
                </c:pt>
                <c:pt idx="310">
                  <c:v>3</c:v>
                </c:pt>
                <c:pt idx="311">
                  <c:v>3.3333333333333357</c:v>
                </c:pt>
                <c:pt idx="312">
                  <c:v>6</c:v>
                </c:pt>
                <c:pt idx="313">
                  <c:v>5.6666666666666643</c:v>
                </c:pt>
                <c:pt idx="314">
                  <c:v>6.6666666666666643</c:v>
                </c:pt>
                <c:pt idx="315">
                  <c:v>2.6666666666666643</c:v>
                </c:pt>
                <c:pt idx="316">
                  <c:v>4.3333333333333357</c:v>
                </c:pt>
                <c:pt idx="317">
                  <c:v>6.6666666666666643</c:v>
                </c:pt>
                <c:pt idx="318">
                  <c:v>5</c:v>
                </c:pt>
                <c:pt idx="319">
                  <c:v>1.6666666666666643</c:v>
                </c:pt>
                <c:pt idx="320">
                  <c:v>2.3333333333333357</c:v>
                </c:pt>
                <c:pt idx="321">
                  <c:v>5</c:v>
                </c:pt>
                <c:pt idx="322">
                  <c:v>4.6666666666666643</c:v>
                </c:pt>
                <c:pt idx="323">
                  <c:v>9</c:v>
                </c:pt>
                <c:pt idx="324">
                  <c:v>10.333333333333336</c:v>
                </c:pt>
                <c:pt idx="325">
                  <c:v>2.6666666666666643</c:v>
                </c:pt>
                <c:pt idx="326">
                  <c:v>7.3333333333333357</c:v>
                </c:pt>
                <c:pt idx="327">
                  <c:v>12</c:v>
                </c:pt>
                <c:pt idx="328">
                  <c:v>2</c:v>
                </c:pt>
                <c:pt idx="329">
                  <c:v>3.6666666666666643</c:v>
                </c:pt>
                <c:pt idx="330">
                  <c:v>1.3333333333333357</c:v>
                </c:pt>
                <c:pt idx="331">
                  <c:v>3.3333333333333357</c:v>
                </c:pt>
                <c:pt idx="332">
                  <c:v>2.3333333333333357</c:v>
                </c:pt>
                <c:pt idx="333">
                  <c:v>4.6666666666666643</c:v>
                </c:pt>
                <c:pt idx="334">
                  <c:v>5</c:v>
                </c:pt>
                <c:pt idx="335">
                  <c:v>2.3333333333333357</c:v>
                </c:pt>
                <c:pt idx="336">
                  <c:v>15</c:v>
                </c:pt>
                <c:pt idx="337">
                  <c:v>3</c:v>
                </c:pt>
                <c:pt idx="338">
                  <c:v>0</c:v>
                </c:pt>
                <c:pt idx="339">
                  <c:v>5.6666666666666643</c:v>
                </c:pt>
                <c:pt idx="340">
                  <c:v>7.3333333333333357</c:v>
                </c:pt>
                <c:pt idx="341">
                  <c:v>0</c:v>
                </c:pt>
                <c:pt idx="342">
                  <c:v>14.666666666666664</c:v>
                </c:pt>
                <c:pt idx="343">
                  <c:v>3.6666666666666643</c:v>
                </c:pt>
                <c:pt idx="344">
                  <c:v>0.3333333333333357</c:v>
                </c:pt>
                <c:pt idx="345">
                  <c:v>11</c:v>
                </c:pt>
                <c:pt idx="346">
                  <c:v>1</c:v>
                </c:pt>
                <c:pt idx="347">
                  <c:v>3.6666666666666643</c:v>
                </c:pt>
                <c:pt idx="348">
                  <c:v>16</c:v>
                </c:pt>
                <c:pt idx="349">
                  <c:v>5</c:v>
                </c:pt>
                <c:pt idx="350">
                  <c:v>7.3333333333333357</c:v>
                </c:pt>
                <c:pt idx="351">
                  <c:v>11.333333333333336</c:v>
                </c:pt>
                <c:pt idx="352">
                  <c:v>6</c:v>
                </c:pt>
                <c:pt idx="353">
                  <c:v>1.6666666666666643</c:v>
                </c:pt>
                <c:pt idx="354">
                  <c:v>1.6666666666666643</c:v>
                </c:pt>
                <c:pt idx="355">
                  <c:v>11.666666666666664</c:v>
                </c:pt>
                <c:pt idx="356">
                  <c:v>6.6666666666666643</c:v>
                </c:pt>
                <c:pt idx="357">
                  <c:v>4.6666666666666643</c:v>
                </c:pt>
                <c:pt idx="358">
                  <c:v>6</c:v>
                </c:pt>
                <c:pt idx="359">
                  <c:v>5</c:v>
                </c:pt>
                <c:pt idx="360">
                  <c:v>6.6666666666666643</c:v>
                </c:pt>
                <c:pt idx="361">
                  <c:v>1.6666666666666643</c:v>
                </c:pt>
                <c:pt idx="362">
                  <c:v>13.666666666666664</c:v>
                </c:pt>
                <c:pt idx="363">
                  <c:v>7</c:v>
                </c:pt>
                <c:pt idx="364">
                  <c:v>9.3333333333333357</c:v>
                </c:pt>
                <c:pt idx="365">
                  <c:v>1.6666666666666643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91-4F64-B0C7-7D118A7B5C9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'Moving Average'!$A$1:$A$366</c:f>
              <c:strCache>
                <c:ptCount val="366"/>
                <c:pt idx="0">
                  <c:v>Date</c:v>
                </c:pt>
                <c:pt idx="1">
                  <c:v>1/1/1959</c:v>
                </c:pt>
                <c:pt idx="2">
                  <c:v>2/1/1959</c:v>
                </c:pt>
                <c:pt idx="3">
                  <c:v>3/1/1959</c:v>
                </c:pt>
                <c:pt idx="4">
                  <c:v>4/1/1959</c:v>
                </c:pt>
                <c:pt idx="5">
                  <c:v>5/1/1959</c:v>
                </c:pt>
                <c:pt idx="6">
                  <c:v>6/1/1959</c:v>
                </c:pt>
                <c:pt idx="7">
                  <c:v>7/1/1959</c:v>
                </c:pt>
                <c:pt idx="8">
                  <c:v>8/1/1959</c:v>
                </c:pt>
                <c:pt idx="9">
                  <c:v>9/1/1959</c:v>
                </c:pt>
                <c:pt idx="10">
                  <c:v>10/1/1959</c:v>
                </c:pt>
                <c:pt idx="11">
                  <c:v>11/1/1959</c:v>
                </c:pt>
                <c:pt idx="12">
                  <c:v>12/1/1959</c:v>
                </c:pt>
                <c:pt idx="13">
                  <c:v>13/1/1959</c:v>
                </c:pt>
                <c:pt idx="14">
                  <c:v>14/1/1959</c:v>
                </c:pt>
                <c:pt idx="15">
                  <c:v>15/1/1959</c:v>
                </c:pt>
                <c:pt idx="16">
                  <c:v>16/1/1959</c:v>
                </c:pt>
                <c:pt idx="17">
                  <c:v>17/1/1959</c:v>
                </c:pt>
                <c:pt idx="18">
                  <c:v>18/1/1959</c:v>
                </c:pt>
                <c:pt idx="19">
                  <c:v>19/1/1959</c:v>
                </c:pt>
                <c:pt idx="20">
                  <c:v>20/1/1959</c:v>
                </c:pt>
                <c:pt idx="21">
                  <c:v>21/1/1959</c:v>
                </c:pt>
                <c:pt idx="22">
                  <c:v>22/1/1959</c:v>
                </c:pt>
                <c:pt idx="23">
                  <c:v>23/1/1959</c:v>
                </c:pt>
                <c:pt idx="24">
                  <c:v>24/1/1959</c:v>
                </c:pt>
                <c:pt idx="25">
                  <c:v>25/1/1959</c:v>
                </c:pt>
                <c:pt idx="26">
                  <c:v>26/1/1959</c:v>
                </c:pt>
                <c:pt idx="27">
                  <c:v>27/1/1959</c:v>
                </c:pt>
                <c:pt idx="28">
                  <c:v>28/1/1959</c:v>
                </c:pt>
                <c:pt idx="29">
                  <c:v>29/1/1959</c:v>
                </c:pt>
                <c:pt idx="30">
                  <c:v>30/1/1959</c:v>
                </c:pt>
                <c:pt idx="31">
                  <c:v>31/1/1959</c:v>
                </c:pt>
                <c:pt idx="32">
                  <c:v>1/2/1959</c:v>
                </c:pt>
                <c:pt idx="33">
                  <c:v>2/2/1959</c:v>
                </c:pt>
                <c:pt idx="34">
                  <c:v>3/2/1959</c:v>
                </c:pt>
                <c:pt idx="35">
                  <c:v>4/2/1959</c:v>
                </c:pt>
                <c:pt idx="36">
                  <c:v>5/2/1959</c:v>
                </c:pt>
                <c:pt idx="37">
                  <c:v>6/2/1959</c:v>
                </c:pt>
                <c:pt idx="38">
                  <c:v>7/2/1959</c:v>
                </c:pt>
                <c:pt idx="39">
                  <c:v>8/2/1959</c:v>
                </c:pt>
                <c:pt idx="40">
                  <c:v>9/2/1959</c:v>
                </c:pt>
                <c:pt idx="41">
                  <c:v>10/2/1959</c:v>
                </c:pt>
                <c:pt idx="42">
                  <c:v>11/2/1959</c:v>
                </c:pt>
                <c:pt idx="43">
                  <c:v>12/2/1959</c:v>
                </c:pt>
                <c:pt idx="44">
                  <c:v>13/2/1959</c:v>
                </c:pt>
                <c:pt idx="45">
                  <c:v>14/2/1959</c:v>
                </c:pt>
                <c:pt idx="46">
                  <c:v>15/2/1959</c:v>
                </c:pt>
                <c:pt idx="47">
                  <c:v>16/2/1959</c:v>
                </c:pt>
                <c:pt idx="48">
                  <c:v>17/2/1959</c:v>
                </c:pt>
                <c:pt idx="49">
                  <c:v>18/2/1959</c:v>
                </c:pt>
                <c:pt idx="50">
                  <c:v>19/2/1959</c:v>
                </c:pt>
                <c:pt idx="51">
                  <c:v>20/2/1959</c:v>
                </c:pt>
                <c:pt idx="52">
                  <c:v>21/2/1959</c:v>
                </c:pt>
                <c:pt idx="53">
                  <c:v>22/2/1959</c:v>
                </c:pt>
                <c:pt idx="54">
                  <c:v>23/2/1959</c:v>
                </c:pt>
                <c:pt idx="55">
                  <c:v>24/2/1959</c:v>
                </c:pt>
                <c:pt idx="56">
                  <c:v>25/2/1959</c:v>
                </c:pt>
                <c:pt idx="57">
                  <c:v>26/2/1959</c:v>
                </c:pt>
                <c:pt idx="58">
                  <c:v>27/2/1959</c:v>
                </c:pt>
                <c:pt idx="59">
                  <c:v>28/2/1959</c:v>
                </c:pt>
                <c:pt idx="60">
                  <c:v>1/3/1959</c:v>
                </c:pt>
                <c:pt idx="61">
                  <c:v>2/3/1959</c:v>
                </c:pt>
                <c:pt idx="62">
                  <c:v>3/3/1959</c:v>
                </c:pt>
                <c:pt idx="63">
                  <c:v>4/3/1959</c:v>
                </c:pt>
                <c:pt idx="64">
                  <c:v>5/3/1959</c:v>
                </c:pt>
                <c:pt idx="65">
                  <c:v>6/3/1959</c:v>
                </c:pt>
                <c:pt idx="66">
                  <c:v>7/3/1959</c:v>
                </c:pt>
                <c:pt idx="67">
                  <c:v>8/3/1959</c:v>
                </c:pt>
                <c:pt idx="68">
                  <c:v>9/3/1959</c:v>
                </c:pt>
                <c:pt idx="69">
                  <c:v>10/3/1959</c:v>
                </c:pt>
                <c:pt idx="70">
                  <c:v>11/3/1959</c:v>
                </c:pt>
                <c:pt idx="71">
                  <c:v>12/3/1959</c:v>
                </c:pt>
                <c:pt idx="72">
                  <c:v>13/3/1959</c:v>
                </c:pt>
                <c:pt idx="73">
                  <c:v>14/3/1959</c:v>
                </c:pt>
                <c:pt idx="74">
                  <c:v>15/3/1959</c:v>
                </c:pt>
                <c:pt idx="75">
                  <c:v>16/3/1959</c:v>
                </c:pt>
                <c:pt idx="76">
                  <c:v>17/3/1959</c:v>
                </c:pt>
                <c:pt idx="77">
                  <c:v>18/3/1959</c:v>
                </c:pt>
                <c:pt idx="78">
                  <c:v>19/3/1959</c:v>
                </c:pt>
                <c:pt idx="79">
                  <c:v>20/3/1959</c:v>
                </c:pt>
                <c:pt idx="80">
                  <c:v>21/3/1959</c:v>
                </c:pt>
                <c:pt idx="81">
                  <c:v>22/3/1959</c:v>
                </c:pt>
                <c:pt idx="82">
                  <c:v>23/3/1959</c:v>
                </c:pt>
                <c:pt idx="83">
                  <c:v>24/3/1959</c:v>
                </c:pt>
                <c:pt idx="84">
                  <c:v>25/3/1959</c:v>
                </c:pt>
                <c:pt idx="85">
                  <c:v>26/3/1959</c:v>
                </c:pt>
                <c:pt idx="86">
                  <c:v>27/3/1959</c:v>
                </c:pt>
                <c:pt idx="87">
                  <c:v>28/3/1959</c:v>
                </c:pt>
                <c:pt idx="88">
                  <c:v>29/3/1959</c:v>
                </c:pt>
                <c:pt idx="89">
                  <c:v>30/3/1959</c:v>
                </c:pt>
                <c:pt idx="90">
                  <c:v>31/3/1959</c:v>
                </c:pt>
                <c:pt idx="91">
                  <c:v>1/4/1959</c:v>
                </c:pt>
                <c:pt idx="92">
                  <c:v>2/4/1959</c:v>
                </c:pt>
                <c:pt idx="93">
                  <c:v>3/4/1959</c:v>
                </c:pt>
                <c:pt idx="94">
                  <c:v>4/4/1959</c:v>
                </c:pt>
                <c:pt idx="95">
                  <c:v>5/4/1959</c:v>
                </c:pt>
                <c:pt idx="96">
                  <c:v>6/4/1959</c:v>
                </c:pt>
                <c:pt idx="97">
                  <c:v>7/4/1959</c:v>
                </c:pt>
                <c:pt idx="98">
                  <c:v>8/4/1959</c:v>
                </c:pt>
                <c:pt idx="99">
                  <c:v>9/4/1959</c:v>
                </c:pt>
                <c:pt idx="100">
                  <c:v>10/4/1959</c:v>
                </c:pt>
                <c:pt idx="101">
                  <c:v>11/4/1959</c:v>
                </c:pt>
                <c:pt idx="102">
                  <c:v>12/4/1959</c:v>
                </c:pt>
                <c:pt idx="103">
                  <c:v>13/4/1959</c:v>
                </c:pt>
                <c:pt idx="104">
                  <c:v>14/4/1959</c:v>
                </c:pt>
                <c:pt idx="105">
                  <c:v>15/4/1959</c:v>
                </c:pt>
                <c:pt idx="106">
                  <c:v>16/4/1959</c:v>
                </c:pt>
                <c:pt idx="107">
                  <c:v>17/4/1959</c:v>
                </c:pt>
                <c:pt idx="108">
                  <c:v>18/4/1959</c:v>
                </c:pt>
                <c:pt idx="109">
                  <c:v>19/4/1959</c:v>
                </c:pt>
                <c:pt idx="110">
                  <c:v>20/4/1959</c:v>
                </c:pt>
                <c:pt idx="111">
                  <c:v>21/4/1959</c:v>
                </c:pt>
                <c:pt idx="112">
                  <c:v>22/4/1959</c:v>
                </c:pt>
                <c:pt idx="113">
                  <c:v>23/4/1959</c:v>
                </c:pt>
                <c:pt idx="114">
                  <c:v>24/4/1959</c:v>
                </c:pt>
                <c:pt idx="115">
                  <c:v>25/4/1959</c:v>
                </c:pt>
                <c:pt idx="116">
                  <c:v>26/4/1959</c:v>
                </c:pt>
                <c:pt idx="117">
                  <c:v>27/4/1959</c:v>
                </c:pt>
                <c:pt idx="118">
                  <c:v>28/4/1959</c:v>
                </c:pt>
                <c:pt idx="119">
                  <c:v>29/4/1959</c:v>
                </c:pt>
                <c:pt idx="120">
                  <c:v>30/4/1959</c:v>
                </c:pt>
                <c:pt idx="121">
                  <c:v>1/5/1959</c:v>
                </c:pt>
                <c:pt idx="122">
                  <c:v>2/5/1959</c:v>
                </c:pt>
                <c:pt idx="123">
                  <c:v>3/5/1959</c:v>
                </c:pt>
                <c:pt idx="124">
                  <c:v>4/5/1959</c:v>
                </c:pt>
                <c:pt idx="125">
                  <c:v>5/5/1959</c:v>
                </c:pt>
                <c:pt idx="126">
                  <c:v>6/5/1959</c:v>
                </c:pt>
                <c:pt idx="127">
                  <c:v>7/5/1959</c:v>
                </c:pt>
                <c:pt idx="128">
                  <c:v>8/5/1959</c:v>
                </c:pt>
                <c:pt idx="129">
                  <c:v>9/5/1959</c:v>
                </c:pt>
                <c:pt idx="130">
                  <c:v>10/5/1959</c:v>
                </c:pt>
                <c:pt idx="131">
                  <c:v>11/5/1959</c:v>
                </c:pt>
                <c:pt idx="132">
                  <c:v>12/5/1959</c:v>
                </c:pt>
                <c:pt idx="133">
                  <c:v>13/5/1959</c:v>
                </c:pt>
                <c:pt idx="134">
                  <c:v>14/5/1959</c:v>
                </c:pt>
                <c:pt idx="135">
                  <c:v>15/5/1959</c:v>
                </c:pt>
                <c:pt idx="136">
                  <c:v>16/5/1959</c:v>
                </c:pt>
                <c:pt idx="137">
                  <c:v>17/5/1959</c:v>
                </c:pt>
                <c:pt idx="138">
                  <c:v>18/5/1959</c:v>
                </c:pt>
                <c:pt idx="139">
                  <c:v>19/5/1959</c:v>
                </c:pt>
                <c:pt idx="140">
                  <c:v>20/5/1959</c:v>
                </c:pt>
                <c:pt idx="141">
                  <c:v>21/5/1959</c:v>
                </c:pt>
                <c:pt idx="142">
                  <c:v>22/5/1959</c:v>
                </c:pt>
                <c:pt idx="143">
                  <c:v>23/5/1959</c:v>
                </c:pt>
                <c:pt idx="144">
                  <c:v>24/5/1959</c:v>
                </c:pt>
                <c:pt idx="145">
                  <c:v>25/5/1959</c:v>
                </c:pt>
                <c:pt idx="146">
                  <c:v>26/5/1959</c:v>
                </c:pt>
                <c:pt idx="147">
                  <c:v>27/5/1959</c:v>
                </c:pt>
                <c:pt idx="148">
                  <c:v>28/5/1959</c:v>
                </c:pt>
                <c:pt idx="149">
                  <c:v>29/5/1959</c:v>
                </c:pt>
                <c:pt idx="150">
                  <c:v>30/5/1959</c:v>
                </c:pt>
                <c:pt idx="151">
                  <c:v>31/5/1959</c:v>
                </c:pt>
                <c:pt idx="152">
                  <c:v>1/6/1959</c:v>
                </c:pt>
                <c:pt idx="153">
                  <c:v>2/6/1959</c:v>
                </c:pt>
                <c:pt idx="154">
                  <c:v>3/6/1959</c:v>
                </c:pt>
                <c:pt idx="155">
                  <c:v>4/6/1959</c:v>
                </c:pt>
                <c:pt idx="156">
                  <c:v>5/6/1959</c:v>
                </c:pt>
                <c:pt idx="157">
                  <c:v>6/6/1959</c:v>
                </c:pt>
                <c:pt idx="158">
                  <c:v>7/6/1959</c:v>
                </c:pt>
                <c:pt idx="159">
                  <c:v>8/6/1959</c:v>
                </c:pt>
                <c:pt idx="160">
                  <c:v>9/6/1959</c:v>
                </c:pt>
                <c:pt idx="161">
                  <c:v>10/6/1959</c:v>
                </c:pt>
                <c:pt idx="162">
                  <c:v>11/6/1959</c:v>
                </c:pt>
                <c:pt idx="163">
                  <c:v>12/6/1959</c:v>
                </c:pt>
                <c:pt idx="164">
                  <c:v>13/6/1959</c:v>
                </c:pt>
                <c:pt idx="165">
                  <c:v>14/6/1959</c:v>
                </c:pt>
                <c:pt idx="166">
                  <c:v>15/6/1959</c:v>
                </c:pt>
                <c:pt idx="167">
                  <c:v>16/6/1959</c:v>
                </c:pt>
                <c:pt idx="168">
                  <c:v>17/6/1959</c:v>
                </c:pt>
                <c:pt idx="169">
                  <c:v>18/6/1959</c:v>
                </c:pt>
                <c:pt idx="170">
                  <c:v>19/6/1959</c:v>
                </c:pt>
                <c:pt idx="171">
                  <c:v>20/6/1959</c:v>
                </c:pt>
                <c:pt idx="172">
                  <c:v>21/6/1959</c:v>
                </c:pt>
                <c:pt idx="173">
                  <c:v>22/6/1959</c:v>
                </c:pt>
                <c:pt idx="174">
                  <c:v>23/6/1959</c:v>
                </c:pt>
                <c:pt idx="175">
                  <c:v>24/6/1959</c:v>
                </c:pt>
                <c:pt idx="176">
                  <c:v>25/6/1959</c:v>
                </c:pt>
                <c:pt idx="177">
                  <c:v>26/6/1959</c:v>
                </c:pt>
                <c:pt idx="178">
                  <c:v>27/6/1959</c:v>
                </c:pt>
                <c:pt idx="179">
                  <c:v>28/6/1959</c:v>
                </c:pt>
                <c:pt idx="180">
                  <c:v>29/6/1959</c:v>
                </c:pt>
                <c:pt idx="181">
                  <c:v>30/6/1959</c:v>
                </c:pt>
                <c:pt idx="182">
                  <c:v>1/7/1959</c:v>
                </c:pt>
                <c:pt idx="183">
                  <c:v>2/7/1959</c:v>
                </c:pt>
                <c:pt idx="184">
                  <c:v>3/7/1959</c:v>
                </c:pt>
                <c:pt idx="185">
                  <c:v>4/7/1959</c:v>
                </c:pt>
                <c:pt idx="186">
                  <c:v>5/7/1959</c:v>
                </c:pt>
                <c:pt idx="187">
                  <c:v>6/7/1959</c:v>
                </c:pt>
                <c:pt idx="188">
                  <c:v>7/7/1959</c:v>
                </c:pt>
                <c:pt idx="189">
                  <c:v>8/7/1959</c:v>
                </c:pt>
                <c:pt idx="190">
                  <c:v>9/7/1959</c:v>
                </c:pt>
                <c:pt idx="191">
                  <c:v>10/7/1959</c:v>
                </c:pt>
                <c:pt idx="192">
                  <c:v>11/7/1959</c:v>
                </c:pt>
                <c:pt idx="193">
                  <c:v>12/7/1959</c:v>
                </c:pt>
                <c:pt idx="194">
                  <c:v>13/7/1959</c:v>
                </c:pt>
                <c:pt idx="195">
                  <c:v>14/7/1959</c:v>
                </c:pt>
                <c:pt idx="196">
                  <c:v>15/7/1959</c:v>
                </c:pt>
                <c:pt idx="197">
                  <c:v>16/7/1959</c:v>
                </c:pt>
                <c:pt idx="198">
                  <c:v>17/7/1959</c:v>
                </c:pt>
                <c:pt idx="199">
                  <c:v>18/7/1959</c:v>
                </c:pt>
                <c:pt idx="200">
                  <c:v>19/7/1959</c:v>
                </c:pt>
                <c:pt idx="201">
                  <c:v>20/7/1959</c:v>
                </c:pt>
                <c:pt idx="202">
                  <c:v>21/7/1959</c:v>
                </c:pt>
                <c:pt idx="203">
                  <c:v>22/7/1959</c:v>
                </c:pt>
                <c:pt idx="204">
                  <c:v>23/7/1959</c:v>
                </c:pt>
                <c:pt idx="205">
                  <c:v>24/7/1959</c:v>
                </c:pt>
                <c:pt idx="206">
                  <c:v>25/7/1959</c:v>
                </c:pt>
                <c:pt idx="207">
                  <c:v>26/7/1959</c:v>
                </c:pt>
                <c:pt idx="208">
                  <c:v>27/7/1959</c:v>
                </c:pt>
                <c:pt idx="209">
                  <c:v>28/7/1959</c:v>
                </c:pt>
                <c:pt idx="210">
                  <c:v>29/7/1959</c:v>
                </c:pt>
                <c:pt idx="211">
                  <c:v>30/7/1959</c:v>
                </c:pt>
                <c:pt idx="212">
                  <c:v>31/7/1959</c:v>
                </c:pt>
                <c:pt idx="213">
                  <c:v>1/8/1959</c:v>
                </c:pt>
                <c:pt idx="214">
                  <c:v>2/8/1959</c:v>
                </c:pt>
                <c:pt idx="215">
                  <c:v>3/8/1959</c:v>
                </c:pt>
                <c:pt idx="216">
                  <c:v>4/8/1959</c:v>
                </c:pt>
                <c:pt idx="217">
                  <c:v>5/8/1959</c:v>
                </c:pt>
                <c:pt idx="218">
                  <c:v>6/8/1959</c:v>
                </c:pt>
                <c:pt idx="219">
                  <c:v>7/8/1959</c:v>
                </c:pt>
                <c:pt idx="220">
                  <c:v>8/8/1959</c:v>
                </c:pt>
                <c:pt idx="221">
                  <c:v>9/8/1959</c:v>
                </c:pt>
                <c:pt idx="222">
                  <c:v>10/8/1959</c:v>
                </c:pt>
                <c:pt idx="223">
                  <c:v>11/8/1959</c:v>
                </c:pt>
                <c:pt idx="224">
                  <c:v>12/8/1959</c:v>
                </c:pt>
                <c:pt idx="225">
                  <c:v>13/8/1959</c:v>
                </c:pt>
                <c:pt idx="226">
                  <c:v>14/8/1959</c:v>
                </c:pt>
                <c:pt idx="227">
                  <c:v>15/8/1959</c:v>
                </c:pt>
                <c:pt idx="228">
                  <c:v>16/8/1959</c:v>
                </c:pt>
                <c:pt idx="229">
                  <c:v>17/8/1959</c:v>
                </c:pt>
                <c:pt idx="230">
                  <c:v>18/8/1959</c:v>
                </c:pt>
                <c:pt idx="231">
                  <c:v>19/8/1959</c:v>
                </c:pt>
                <c:pt idx="232">
                  <c:v>20/8/1959</c:v>
                </c:pt>
                <c:pt idx="233">
                  <c:v>21/8/1959</c:v>
                </c:pt>
                <c:pt idx="234">
                  <c:v>22/8/1959</c:v>
                </c:pt>
                <c:pt idx="235">
                  <c:v>23/8/1959</c:v>
                </c:pt>
                <c:pt idx="236">
                  <c:v>24/8/1959</c:v>
                </c:pt>
                <c:pt idx="237">
                  <c:v>25/8/1959</c:v>
                </c:pt>
                <c:pt idx="238">
                  <c:v>26/8/1959</c:v>
                </c:pt>
                <c:pt idx="239">
                  <c:v>27/8/1959</c:v>
                </c:pt>
                <c:pt idx="240">
                  <c:v>28/8/1959</c:v>
                </c:pt>
                <c:pt idx="241">
                  <c:v>29/8/1959</c:v>
                </c:pt>
                <c:pt idx="242">
                  <c:v>30/8/1959</c:v>
                </c:pt>
                <c:pt idx="243">
                  <c:v>31/8/1959</c:v>
                </c:pt>
                <c:pt idx="244">
                  <c:v>1/9/1959</c:v>
                </c:pt>
                <c:pt idx="245">
                  <c:v>2/9/1959</c:v>
                </c:pt>
                <c:pt idx="246">
                  <c:v>3/9/1959</c:v>
                </c:pt>
                <c:pt idx="247">
                  <c:v>4/9/1959</c:v>
                </c:pt>
                <c:pt idx="248">
                  <c:v>5/9/1959</c:v>
                </c:pt>
                <c:pt idx="249">
                  <c:v>6/9/1959</c:v>
                </c:pt>
                <c:pt idx="250">
                  <c:v>7/9/1959</c:v>
                </c:pt>
                <c:pt idx="251">
                  <c:v>8/9/1959</c:v>
                </c:pt>
                <c:pt idx="252">
                  <c:v>9/9/1959</c:v>
                </c:pt>
                <c:pt idx="253">
                  <c:v>10/9/1959</c:v>
                </c:pt>
                <c:pt idx="254">
                  <c:v>11/9/1959</c:v>
                </c:pt>
                <c:pt idx="255">
                  <c:v>12/9/1959</c:v>
                </c:pt>
                <c:pt idx="256">
                  <c:v>13/9/1959</c:v>
                </c:pt>
                <c:pt idx="257">
                  <c:v>14/9/1959</c:v>
                </c:pt>
                <c:pt idx="258">
                  <c:v>15/9/1959</c:v>
                </c:pt>
                <c:pt idx="259">
                  <c:v>16/9/1959</c:v>
                </c:pt>
                <c:pt idx="260">
                  <c:v>17/9/1959</c:v>
                </c:pt>
                <c:pt idx="261">
                  <c:v>18/9/1959</c:v>
                </c:pt>
                <c:pt idx="262">
                  <c:v>19/9/1959</c:v>
                </c:pt>
                <c:pt idx="263">
                  <c:v>20/9/1959</c:v>
                </c:pt>
                <c:pt idx="264">
                  <c:v>21/9/1959</c:v>
                </c:pt>
                <c:pt idx="265">
                  <c:v>22/9/1959</c:v>
                </c:pt>
                <c:pt idx="266">
                  <c:v>23/9/1959</c:v>
                </c:pt>
                <c:pt idx="267">
                  <c:v>24/9/1959</c:v>
                </c:pt>
                <c:pt idx="268">
                  <c:v>25/9/1959</c:v>
                </c:pt>
                <c:pt idx="269">
                  <c:v>26/9/1959</c:v>
                </c:pt>
                <c:pt idx="270">
                  <c:v>27/9/1959</c:v>
                </c:pt>
                <c:pt idx="271">
                  <c:v>28/9/1959</c:v>
                </c:pt>
                <c:pt idx="272">
                  <c:v>29/9/1959</c:v>
                </c:pt>
                <c:pt idx="273">
                  <c:v>30/9/1959</c:v>
                </c:pt>
                <c:pt idx="274">
                  <c:v>1/10/1959</c:v>
                </c:pt>
                <c:pt idx="275">
                  <c:v>2/10/1959</c:v>
                </c:pt>
                <c:pt idx="276">
                  <c:v>3/10/1959</c:v>
                </c:pt>
                <c:pt idx="277">
                  <c:v>4/10/1959</c:v>
                </c:pt>
                <c:pt idx="278">
                  <c:v>5/10/1959</c:v>
                </c:pt>
                <c:pt idx="279">
                  <c:v>6/10/1959</c:v>
                </c:pt>
                <c:pt idx="280">
                  <c:v>7/10/1959</c:v>
                </c:pt>
                <c:pt idx="281">
                  <c:v>8/10/1959</c:v>
                </c:pt>
                <c:pt idx="282">
                  <c:v>9/10/1959</c:v>
                </c:pt>
                <c:pt idx="283">
                  <c:v>10/10/1959</c:v>
                </c:pt>
                <c:pt idx="284">
                  <c:v>11/10/1959</c:v>
                </c:pt>
                <c:pt idx="285">
                  <c:v>12/10/1959</c:v>
                </c:pt>
                <c:pt idx="286">
                  <c:v>13/10/1959</c:v>
                </c:pt>
                <c:pt idx="287">
                  <c:v>14/10/1959</c:v>
                </c:pt>
                <c:pt idx="288">
                  <c:v>15/10/1959</c:v>
                </c:pt>
                <c:pt idx="289">
                  <c:v>16/10/1959</c:v>
                </c:pt>
                <c:pt idx="290">
                  <c:v>17/10/1959</c:v>
                </c:pt>
                <c:pt idx="291">
                  <c:v>18/10/1959</c:v>
                </c:pt>
                <c:pt idx="292">
                  <c:v>19/10/1959</c:v>
                </c:pt>
                <c:pt idx="293">
                  <c:v>20/10/1959</c:v>
                </c:pt>
                <c:pt idx="294">
                  <c:v>21/10/1959</c:v>
                </c:pt>
                <c:pt idx="295">
                  <c:v>22/10/1959</c:v>
                </c:pt>
                <c:pt idx="296">
                  <c:v>23/10/1959</c:v>
                </c:pt>
                <c:pt idx="297">
                  <c:v>24/10/1959</c:v>
                </c:pt>
                <c:pt idx="298">
                  <c:v>25/10/1959</c:v>
                </c:pt>
                <c:pt idx="299">
                  <c:v>26/10/1959</c:v>
                </c:pt>
                <c:pt idx="300">
                  <c:v>27/10/1959</c:v>
                </c:pt>
                <c:pt idx="301">
                  <c:v>28/10/1959</c:v>
                </c:pt>
                <c:pt idx="302">
                  <c:v>29/10/1959</c:v>
                </c:pt>
                <c:pt idx="303">
                  <c:v>30/10/1959</c:v>
                </c:pt>
                <c:pt idx="304">
                  <c:v>31/10/1959</c:v>
                </c:pt>
                <c:pt idx="305">
                  <c:v>1/11/1959</c:v>
                </c:pt>
                <c:pt idx="306">
                  <c:v>2/11/1959</c:v>
                </c:pt>
                <c:pt idx="307">
                  <c:v>3/11/1959</c:v>
                </c:pt>
                <c:pt idx="308">
                  <c:v>4/11/1959</c:v>
                </c:pt>
                <c:pt idx="309">
                  <c:v>5/11/1959</c:v>
                </c:pt>
                <c:pt idx="310">
                  <c:v>6/11/1959</c:v>
                </c:pt>
                <c:pt idx="311">
                  <c:v>7/11/1959</c:v>
                </c:pt>
                <c:pt idx="312">
                  <c:v>8/11/1959</c:v>
                </c:pt>
                <c:pt idx="313">
                  <c:v>9/11/1959</c:v>
                </c:pt>
                <c:pt idx="314">
                  <c:v>10/11/1959</c:v>
                </c:pt>
                <c:pt idx="315">
                  <c:v>11/11/1959</c:v>
                </c:pt>
                <c:pt idx="316">
                  <c:v>12/11/1959</c:v>
                </c:pt>
                <c:pt idx="317">
                  <c:v>13/11/1959</c:v>
                </c:pt>
                <c:pt idx="318">
                  <c:v>14/11/1959</c:v>
                </c:pt>
                <c:pt idx="319">
                  <c:v>15/11/1959</c:v>
                </c:pt>
                <c:pt idx="320">
                  <c:v>16/11/1959</c:v>
                </c:pt>
                <c:pt idx="321">
                  <c:v>17/11/1959</c:v>
                </c:pt>
                <c:pt idx="322">
                  <c:v>18/11/1959</c:v>
                </c:pt>
                <c:pt idx="323">
                  <c:v>19/11/1959</c:v>
                </c:pt>
                <c:pt idx="324">
                  <c:v>20/11/1959</c:v>
                </c:pt>
                <c:pt idx="325">
                  <c:v>21/11/1959</c:v>
                </c:pt>
                <c:pt idx="326">
                  <c:v>22/11/1959</c:v>
                </c:pt>
                <c:pt idx="327">
                  <c:v>23/11/1959</c:v>
                </c:pt>
                <c:pt idx="328">
                  <c:v>24/11/1959</c:v>
                </c:pt>
                <c:pt idx="329">
                  <c:v>25/11/1959</c:v>
                </c:pt>
                <c:pt idx="330">
                  <c:v>26/11/1959</c:v>
                </c:pt>
                <c:pt idx="331">
                  <c:v>27/11/1959</c:v>
                </c:pt>
                <c:pt idx="332">
                  <c:v>28/11/1959</c:v>
                </c:pt>
                <c:pt idx="333">
                  <c:v>29/11/1959</c:v>
                </c:pt>
                <c:pt idx="334">
                  <c:v>30/11/1959</c:v>
                </c:pt>
                <c:pt idx="335">
                  <c:v>1/12/1959</c:v>
                </c:pt>
                <c:pt idx="336">
                  <c:v>2/12/1959</c:v>
                </c:pt>
                <c:pt idx="337">
                  <c:v>3/12/1959</c:v>
                </c:pt>
                <c:pt idx="338">
                  <c:v>4/12/1959</c:v>
                </c:pt>
                <c:pt idx="339">
                  <c:v>5/12/1959</c:v>
                </c:pt>
                <c:pt idx="340">
                  <c:v>6/12/1959</c:v>
                </c:pt>
                <c:pt idx="341">
                  <c:v>7/12/1959</c:v>
                </c:pt>
                <c:pt idx="342">
                  <c:v>8/12/1959</c:v>
                </c:pt>
                <c:pt idx="343">
                  <c:v>9/12/1959</c:v>
                </c:pt>
                <c:pt idx="344">
                  <c:v>10/12/1959</c:v>
                </c:pt>
                <c:pt idx="345">
                  <c:v>11/12/1959</c:v>
                </c:pt>
                <c:pt idx="346">
                  <c:v>12/12/1959</c:v>
                </c:pt>
                <c:pt idx="347">
                  <c:v>13/12/1959</c:v>
                </c:pt>
                <c:pt idx="348">
                  <c:v>14/12/1959</c:v>
                </c:pt>
                <c:pt idx="349">
                  <c:v>15/12/1959</c:v>
                </c:pt>
                <c:pt idx="350">
                  <c:v>16/12/1959</c:v>
                </c:pt>
                <c:pt idx="351">
                  <c:v>17/12/1959</c:v>
                </c:pt>
                <c:pt idx="352">
                  <c:v>18/12/1959</c:v>
                </c:pt>
                <c:pt idx="353">
                  <c:v>19/12/1959</c:v>
                </c:pt>
                <c:pt idx="354">
                  <c:v>20/12/1959</c:v>
                </c:pt>
                <c:pt idx="355">
                  <c:v>21/12/1959</c:v>
                </c:pt>
                <c:pt idx="356">
                  <c:v>22/12/1959</c:v>
                </c:pt>
                <c:pt idx="357">
                  <c:v>23/12/1959</c:v>
                </c:pt>
                <c:pt idx="358">
                  <c:v>24/12/1959</c:v>
                </c:pt>
                <c:pt idx="359">
                  <c:v>25/12/1959</c:v>
                </c:pt>
                <c:pt idx="360">
                  <c:v>26/12/1959</c:v>
                </c:pt>
                <c:pt idx="361">
                  <c:v>27/12/1959</c:v>
                </c:pt>
                <c:pt idx="362">
                  <c:v>28/12/1959</c:v>
                </c:pt>
                <c:pt idx="363">
                  <c:v>29/12/1959</c:v>
                </c:pt>
                <c:pt idx="364">
                  <c:v>30/12/1959</c:v>
                </c:pt>
                <c:pt idx="365">
                  <c:v>31/12/1959</c:v>
                </c:pt>
              </c:strCache>
            </c:strRef>
          </c:cat>
          <c:val>
            <c:numRef>
              <c:f>'Moving Average'!$F$1:$F$366</c:f>
              <c:numCache>
                <c:formatCode>0.00</c:formatCode>
                <c:ptCount val="366"/>
                <c:pt idx="0" formatCode="General">
                  <c:v>0</c:v>
                </c:pt>
                <c:pt idx="4">
                  <c:v>1.7777777777777841</c:v>
                </c:pt>
                <c:pt idx="5">
                  <c:v>169</c:v>
                </c:pt>
                <c:pt idx="6">
                  <c:v>36</c:v>
                </c:pt>
                <c:pt idx="7">
                  <c:v>106.77777777777783</c:v>
                </c:pt>
                <c:pt idx="8">
                  <c:v>13.444444444444427</c:v>
                </c:pt>
                <c:pt idx="9">
                  <c:v>1</c:v>
                </c:pt>
                <c:pt idx="10">
                  <c:v>225</c:v>
                </c:pt>
                <c:pt idx="11">
                  <c:v>4</c:v>
                </c:pt>
                <c:pt idx="12">
                  <c:v>1.7777777777777841</c:v>
                </c:pt>
                <c:pt idx="13">
                  <c:v>498.77777777777789</c:v>
                </c:pt>
                <c:pt idx="14">
                  <c:v>25</c:v>
                </c:pt>
                <c:pt idx="15">
                  <c:v>0</c:v>
                </c:pt>
                <c:pt idx="16">
                  <c:v>144</c:v>
                </c:pt>
                <c:pt idx="17">
                  <c:v>49</c:v>
                </c:pt>
                <c:pt idx="18">
                  <c:v>1</c:v>
                </c:pt>
                <c:pt idx="19">
                  <c:v>5.4444444444444553</c:v>
                </c:pt>
                <c:pt idx="20">
                  <c:v>53.777777777777814</c:v>
                </c:pt>
                <c:pt idx="21">
                  <c:v>128.44444444444449</c:v>
                </c:pt>
                <c:pt idx="22">
                  <c:v>113.77777777777773</c:v>
                </c:pt>
                <c:pt idx="23">
                  <c:v>53.777777777777814</c:v>
                </c:pt>
                <c:pt idx="24">
                  <c:v>100</c:v>
                </c:pt>
                <c:pt idx="25">
                  <c:v>18.7777777777778</c:v>
                </c:pt>
                <c:pt idx="26">
                  <c:v>49</c:v>
                </c:pt>
                <c:pt idx="27">
                  <c:v>2.7777777777777697</c:v>
                </c:pt>
                <c:pt idx="28">
                  <c:v>21.777777777777757</c:v>
                </c:pt>
                <c:pt idx="29">
                  <c:v>25</c:v>
                </c:pt>
                <c:pt idx="30">
                  <c:v>1.7777777777777841</c:v>
                </c:pt>
                <c:pt idx="31">
                  <c:v>225</c:v>
                </c:pt>
                <c:pt idx="32">
                  <c:v>152.11111111111117</c:v>
                </c:pt>
                <c:pt idx="33">
                  <c:v>7.1111111111111178</c:v>
                </c:pt>
                <c:pt idx="34">
                  <c:v>324</c:v>
                </c:pt>
                <c:pt idx="35">
                  <c:v>28.444444444444471</c:v>
                </c:pt>
                <c:pt idx="36">
                  <c:v>152.11111111111117</c:v>
                </c:pt>
                <c:pt idx="37">
                  <c:v>36</c:v>
                </c:pt>
                <c:pt idx="38">
                  <c:v>81</c:v>
                </c:pt>
                <c:pt idx="39">
                  <c:v>235.11111111111117</c:v>
                </c:pt>
                <c:pt idx="40">
                  <c:v>81</c:v>
                </c:pt>
                <c:pt idx="41">
                  <c:v>177.77777777777783</c:v>
                </c:pt>
                <c:pt idx="42">
                  <c:v>2.7777777777777697</c:v>
                </c:pt>
                <c:pt idx="43">
                  <c:v>32.111111111111086</c:v>
                </c:pt>
                <c:pt idx="44">
                  <c:v>49</c:v>
                </c:pt>
                <c:pt idx="45">
                  <c:v>100</c:v>
                </c:pt>
                <c:pt idx="46">
                  <c:v>75.111111111111072</c:v>
                </c:pt>
                <c:pt idx="47">
                  <c:v>1.7777777777777841</c:v>
                </c:pt>
                <c:pt idx="48">
                  <c:v>0.44444444444444131</c:v>
                </c:pt>
                <c:pt idx="49">
                  <c:v>4</c:v>
                </c:pt>
                <c:pt idx="50">
                  <c:v>49</c:v>
                </c:pt>
                <c:pt idx="51">
                  <c:v>21.777777777777757</c:v>
                </c:pt>
                <c:pt idx="52">
                  <c:v>53.777777777777814</c:v>
                </c:pt>
                <c:pt idx="53">
                  <c:v>40.111111111111143</c:v>
                </c:pt>
                <c:pt idx="54">
                  <c:v>144</c:v>
                </c:pt>
                <c:pt idx="55">
                  <c:v>0.44444444444444131</c:v>
                </c:pt>
                <c:pt idx="56">
                  <c:v>4</c:v>
                </c:pt>
                <c:pt idx="57">
                  <c:v>53.777777777777814</c:v>
                </c:pt>
                <c:pt idx="58">
                  <c:v>25</c:v>
                </c:pt>
                <c:pt idx="59">
                  <c:v>106.77777777777783</c:v>
                </c:pt>
                <c:pt idx="60">
                  <c:v>0.11111111111111269</c:v>
                </c:pt>
                <c:pt idx="61">
                  <c:v>36</c:v>
                </c:pt>
                <c:pt idx="62">
                  <c:v>196</c:v>
                </c:pt>
                <c:pt idx="63">
                  <c:v>4</c:v>
                </c:pt>
                <c:pt idx="64">
                  <c:v>0.11111111111111269</c:v>
                </c:pt>
                <c:pt idx="65">
                  <c:v>136.11111111111106</c:v>
                </c:pt>
                <c:pt idx="66">
                  <c:v>16</c:v>
                </c:pt>
                <c:pt idx="67">
                  <c:v>18.7777777777778</c:v>
                </c:pt>
                <c:pt idx="68">
                  <c:v>152.11111111111117</c:v>
                </c:pt>
                <c:pt idx="69">
                  <c:v>0.44444444444444131</c:v>
                </c:pt>
                <c:pt idx="70">
                  <c:v>69.444444444444485</c:v>
                </c:pt>
                <c:pt idx="71">
                  <c:v>18.7777777777778</c:v>
                </c:pt>
                <c:pt idx="72">
                  <c:v>11.111111111111127</c:v>
                </c:pt>
                <c:pt idx="73">
                  <c:v>128.44444444444449</c:v>
                </c:pt>
                <c:pt idx="74">
                  <c:v>113.77777777777773</c:v>
                </c:pt>
                <c:pt idx="75">
                  <c:v>5.4444444444444553</c:v>
                </c:pt>
                <c:pt idx="76">
                  <c:v>160.44444444444449</c:v>
                </c:pt>
                <c:pt idx="77">
                  <c:v>169</c:v>
                </c:pt>
                <c:pt idx="78">
                  <c:v>2.7777777777777697</c:v>
                </c:pt>
                <c:pt idx="79">
                  <c:v>49</c:v>
                </c:pt>
                <c:pt idx="80">
                  <c:v>16</c:v>
                </c:pt>
                <c:pt idx="81">
                  <c:v>28.444444444444471</c:v>
                </c:pt>
                <c:pt idx="82">
                  <c:v>0.44444444444444131</c:v>
                </c:pt>
                <c:pt idx="83">
                  <c:v>44.444444444444414</c:v>
                </c:pt>
                <c:pt idx="84">
                  <c:v>69.444444444444485</c:v>
                </c:pt>
                <c:pt idx="85">
                  <c:v>11.111111111111127</c:v>
                </c:pt>
                <c:pt idx="86">
                  <c:v>413.44444444444451</c:v>
                </c:pt>
                <c:pt idx="87">
                  <c:v>32.111111111111086</c:v>
                </c:pt>
                <c:pt idx="88">
                  <c:v>106.77777777777783</c:v>
                </c:pt>
                <c:pt idx="89">
                  <c:v>75.111111111111072</c:v>
                </c:pt>
                <c:pt idx="90">
                  <c:v>2.7777777777777697</c:v>
                </c:pt>
                <c:pt idx="91">
                  <c:v>4</c:v>
                </c:pt>
                <c:pt idx="92">
                  <c:v>5.4444444444444553</c:v>
                </c:pt>
                <c:pt idx="93">
                  <c:v>44.444444444444414</c:v>
                </c:pt>
                <c:pt idx="94">
                  <c:v>69.444444444444485</c:v>
                </c:pt>
                <c:pt idx="95">
                  <c:v>21.777777777777757</c:v>
                </c:pt>
                <c:pt idx="96">
                  <c:v>36</c:v>
                </c:pt>
                <c:pt idx="97">
                  <c:v>0.44444444444444131</c:v>
                </c:pt>
                <c:pt idx="98">
                  <c:v>11.111111111111127</c:v>
                </c:pt>
                <c:pt idx="99">
                  <c:v>7.1111111111110983</c:v>
                </c:pt>
                <c:pt idx="100">
                  <c:v>9</c:v>
                </c:pt>
                <c:pt idx="101">
                  <c:v>266.77777777777783</c:v>
                </c:pt>
                <c:pt idx="102">
                  <c:v>58.777777777777743</c:v>
                </c:pt>
                <c:pt idx="103">
                  <c:v>40.111111111111143</c:v>
                </c:pt>
                <c:pt idx="104">
                  <c:v>5.4444444444444553</c:v>
                </c:pt>
                <c:pt idx="105">
                  <c:v>0.11111111111111269</c:v>
                </c:pt>
                <c:pt idx="106">
                  <c:v>13.444444444444427</c:v>
                </c:pt>
                <c:pt idx="107">
                  <c:v>49</c:v>
                </c:pt>
                <c:pt idx="108">
                  <c:v>5.4444444444444553</c:v>
                </c:pt>
                <c:pt idx="109">
                  <c:v>100</c:v>
                </c:pt>
                <c:pt idx="110">
                  <c:v>113.77777777777773</c:v>
                </c:pt>
                <c:pt idx="111">
                  <c:v>87.111111111111157</c:v>
                </c:pt>
                <c:pt idx="112">
                  <c:v>18.7777777777778</c:v>
                </c:pt>
                <c:pt idx="113">
                  <c:v>186.77777777777771</c:v>
                </c:pt>
                <c:pt idx="114">
                  <c:v>205.44444444444451</c:v>
                </c:pt>
                <c:pt idx="115">
                  <c:v>53.777777777777814</c:v>
                </c:pt>
                <c:pt idx="116">
                  <c:v>44.444444444444414</c:v>
                </c:pt>
                <c:pt idx="117">
                  <c:v>21.777777777777757</c:v>
                </c:pt>
                <c:pt idx="118">
                  <c:v>21.777777777777757</c:v>
                </c:pt>
                <c:pt idx="119">
                  <c:v>361</c:v>
                </c:pt>
                <c:pt idx="120">
                  <c:v>18.7777777777778</c:v>
                </c:pt>
                <c:pt idx="121">
                  <c:v>336.1111111111112</c:v>
                </c:pt>
                <c:pt idx="122">
                  <c:v>144</c:v>
                </c:pt>
                <c:pt idx="123">
                  <c:v>1.7777777777777841</c:v>
                </c:pt>
                <c:pt idx="124">
                  <c:v>4</c:v>
                </c:pt>
                <c:pt idx="125">
                  <c:v>13.444444444444427</c:v>
                </c:pt>
                <c:pt idx="126">
                  <c:v>106.77777777777783</c:v>
                </c:pt>
                <c:pt idx="127">
                  <c:v>2.7777777777777697</c:v>
                </c:pt>
                <c:pt idx="128">
                  <c:v>113.77777777777773</c:v>
                </c:pt>
                <c:pt idx="129">
                  <c:v>245.44444444444437</c:v>
                </c:pt>
                <c:pt idx="130">
                  <c:v>36</c:v>
                </c:pt>
                <c:pt idx="131">
                  <c:v>1.7777777777777841</c:v>
                </c:pt>
                <c:pt idx="132">
                  <c:v>0.11111111111111269</c:v>
                </c:pt>
                <c:pt idx="133">
                  <c:v>32.111111111111086</c:v>
                </c:pt>
                <c:pt idx="134">
                  <c:v>4</c:v>
                </c:pt>
                <c:pt idx="135">
                  <c:v>7.1111111111110983</c:v>
                </c:pt>
                <c:pt idx="136">
                  <c:v>13.444444444444427</c:v>
                </c:pt>
                <c:pt idx="137">
                  <c:v>266.77777777777783</c:v>
                </c:pt>
                <c:pt idx="138">
                  <c:v>0.44444444444444131</c:v>
                </c:pt>
                <c:pt idx="139">
                  <c:v>121</c:v>
                </c:pt>
                <c:pt idx="140">
                  <c:v>5.4444444444444553</c:v>
                </c:pt>
                <c:pt idx="141">
                  <c:v>300.44444444444451</c:v>
                </c:pt>
                <c:pt idx="142">
                  <c:v>13.444444444444427</c:v>
                </c:pt>
                <c:pt idx="143">
                  <c:v>1</c:v>
                </c:pt>
                <c:pt idx="144">
                  <c:v>36</c:v>
                </c:pt>
                <c:pt idx="145">
                  <c:v>28.444444444444471</c:v>
                </c:pt>
                <c:pt idx="146">
                  <c:v>4</c:v>
                </c:pt>
                <c:pt idx="147">
                  <c:v>1.7777777777777841</c:v>
                </c:pt>
                <c:pt idx="148">
                  <c:v>44.444444444444414</c:v>
                </c:pt>
                <c:pt idx="149">
                  <c:v>21.777777777777757</c:v>
                </c:pt>
                <c:pt idx="150">
                  <c:v>2.7777777777777697</c:v>
                </c:pt>
                <c:pt idx="151">
                  <c:v>0.44444444444444131</c:v>
                </c:pt>
                <c:pt idx="152">
                  <c:v>21.777777777777757</c:v>
                </c:pt>
                <c:pt idx="153">
                  <c:v>25</c:v>
                </c:pt>
                <c:pt idx="154">
                  <c:v>81</c:v>
                </c:pt>
                <c:pt idx="155">
                  <c:v>44.444444444444414</c:v>
                </c:pt>
                <c:pt idx="156">
                  <c:v>93.4444444444444</c:v>
                </c:pt>
                <c:pt idx="157">
                  <c:v>144</c:v>
                </c:pt>
                <c:pt idx="158">
                  <c:v>75.111111111111072</c:v>
                </c:pt>
                <c:pt idx="159">
                  <c:v>144</c:v>
                </c:pt>
                <c:pt idx="160">
                  <c:v>36</c:v>
                </c:pt>
                <c:pt idx="161">
                  <c:v>13.444444444444427</c:v>
                </c:pt>
                <c:pt idx="162">
                  <c:v>58.777777777777743</c:v>
                </c:pt>
                <c:pt idx="163">
                  <c:v>128.44444444444449</c:v>
                </c:pt>
                <c:pt idx="164">
                  <c:v>0.11111111111111269</c:v>
                </c:pt>
                <c:pt idx="165">
                  <c:v>36</c:v>
                </c:pt>
                <c:pt idx="166">
                  <c:v>11.111111111111127</c:v>
                </c:pt>
                <c:pt idx="167">
                  <c:v>21.777777777777757</c:v>
                </c:pt>
                <c:pt idx="168">
                  <c:v>40.111111111111143</c:v>
                </c:pt>
                <c:pt idx="169">
                  <c:v>1.7777777777777841</c:v>
                </c:pt>
                <c:pt idx="170">
                  <c:v>44.444444444444414</c:v>
                </c:pt>
                <c:pt idx="171">
                  <c:v>13.444444444444427</c:v>
                </c:pt>
                <c:pt idx="172">
                  <c:v>44.444444444444414</c:v>
                </c:pt>
                <c:pt idx="173">
                  <c:v>11.111111111111127</c:v>
                </c:pt>
                <c:pt idx="174">
                  <c:v>40.111111111111143</c:v>
                </c:pt>
                <c:pt idx="175">
                  <c:v>106.77777777777783</c:v>
                </c:pt>
                <c:pt idx="176">
                  <c:v>87.111111111111157</c:v>
                </c:pt>
                <c:pt idx="177">
                  <c:v>28.444444444444471</c:v>
                </c:pt>
                <c:pt idx="178">
                  <c:v>64</c:v>
                </c:pt>
                <c:pt idx="179">
                  <c:v>7.1111111111110983</c:v>
                </c:pt>
                <c:pt idx="180">
                  <c:v>1</c:v>
                </c:pt>
                <c:pt idx="181">
                  <c:v>300.44444444444451</c:v>
                </c:pt>
                <c:pt idx="182">
                  <c:v>16</c:v>
                </c:pt>
                <c:pt idx="183">
                  <c:v>7.1111111111110983</c:v>
                </c:pt>
                <c:pt idx="184">
                  <c:v>121</c:v>
                </c:pt>
                <c:pt idx="185">
                  <c:v>25</c:v>
                </c:pt>
                <c:pt idx="186">
                  <c:v>25</c:v>
                </c:pt>
                <c:pt idx="187">
                  <c:v>4</c:v>
                </c:pt>
                <c:pt idx="188">
                  <c:v>245.44444444444437</c:v>
                </c:pt>
                <c:pt idx="189">
                  <c:v>4</c:v>
                </c:pt>
                <c:pt idx="190">
                  <c:v>7.1111111111110983</c:v>
                </c:pt>
                <c:pt idx="191">
                  <c:v>106.77777777777783</c:v>
                </c:pt>
                <c:pt idx="192">
                  <c:v>1</c:v>
                </c:pt>
                <c:pt idx="193">
                  <c:v>413.44444444444451</c:v>
                </c:pt>
                <c:pt idx="194">
                  <c:v>9</c:v>
                </c:pt>
                <c:pt idx="195">
                  <c:v>64</c:v>
                </c:pt>
                <c:pt idx="196">
                  <c:v>36</c:v>
                </c:pt>
                <c:pt idx="197">
                  <c:v>4</c:v>
                </c:pt>
                <c:pt idx="198">
                  <c:v>40.111111111111143</c:v>
                </c:pt>
                <c:pt idx="199">
                  <c:v>28.444444444444471</c:v>
                </c:pt>
                <c:pt idx="200">
                  <c:v>16</c:v>
                </c:pt>
                <c:pt idx="201">
                  <c:v>9</c:v>
                </c:pt>
                <c:pt idx="202">
                  <c:v>4</c:v>
                </c:pt>
                <c:pt idx="203">
                  <c:v>58.777777777777743</c:v>
                </c:pt>
                <c:pt idx="204">
                  <c:v>1.7777777777777841</c:v>
                </c:pt>
                <c:pt idx="205">
                  <c:v>53.777777777777814</c:v>
                </c:pt>
                <c:pt idx="206">
                  <c:v>5.4444444444444553</c:v>
                </c:pt>
                <c:pt idx="207">
                  <c:v>1.7777777777777841</c:v>
                </c:pt>
                <c:pt idx="208">
                  <c:v>69.444444444444485</c:v>
                </c:pt>
                <c:pt idx="209">
                  <c:v>9</c:v>
                </c:pt>
                <c:pt idx="210">
                  <c:v>21.777777777777757</c:v>
                </c:pt>
                <c:pt idx="211">
                  <c:v>81</c:v>
                </c:pt>
                <c:pt idx="212">
                  <c:v>1</c:v>
                </c:pt>
                <c:pt idx="213">
                  <c:v>75.111111111111072</c:v>
                </c:pt>
                <c:pt idx="214">
                  <c:v>11.111111111111127</c:v>
                </c:pt>
                <c:pt idx="215">
                  <c:v>5.4444444444444553</c:v>
                </c:pt>
                <c:pt idx="216">
                  <c:v>7.1111111111110983</c:v>
                </c:pt>
                <c:pt idx="217">
                  <c:v>484</c:v>
                </c:pt>
                <c:pt idx="218">
                  <c:v>28.444444444444471</c:v>
                </c:pt>
                <c:pt idx="219">
                  <c:v>312.11111111111103</c:v>
                </c:pt>
                <c:pt idx="220">
                  <c:v>93.4444444444444</c:v>
                </c:pt>
                <c:pt idx="221">
                  <c:v>25</c:v>
                </c:pt>
                <c:pt idx="222">
                  <c:v>87.111111111111157</c:v>
                </c:pt>
                <c:pt idx="223">
                  <c:v>7.1111111111110983</c:v>
                </c:pt>
                <c:pt idx="224">
                  <c:v>4</c:v>
                </c:pt>
                <c:pt idx="225">
                  <c:v>81</c:v>
                </c:pt>
                <c:pt idx="226">
                  <c:v>11.111111111111127</c:v>
                </c:pt>
                <c:pt idx="227">
                  <c:v>16</c:v>
                </c:pt>
                <c:pt idx="228">
                  <c:v>25</c:v>
                </c:pt>
                <c:pt idx="229">
                  <c:v>93.4444444444444</c:v>
                </c:pt>
                <c:pt idx="230">
                  <c:v>11.111111111111127</c:v>
                </c:pt>
                <c:pt idx="231">
                  <c:v>7.1111111111110983</c:v>
                </c:pt>
                <c:pt idx="232">
                  <c:v>58.777777777777743</c:v>
                </c:pt>
                <c:pt idx="233">
                  <c:v>11.111111111111127</c:v>
                </c:pt>
                <c:pt idx="234">
                  <c:v>11.111111111111127</c:v>
                </c:pt>
                <c:pt idx="235">
                  <c:v>25</c:v>
                </c:pt>
                <c:pt idx="236">
                  <c:v>5.4444444444444553</c:v>
                </c:pt>
                <c:pt idx="237">
                  <c:v>49</c:v>
                </c:pt>
                <c:pt idx="238">
                  <c:v>40.111111111111143</c:v>
                </c:pt>
                <c:pt idx="239">
                  <c:v>40.111111111111143</c:v>
                </c:pt>
                <c:pt idx="240">
                  <c:v>18.7777777777778</c:v>
                </c:pt>
                <c:pt idx="241">
                  <c:v>44.444444444444414</c:v>
                </c:pt>
                <c:pt idx="242">
                  <c:v>13.444444444444427</c:v>
                </c:pt>
                <c:pt idx="243">
                  <c:v>0.44444444444444131</c:v>
                </c:pt>
                <c:pt idx="244">
                  <c:v>53.777777777777814</c:v>
                </c:pt>
                <c:pt idx="245">
                  <c:v>729</c:v>
                </c:pt>
                <c:pt idx="246">
                  <c:v>100</c:v>
                </c:pt>
                <c:pt idx="247">
                  <c:v>44.444444444444414</c:v>
                </c:pt>
                <c:pt idx="248">
                  <c:v>1</c:v>
                </c:pt>
                <c:pt idx="249">
                  <c:v>0.11111111111111269</c:v>
                </c:pt>
                <c:pt idx="250">
                  <c:v>0.44444444444444131</c:v>
                </c:pt>
                <c:pt idx="251">
                  <c:v>113.77777777777773</c:v>
                </c:pt>
                <c:pt idx="252">
                  <c:v>235.11111111111117</c:v>
                </c:pt>
                <c:pt idx="253">
                  <c:v>4</c:v>
                </c:pt>
                <c:pt idx="254">
                  <c:v>13.444444444444427</c:v>
                </c:pt>
                <c:pt idx="255">
                  <c:v>28.444444444444471</c:v>
                </c:pt>
                <c:pt idx="256">
                  <c:v>18.7777777777778</c:v>
                </c:pt>
                <c:pt idx="257">
                  <c:v>136.11111111111106</c:v>
                </c:pt>
                <c:pt idx="258">
                  <c:v>9</c:v>
                </c:pt>
                <c:pt idx="259">
                  <c:v>300.44444444444451</c:v>
                </c:pt>
                <c:pt idx="260">
                  <c:v>0.44444444444444131</c:v>
                </c:pt>
                <c:pt idx="261">
                  <c:v>40.111111111111143</c:v>
                </c:pt>
                <c:pt idx="262">
                  <c:v>16</c:v>
                </c:pt>
                <c:pt idx="263">
                  <c:v>136.11111111111106</c:v>
                </c:pt>
                <c:pt idx="264">
                  <c:v>100</c:v>
                </c:pt>
                <c:pt idx="265">
                  <c:v>16</c:v>
                </c:pt>
                <c:pt idx="266">
                  <c:v>484</c:v>
                </c:pt>
                <c:pt idx="267">
                  <c:v>53.777777777777814</c:v>
                </c:pt>
                <c:pt idx="268">
                  <c:v>289</c:v>
                </c:pt>
                <c:pt idx="269">
                  <c:v>205.44444444444451</c:v>
                </c:pt>
                <c:pt idx="270">
                  <c:v>53.777777777777814</c:v>
                </c:pt>
                <c:pt idx="271">
                  <c:v>21.777777777777757</c:v>
                </c:pt>
                <c:pt idx="272">
                  <c:v>58.777777777777743</c:v>
                </c:pt>
                <c:pt idx="273">
                  <c:v>100</c:v>
                </c:pt>
                <c:pt idx="274">
                  <c:v>5.4444444444444553</c:v>
                </c:pt>
                <c:pt idx="275">
                  <c:v>4</c:v>
                </c:pt>
                <c:pt idx="276">
                  <c:v>9</c:v>
                </c:pt>
                <c:pt idx="277">
                  <c:v>36</c:v>
                </c:pt>
                <c:pt idx="278">
                  <c:v>69.444444444444485</c:v>
                </c:pt>
                <c:pt idx="279">
                  <c:v>36</c:v>
                </c:pt>
                <c:pt idx="280">
                  <c:v>7.1111111111110983</c:v>
                </c:pt>
                <c:pt idx="281">
                  <c:v>4</c:v>
                </c:pt>
                <c:pt idx="282">
                  <c:v>44.444444444444414</c:v>
                </c:pt>
                <c:pt idx="283">
                  <c:v>5.4444444444444553</c:v>
                </c:pt>
                <c:pt idx="284">
                  <c:v>21.777777777777757</c:v>
                </c:pt>
                <c:pt idx="285">
                  <c:v>49</c:v>
                </c:pt>
                <c:pt idx="286">
                  <c:v>235.11111111111117</c:v>
                </c:pt>
                <c:pt idx="287">
                  <c:v>40.111111111111143</c:v>
                </c:pt>
                <c:pt idx="288">
                  <c:v>21.777777777777757</c:v>
                </c:pt>
                <c:pt idx="289">
                  <c:v>13.444444444444427</c:v>
                </c:pt>
                <c:pt idx="290">
                  <c:v>18.7777777777778</c:v>
                </c:pt>
                <c:pt idx="291">
                  <c:v>5.4444444444444553</c:v>
                </c:pt>
                <c:pt idx="292">
                  <c:v>28.444444444444471</c:v>
                </c:pt>
                <c:pt idx="293">
                  <c:v>13.444444444444427</c:v>
                </c:pt>
                <c:pt idx="294">
                  <c:v>28.444444444444471</c:v>
                </c:pt>
                <c:pt idx="295">
                  <c:v>36</c:v>
                </c:pt>
                <c:pt idx="296">
                  <c:v>18.7777777777778</c:v>
                </c:pt>
                <c:pt idx="297">
                  <c:v>25</c:v>
                </c:pt>
                <c:pt idx="298">
                  <c:v>2.7777777777777697</c:v>
                </c:pt>
                <c:pt idx="299">
                  <c:v>13.444444444444427</c:v>
                </c:pt>
                <c:pt idx="300">
                  <c:v>93.4444444444444</c:v>
                </c:pt>
                <c:pt idx="301">
                  <c:v>81</c:v>
                </c:pt>
                <c:pt idx="302">
                  <c:v>0.11111111111111269</c:v>
                </c:pt>
                <c:pt idx="303">
                  <c:v>81</c:v>
                </c:pt>
                <c:pt idx="304">
                  <c:v>18.7777777777778</c:v>
                </c:pt>
                <c:pt idx="305">
                  <c:v>32.111111111111086</c:v>
                </c:pt>
                <c:pt idx="306">
                  <c:v>7.1111111111110983</c:v>
                </c:pt>
                <c:pt idx="307">
                  <c:v>21.777777777777757</c:v>
                </c:pt>
                <c:pt idx="308">
                  <c:v>21.777777777777757</c:v>
                </c:pt>
                <c:pt idx="309">
                  <c:v>205.44444444444451</c:v>
                </c:pt>
                <c:pt idx="310">
                  <c:v>9</c:v>
                </c:pt>
                <c:pt idx="311">
                  <c:v>11.111111111111127</c:v>
                </c:pt>
                <c:pt idx="312">
                  <c:v>36</c:v>
                </c:pt>
                <c:pt idx="313">
                  <c:v>32.111111111111086</c:v>
                </c:pt>
                <c:pt idx="314">
                  <c:v>44.444444444444414</c:v>
                </c:pt>
                <c:pt idx="315">
                  <c:v>7.1111111111110983</c:v>
                </c:pt>
                <c:pt idx="316">
                  <c:v>18.7777777777778</c:v>
                </c:pt>
                <c:pt idx="317">
                  <c:v>44.444444444444414</c:v>
                </c:pt>
                <c:pt idx="318">
                  <c:v>25</c:v>
                </c:pt>
                <c:pt idx="319">
                  <c:v>2.7777777777777697</c:v>
                </c:pt>
                <c:pt idx="320">
                  <c:v>5.4444444444444553</c:v>
                </c:pt>
                <c:pt idx="321">
                  <c:v>25</c:v>
                </c:pt>
                <c:pt idx="322">
                  <c:v>21.777777777777757</c:v>
                </c:pt>
                <c:pt idx="323">
                  <c:v>81</c:v>
                </c:pt>
                <c:pt idx="324">
                  <c:v>106.77777777777783</c:v>
                </c:pt>
                <c:pt idx="325">
                  <c:v>7.1111111111110983</c:v>
                </c:pt>
                <c:pt idx="326">
                  <c:v>53.777777777777814</c:v>
                </c:pt>
                <c:pt idx="327">
                  <c:v>144</c:v>
                </c:pt>
                <c:pt idx="328">
                  <c:v>4</c:v>
                </c:pt>
                <c:pt idx="329">
                  <c:v>13.444444444444427</c:v>
                </c:pt>
                <c:pt idx="330">
                  <c:v>1.7777777777777841</c:v>
                </c:pt>
                <c:pt idx="331">
                  <c:v>11.111111111111127</c:v>
                </c:pt>
                <c:pt idx="332">
                  <c:v>5.4444444444444553</c:v>
                </c:pt>
                <c:pt idx="333">
                  <c:v>21.777777777777757</c:v>
                </c:pt>
                <c:pt idx="334">
                  <c:v>25</c:v>
                </c:pt>
                <c:pt idx="335">
                  <c:v>5.4444444444444553</c:v>
                </c:pt>
                <c:pt idx="336">
                  <c:v>225</c:v>
                </c:pt>
                <c:pt idx="337">
                  <c:v>9</c:v>
                </c:pt>
                <c:pt idx="338">
                  <c:v>0</c:v>
                </c:pt>
                <c:pt idx="339">
                  <c:v>32.111111111111086</c:v>
                </c:pt>
                <c:pt idx="340">
                  <c:v>53.777777777777814</c:v>
                </c:pt>
                <c:pt idx="341">
                  <c:v>0</c:v>
                </c:pt>
                <c:pt idx="342">
                  <c:v>215.11111111111103</c:v>
                </c:pt>
                <c:pt idx="343">
                  <c:v>13.444444444444427</c:v>
                </c:pt>
                <c:pt idx="344">
                  <c:v>0.11111111111111269</c:v>
                </c:pt>
                <c:pt idx="345">
                  <c:v>121</c:v>
                </c:pt>
                <c:pt idx="346">
                  <c:v>1</c:v>
                </c:pt>
                <c:pt idx="347">
                  <c:v>13.444444444444427</c:v>
                </c:pt>
                <c:pt idx="348">
                  <c:v>256</c:v>
                </c:pt>
                <c:pt idx="349">
                  <c:v>25</c:v>
                </c:pt>
                <c:pt idx="350">
                  <c:v>53.777777777777814</c:v>
                </c:pt>
                <c:pt idx="351">
                  <c:v>128.44444444444449</c:v>
                </c:pt>
                <c:pt idx="352">
                  <c:v>36</c:v>
                </c:pt>
                <c:pt idx="353">
                  <c:v>2.7777777777777697</c:v>
                </c:pt>
                <c:pt idx="354">
                  <c:v>2.7777777777777697</c:v>
                </c:pt>
                <c:pt idx="355">
                  <c:v>136.11111111111106</c:v>
                </c:pt>
                <c:pt idx="356">
                  <c:v>44.444444444444414</c:v>
                </c:pt>
                <c:pt idx="357">
                  <c:v>21.777777777777757</c:v>
                </c:pt>
                <c:pt idx="358">
                  <c:v>36</c:v>
                </c:pt>
                <c:pt idx="359">
                  <c:v>25</c:v>
                </c:pt>
                <c:pt idx="360">
                  <c:v>44.444444444444414</c:v>
                </c:pt>
                <c:pt idx="361">
                  <c:v>2.7777777777777697</c:v>
                </c:pt>
                <c:pt idx="362">
                  <c:v>186.77777777777771</c:v>
                </c:pt>
                <c:pt idx="363">
                  <c:v>49</c:v>
                </c:pt>
                <c:pt idx="364">
                  <c:v>87.111111111111157</c:v>
                </c:pt>
                <c:pt idx="365">
                  <c:v>2.7777777777777697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91-4F64-B0C7-7D118A7B5C9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'Moving Average'!$A$1:$A$366</c:f>
              <c:strCache>
                <c:ptCount val="366"/>
                <c:pt idx="0">
                  <c:v>Date</c:v>
                </c:pt>
                <c:pt idx="1">
                  <c:v>1/1/1959</c:v>
                </c:pt>
                <c:pt idx="2">
                  <c:v>2/1/1959</c:v>
                </c:pt>
                <c:pt idx="3">
                  <c:v>3/1/1959</c:v>
                </c:pt>
                <c:pt idx="4">
                  <c:v>4/1/1959</c:v>
                </c:pt>
                <c:pt idx="5">
                  <c:v>5/1/1959</c:v>
                </c:pt>
                <c:pt idx="6">
                  <c:v>6/1/1959</c:v>
                </c:pt>
                <c:pt idx="7">
                  <c:v>7/1/1959</c:v>
                </c:pt>
                <c:pt idx="8">
                  <c:v>8/1/1959</c:v>
                </c:pt>
                <c:pt idx="9">
                  <c:v>9/1/1959</c:v>
                </c:pt>
                <c:pt idx="10">
                  <c:v>10/1/1959</c:v>
                </c:pt>
                <c:pt idx="11">
                  <c:v>11/1/1959</c:v>
                </c:pt>
                <c:pt idx="12">
                  <c:v>12/1/1959</c:v>
                </c:pt>
                <c:pt idx="13">
                  <c:v>13/1/1959</c:v>
                </c:pt>
                <c:pt idx="14">
                  <c:v>14/1/1959</c:v>
                </c:pt>
                <c:pt idx="15">
                  <c:v>15/1/1959</c:v>
                </c:pt>
                <c:pt idx="16">
                  <c:v>16/1/1959</c:v>
                </c:pt>
                <c:pt idx="17">
                  <c:v>17/1/1959</c:v>
                </c:pt>
                <c:pt idx="18">
                  <c:v>18/1/1959</c:v>
                </c:pt>
                <c:pt idx="19">
                  <c:v>19/1/1959</c:v>
                </c:pt>
                <c:pt idx="20">
                  <c:v>20/1/1959</c:v>
                </c:pt>
                <c:pt idx="21">
                  <c:v>21/1/1959</c:v>
                </c:pt>
                <c:pt idx="22">
                  <c:v>22/1/1959</c:v>
                </c:pt>
                <c:pt idx="23">
                  <c:v>23/1/1959</c:v>
                </c:pt>
                <c:pt idx="24">
                  <c:v>24/1/1959</c:v>
                </c:pt>
                <c:pt idx="25">
                  <c:v>25/1/1959</c:v>
                </c:pt>
                <c:pt idx="26">
                  <c:v>26/1/1959</c:v>
                </c:pt>
                <c:pt idx="27">
                  <c:v>27/1/1959</c:v>
                </c:pt>
                <c:pt idx="28">
                  <c:v>28/1/1959</c:v>
                </c:pt>
                <c:pt idx="29">
                  <c:v>29/1/1959</c:v>
                </c:pt>
                <c:pt idx="30">
                  <c:v>30/1/1959</c:v>
                </c:pt>
                <c:pt idx="31">
                  <c:v>31/1/1959</c:v>
                </c:pt>
                <c:pt idx="32">
                  <c:v>1/2/1959</c:v>
                </c:pt>
                <c:pt idx="33">
                  <c:v>2/2/1959</c:v>
                </c:pt>
                <c:pt idx="34">
                  <c:v>3/2/1959</c:v>
                </c:pt>
                <c:pt idx="35">
                  <c:v>4/2/1959</c:v>
                </c:pt>
                <c:pt idx="36">
                  <c:v>5/2/1959</c:v>
                </c:pt>
                <c:pt idx="37">
                  <c:v>6/2/1959</c:v>
                </c:pt>
                <c:pt idx="38">
                  <c:v>7/2/1959</c:v>
                </c:pt>
                <c:pt idx="39">
                  <c:v>8/2/1959</c:v>
                </c:pt>
                <c:pt idx="40">
                  <c:v>9/2/1959</c:v>
                </c:pt>
                <c:pt idx="41">
                  <c:v>10/2/1959</c:v>
                </c:pt>
                <c:pt idx="42">
                  <c:v>11/2/1959</c:v>
                </c:pt>
                <c:pt idx="43">
                  <c:v>12/2/1959</c:v>
                </c:pt>
                <c:pt idx="44">
                  <c:v>13/2/1959</c:v>
                </c:pt>
                <c:pt idx="45">
                  <c:v>14/2/1959</c:v>
                </c:pt>
                <c:pt idx="46">
                  <c:v>15/2/1959</c:v>
                </c:pt>
                <c:pt idx="47">
                  <c:v>16/2/1959</c:v>
                </c:pt>
                <c:pt idx="48">
                  <c:v>17/2/1959</c:v>
                </c:pt>
                <c:pt idx="49">
                  <c:v>18/2/1959</c:v>
                </c:pt>
                <c:pt idx="50">
                  <c:v>19/2/1959</c:v>
                </c:pt>
                <c:pt idx="51">
                  <c:v>20/2/1959</c:v>
                </c:pt>
                <c:pt idx="52">
                  <c:v>21/2/1959</c:v>
                </c:pt>
                <c:pt idx="53">
                  <c:v>22/2/1959</c:v>
                </c:pt>
                <c:pt idx="54">
                  <c:v>23/2/1959</c:v>
                </c:pt>
                <c:pt idx="55">
                  <c:v>24/2/1959</c:v>
                </c:pt>
                <c:pt idx="56">
                  <c:v>25/2/1959</c:v>
                </c:pt>
                <c:pt idx="57">
                  <c:v>26/2/1959</c:v>
                </c:pt>
                <c:pt idx="58">
                  <c:v>27/2/1959</c:v>
                </c:pt>
                <c:pt idx="59">
                  <c:v>28/2/1959</c:v>
                </c:pt>
                <c:pt idx="60">
                  <c:v>1/3/1959</c:v>
                </c:pt>
                <c:pt idx="61">
                  <c:v>2/3/1959</c:v>
                </c:pt>
                <c:pt idx="62">
                  <c:v>3/3/1959</c:v>
                </c:pt>
                <c:pt idx="63">
                  <c:v>4/3/1959</c:v>
                </c:pt>
                <c:pt idx="64">
                  <c:v>5/3/1959</c:v>
                </c:pt>
                <c:pt idx="65">
                  <c:v>6/3/1959</c:v>
                </c:pt>
                <c:pt idx="66">
                  <c:v>7/3/1959</c:v>
                </c:pt>
                <c:pt idx="67">
                  <c:v>8/3/1959</c:v>
                </c:pt>
                <c:pt idx="68">
                  <c:v>9/3/1959</c:v>
                </c:pt>
                <c:pt idx="69">
                  <c:v>10/3/1959</c:v>
                </c:pt>
                <c:pt idx="70">
                  <c:v>11/3/1959</c:v>
                </c:pt>
                <c:pt idx="71">
                  <c:v>12/3/1959</c:v>
                </c:pt>
                <c:pt idx="72">
                  <c:v>13/3/1959</c:v>
                </c:pt>
                <c:pt idx="73">
                  <c:v>14/3/1959</c:v>
                </c:pt>
                <c:pt idx="74">
                  <c:v>15/3/1959</c:v>
                </c:pt>
                <c:pt idx="75">
                  <c:v>16/3/1959</c:v>
                </c:pt>
                <c:pt idx="76">
                  <c:v>17/3/1959</c:v>
                </c:pt>
                <c:pt idx="77">
                  <c:v>18/3/1959</c:v>
                </c:pt>
                <c:pt idx="78">
                  <c:v>19/3/1959</c:v>
                </c:pt>
                <c:pt idx="79">
                  <c:v>20/3/1959</c:v>
                </c:pt>
                <c:pt idx="80">
                  <c:v>21/3/1959</c:v>
                </c:pt>
                <c:pt idx="81">
                  <c:v>22/3/1959</c:v>
                </c:pt>
                <c:pt idx="82">
                  <c:v>23/3/1959</c:v>
                </c:pt>
                <c:pt idx="83">
                  <c:v>24/3/1959</c:v>
                </c:pt>
                <c:pt idx="84">
                  <c:v>25/3/1959</c:v>
                </c:pt>
                <c:pt idx="85">
                  <c:v>26/3/1959</c:v>
                </c:pt>
                <c:pt idx="86">
                  <c:v>27/3/1959</c:v>
                </c:pt>
                <c:pt idx="87">
                  <c:v>28/3/1959</c:v>
                </c:pt>
                <c:pt idx="88">
                  <c:v>29/3/1959</c:v>
                </c:pt>
                <c:pt idx="89">
                  <c:v>30/3/1959</c:v>
                </c:pt>
                <c:pt idx="90">
                  <c:v>31/3/1959</c:v>
                </c:pt>
                <c:pt idx="91">
                  <c:v>1/4/1959</c:v>
                </c:pt>
                <c:pt idx="92">
                  <c:v>2/4/1959</c:v>
                </c:pt>
                <c:pt idx="93">
                  <c:v>3/4/1959</c:v>
                </c:pt>
                <c:pt idx="94">
                  <c:v>4/4/1959</c:v>
                </c:pt>
                <c:pt idx="95">
                  <c:v>5/4/1959</c:v>
                </c:pt>
                <c:pt idx="96">
                  <c:v>6/4/1959</c:v>
                </c:pt>
                <c:pt idx="97">
                  <c:v>7/4/1959</c:v>
                </c:pt>
                <c:pt idx="98">
                  <c:v>8/4/1959</c:v>
                </c:pt>
                <c:pt idx="99">
                  <c:v>9/4/1959</c:v>
                </c:pt>
                <c:pt idx="100">
                  <c:v>10/4/1959</c:v>
                </c:pt>
                <c:pt idx="101">
                  <c:v>11/4/1959</c:v>
                </c:pt>
                <c:pt idx="102">
                  <c:v>12/4/1959</c:v>
                </c:pt>
                <c:pt idx="103">
                  <c:v>13/4/1959</c:v>
                </c:pt>
                <c:pt idx="104">
                  <c:v>14/4/1959</c:v>
                </c:pt>
                <c:pt idx="105">
                  <c:v>15/4/1959</c:v>
                </c:pt>
                <c:pt idx="106">
                  <c:v>16/4/1959</c:v>
                </c:pt>
                <c:pt idx="107">
                  <c:v>17/4/1959</c:v>
                </c:pt>
                <c:pt idx="108">
                  <c:v>18/4/1959</c:v>
                </c:pt>
                <c:pt idx="109">
                  <c:v>19/4/1959</c:v>
                </c:pt>
                <c:pt idx="110">
                  <c:v>20/4/1959</c:v>
                </c:pt>
                <c:pt idx="111">
                  <c:v>21/4/1959</c:v>
                </c:pt>
                <c:pt idx="112">
                  <c:v>22/4/1959</c:v>
                </c:pt>
                <c:pt idx="113">
                  <c:v>23/4/1959</c:v>
                </c:pt>
                <c:pt idx="114">
                  <c:v>24/4/1959</c:v>
                </c:pt>
                <c:pt idx="115">
                  <c:v>25/4/1959</c:v>
                </c:pt>
                <c:pt idx="116">
                  <c:v>26/4/1959</c:v>
                </c:pt>
                <c:pt idx="117">
                  <c:v>27/4/1959</c:v>
                </c:pt>
                <c:pt idx="118">
                  <c:v>28/4/1959</c:v>
                </c:pt>
                <c:pt idx="119">
                  <c:v>29/4/1959</c:v>
                </c:pt>
                <c:pt idx="120">
                  <c:v>30/4/1959</c:v>
                </c:pt>
                <c:pt idx="121">
                  <c:v>1/5/1959</c:v>
                </c:pt>
                <c:pt idx="122">
                  <c:v>2/5/1959</c:v>
                </c:pt>
                <c:pt idx="123">
                  <c:v>3/5/1959</c:v>
                </c:pt>
                <c:pt idx="124">
                  <c:v>4/5/1959</c:v>
                </c:pt>
                <c:pt idx="125">
                  <c:v>5/5/1959</c:v>
                </c:pt>
                <c:pt idx="126">
                  <c:v>6/5/1959</c:v>
                </c:pt>
                <c:pt idx="127">
                  <c:v>7/5/1959</c:v>
                </c:pt>
                <c:pt idx="128">
                  <c:v>8/5/1959</c:v>
                </c:pt>
                <c:pt idx="129">
                  <c:v>9/5/1959</c:v>
                </c:pt>
                <c:pt idx="130">
                  <c:v>10/5/1959</c:v>
                </c:pt>
                <c:pt idx="131">
                  <c:v>11/5/1959</c:v>
                </c:pt>
                <c:pt idx="132">
                  <c:v>12/5/1959</c:v>
                </c:pt>
                <c:pt idx="133">
                  <c:v>13/5/1959</c:v>
                </c:pt>
                <c:pt idx="134">
                  <c:v>14/5/1959</c:v>
                </c:pt>
                <c:pt idx="135">
                  <c:v>15/5/1959</c:v>
                </c:pt>
                <c:pt idx="136">
                  <c:v>16/5/1959</c:v>
                </c:pt>
                <c:pt idx="137">
                  <c:v>17/5/1959</c:v>
                </c:pt>
                <c:pt idx="138">
                  <c:v>18/5/1959</c:v>
                </c:pt>
                <c:pt idx="139">
                  <c:v>19/5/1959</c:v>
                </c:pt>
                <c:pt idx="140">
                  <c:v>20/5/1959</c:v>
                </c:pt>
                <c:pt idx="141">
                  <c:v>21/5/1959</c:v>
                </c:pt>
                <c:pt idx="142">
                  <c:v>22/5/1959</c:v>
                </c:pt>
                <c:pt idx="143">
                  <c:v>23/5/1959</c:v>
                </c:pt>
                <c:pt idx="144">
                  <c:v>24/5/1959</c:v>
                </c:pt>
                <c:pt idx="145">
                  <c:v>25/5/1959</c:v>
                </c:pt>
                <c:pt idx="146">
                  <c:v>26/5/1959</c:v>
                </c:pt>
                <c:pt idx="147">
                  <c:v>27/5/1959</c:v>
                </c:pt>
                <c:pt idx="148">
                  <c:v>28/5/1959</c:v>
                </c:pt>
                <c:pt idx="149">
                  <c:v>29/5/1959</c:v>
                </c:pt>
                <c:pt idx="150">
                  <c:v>30/5/1959</c:v>
                </c:pt>
                <c:pt idx="151">
                  <c:v>31/5/1959</c:v>
                </c:pt>
                <c:pt idx="152">
                  <c:v>1/6/1959</c:v>
                </c:pt>
                <c:pt idx="153">
                  <c:v>2/6/1959</c:v>
                </c:pt>
                <c:pt idx="154">
                  <c:v>3/6/1959</c:v>
                </c:pt>
                <c:pt idx="155">
                  <c:v>4/6/1959</c:v>
                </c:pt>
                <c:pt idx="156">
                  <c:v>5/6/1959</c:v>
                </c:pt>
                <c:pt idx="157">
                  <c:v>6/6/1959</c:v>
                </c:pt>
                <c:pt idx="158">
                  <c:v>7/6/1959</c:v>
                </c:pt>
                <c:pt idx="159">
                  <c:v>8/6/1959</c:v>
                </c:pt>
                <c:pt idx="160">
                  <c:v>9/6/1959</c:v>
                </c:pt>
                <c:pt idx="161">
                  <c:v>10/6/1959</c:v>
                </c:pt>
                <c:pt idx="162">
                  <c:v>11/6/1959</c:v>
                </c:pt>
                <c:pt idx="163">
                  <c:v>12/6/1959</c:v>
                </c:pt>
                <c:pt idx="164">
                  <c:v>13/6/1959</c:v>
                </c:pt>
                <c:pt idx="165">
                  <c:v>14/6/1959</c:v>
                </c:pt>
                <c:pt idx="166">
                  <c:v>15/6/1959</c:v>
                </c:pt>
                <c:pt idx="167">
                  <c:v>16/6/1959</c:v>
                </c:pt>
                <c:pt idx="168">
                  <c:v>17/6/1959</c:v>
                </c:pt>
                <c:pt idx="169">
                  <c:v>18/6/1959</c:v>
                </c:pt>
                <c:pt idx="170">
                  <c:v>19/6/1959</c:v>
                </c:pt>
                <c:pt idx="171">
                  <c:v>20/6/1959</c:v>
                </c:pt>
                <c:pt idx="172">
                  <c:v>21/6/1959</c:v>
                </c:pt>
                <c:pt idx="173">
                  <c:v>22/6/1959</c:v>
                </c:pt>
                <c:pt idx="174">
                  <c:v>23/6/1959</c:v>
                </c:pt>
                <c:pt idx="175">
                  <c:v>24/6/1959</c:v>
                </c:pt>
                <c:pt idx="176">
                  <c:v>25/6/1959</c:v>
                </c:pt>
                <c:pt idx="177">
                  <c:v>26/6/1959</c:v>
                </c:pt>
                <c:pt idx="178">
                  <c:v>27/6/1959</c:v>
                </c:pt>
                <c:pt idx="179">
                  <c:v>28/6/1959</c:v>
                </c:pt>
                <c:pt idx="180">
                  <c:v>29/6/1959</c:v>
                </c:pt>
                <c:pt idx="181">
                  <c:v>30/6/1959</c:v>
                </c:pt>
                <c:pt idx="182">
                  <c:v>1/7/1959</c:v>
                </c:pt>
                <c:pt idx="183">
                  <c:v>2/7/1959</c:v>
                </c:pt>
                <c:pt idx="184">
                  <c:v>3/7/1959</c:v>
                </c:pt>
                <c:pt idx="185">
                  <c:v>4/7/1959</c:v>
                </c:pt>
                <c:pt idx="186">
                  <c:v>5/7/1959</c:v>
                </c:pt>
                <c:pt idx="187">
                  <c:v>6/7/1959</c:v>
                </c:pt>
                <c:pt idx="188">
                  <c:v>7/7/1959</c:v>
                </c:pt>
                <c:pt idx="189">
                  <c:v>8/7/1959</c:v>
                </c:pt>
                <c:pt idx="190">
                  <c:v>9/7/1959</c:v>
                </c:pt>
                <c:pt idx="191">
                  <c:v>10/7/1959</c:v>
                </c:pt>
                <c:pt idx="192">
                  <c:v>11/7/1959</c:v>
                </c:pt>
                <c:pt idx="193">
                  <c:v>12/7/1959</c:v>
                </c:pt>
                <c:pt idx="194">
                  <c:v>13/7/1959</c:v>
                </c:pt>
                <c:pt idx="195">
                  <c:v>14/7/1959</c:v>
                </c:pt>
                <c:pt idx="196">
                  <c:v>15/7/1959</c:v>
                </c:pt>
                <c:pt idx="197">
                  <c:v>16/7/1959</c:v>
                </c:pt>
                <c:pt idx="198">
                  <c:v>17/7/1959</c:v>
                </c:pt>
                <c:pt idx="199">
                  <c:v>18/7/1959</c:v>
                </c:pt>
                <c:pt idx="200">
                  <c:v>19/7/1959</c:v>
                </c:pt>
                <c:pt idx="201">
                  <c:v>20/7/1959</c:v>
                </c:pt>
                <c:pt idx="202">
                  <c:v>21/7/1959</c:v>
                </c:pt>
                <c:pt idx="203">
                  <c:v>22/7/1959</c:v>
                </c:pt>
                <c:pt idx="204">
                  <c:v>23/7/1959</c:v>
                </c:pt>
                <c:pt idx="205">
                  <c:v>24/7/1959</c:v>
                </c:pt>
                <c:pt idx="206">
                  <c:v>25/7/1959</c:v>
                </c:pt>
                <c:pt idx="207">
                  <c:v>26/7/1959</c:v>
                </c:pt>
                <c:pt idx="208">
                  <c:v>27/7/1959</c:v>
                </c:pt>
                <c:pt idx="209">
                  <c:v>28/7/1959</c:v>
                </c:pt>
                <c:pt idx="210">
                  <c:v>29/7/1959</c:v>
                </c:pt>
                <c:pt idx="211">
                  <c:v>30/7/1959</c:v>
                </c:pt>
                <c:pt idx="212">
                  <c:v>31/7/1959</c:v>
                </c:pt>
                <c:pt idx="213">
                  <c:v>1/8/1959</c:v>
                </c:pt>
                <c:pt idx="214">
                  <c:v>2/8/1959</c:v>
                </c:pt>
                <c:pt idx="215">
                  <c:v>3/8/1959</c:v>
                </c:pt>
                <c:pt idx="216">
                  <c:v>4/8/1959</c:v>
                </c:pt>
                <c:pt idx="217">
                  <c:v>5/8/1959</c:v>
                </c:pt>
                <c:pt idx="218">
                  <c:v>6/8/1959</c:v>
                </c:pt>
                <c:pt idx="219">
                  <c:v>7/8/1959</c:v>
                </c:pt>
                <c:pt idx="220">
                  <c:v>8/8/1959</c:v>
                </c:pt>
                <c:pt idx="221">
                  <c:v>9/8/1959</c:v>
                </c:pt>
                <c:pt idx="222">
                  <c:v>10/8/1959</c:v>
                </c:pt>
                <c:pt idx="223">
                  <c:v>11/8/1959</c:v>
                </c:pt>
                <c:pt idx="224">
                  <c:v>12/8/1959</c:v>
                </c:pt>
                <c:pt idx="225">
                  <c:v>13/8/1959</c:v>
                </c:pt>
                <c:pt idx="226">
                  <c:v>14/8/1959</c:v>
                </c:pt>
                <c:pt idx="227">
                  <c:v>15/8/1959</c:v>
                </c:pt>
                <c:pt idx="228">
                  <c:v>16/8/1959</c:v>
                </c:pt>
                <c:pt idx="229">
                  <c:v>17/8/1959</c:v>
                </c:pt>
                <c:pt idx="230">
                  <c:v>18/8/1959</c:v>
                </c:pt>
                <c:pt idx="231">
                  <c:v>19/8/1959</c:v>
                </c:pt>
                <c:pt idx="232">
                  <c:v>20/8/1959</c:v>
                </c:pt>
                <c:pt idx="233">
                  <c:v>21/8/1959</c:v>
                </c:pt>
                <c:pt idx="234">
                  <c:v>22/8/1959</c:v>
                </c:pt>
                <c:pt idx="235">
                  <c:v>23/8/1959</c:v>
                </c:pt>
                <c:pt idx="236">
                  <c:v>24/8/1959</c:v>
                </c:pt>
                <c:pt idx="237">
                  <c:v>25/8/1959</c:v>
                </c:pt>
                <c:pt idx="238">
                  <c:v>26/8/1959</c:v>
                </c:pt>
                <c:pt idx="239">
                  <c:v>27/8/1959</c:v>
                </c:pt>
                <c:pt idx="240">
                  <c:v>28/8/1959</c:v>
                </c:pt>
                <c:pt idx="241">
                  <c:v>29/8/1959</c:v>
                </c:pt>
                <c:pt idx="242">
                  <c:v>30/8/1959</c:v>
                </c:pt>
                <c:pt idx="243">
                  <c:v>31/8/1959</c:v>
                </c:pt>
                <c:pt idx="244">
                  <c:v>1/9/1959</c:v>
                </c:pt>
                <c:pt idx="245">
                  <c:v>2/9/1959</c:v>
                </c:pt>
                <c:pt idx="246">
                  <c:v>3/9/1959</c:v>
                </c:pt>
                <c:pt idx="247">
                  <c:v>4/9/1959</c:v>
                </c:pt>
                <c:pt idx="248">
                  <c:v>5/9/1959</c:v>
                </c:pt>
                <c:pt idx="249">
                  <c:v>6/9/1959</c:v>
                </c:pt>
                <c:pt idx="250">
                  <c:v>7/9/1959</c:v>
                </c:pt>
                <c:pt idx="251">
                  <c:v>8/9/1959</c:v>
                </c:pt>
                <c:pt idx="252">
                  <c:v>9/9/1959</c:v>
                </c:pt>
                <c:pt idx="253">
                  <c:v>10/9/1959</c:v>
                </c:pt>
                <c:pt idx="254">
                  <c:v>11/9/1959</c:v>
                </c:pt>
                <c:pt idx="255">
                  <c:v>12/9/1959</c:v>
                </c:pt>
                <c:pt idx="256">
                  <c:v>13/9/1959</c:v>
                </c:pt>
                <c:pt idx="257">
                  <c:v>14/9/1959</c:v>
                </c:pt>
                <c:pt idx="258">
                  <c:v>15/9/1959</c:v>
                </c:pt>
                <c:pt idx="259">
                  <c:v>16/9/1959</c:v>
                </c:pt>
                <c:pt idx="260">
                  <c:v>17/9/1959</c:v>
                </c:pt>
                <c:pt idx="261">
                  <c:v>18/9/1959</c:v>
                </c:pt>
                <c:pt idx="262">
                  <c:v>19/9/1959</c:v>
                </c:pt>
                <c:pt idx="263">
                  <c:v>20/9/1959</c:v>
                </c:pt>
                <c:pt idx="264">
                  <c:v>21/9/1959</c:v>
                </c:pt>
                <c:pt idx="265">
                  <c:v>22/9/1959</c:v>
                </c:pt>
                <c:pt idx="266">
                  <c:v>23/9/1959</c:v>
                </c:pt>
                <c:pt idx="267">
                  <c:v>24/9/1959</c:v>
                </c:pt>
                <c:pt idx="268">
                  <c:v>25/9/1959</c:v>
                </c:pt>
                <c:pt idx="269">
                  <c:v>26/9/1959</c:v>
                </c:pt>
                <c:pt idx="270">
                  <c:v>27/9/1959</c:v>
                </c:pt>
                <c:pt idx="271">
                  <c:v>28/9/1959</c:v>
                </c:pt>
                <c:pt idx="272">
                  <c:v>29/9/1959</c:v>
                </c:pt>
                <c:pt idx="273">
                  <c:v>30/9/1959</c:v>
                </c:pt>
                <c:pt idx="274">
                  <c:v>1/10/1959</c:v>
                </c:pt>
                <c:pt idx="275">
                  <c:v>2/10/1959</c:v>
                </c:pt>
                <c:pt idx="276">
                  <c:v>3/10/1959</c:v>
                </c:pt>
                <c:pt idx="277">
                  <c:v>4/10/1959</c:v>
                </c:pt>
                <c:pt idx="278">
                  <c:v>5/10/1959</c:v>
                </c:pt>
                <c:pt idx="279">
                  <c:v>6/10/1959</c:v>
                </c:pt>
                <c:pt idx="280">
                  <c:v>7/10/1959</c:v>
                </c:pt>
                <c:pt idx="281">
                  <c:v>8/10/1959</c:v>
                </c:pt>
                <c:pt idx="282">
                  <c:v>9/10/1959</c:v>
                </c:pt>
                <c:pt idx="283">
                  <c:v>10/10/1959</c:v>
                </c:pt>
                <c:pt idx="284">
                  <c:v>11/10/1959</c:v>
                </c:pt>
                <c:pt idx="285">
                  <c:v>12/10/1959</c:v>
                </c:pt>
                <c:pt idx="286">
                  <c:v>13/10/1959</c:v>
                </c:pt>
                <c:pt idx="287">
                  <c:v>14/10/1959</c:v>
                </c:pt>
                <c:pt idx="288">
                  <c:v>15/10/1959</c:v>
                </c:pt>
                <c:pt idx="289">
                  <c:v>16/10/1959</c:v>
                </c:pt>
                <c:pt idx="290">
                  <c:v>17/10/1959</c:v>
                </c:pt>
                <c:pt idx="291">
                  <c:v>18/10/1959</c:v>
                </c:pt>
                <c:pt idx="292">
                  <c:v>19/10/1959</c:v>
                </c:pt>
                <c:pt idx="293">
                  <c:v>20/10/1959</c:v>
                </c:pt>
                <c:pt idx="294">
                  <c:v>21/10/1959</c:v>
                </c:pt>
                <c:pt idx="295">
                  <c:v>22/10/1959</c:v>
                </c:pt>
                <c:pt idx="296">
                  <c:v>23/10/1959</c:v>
                </c:pt>
                <c:pt idx="297">
                  <c:v>24/10/1959</c:v>
                </c:pt>
                <c:pt idx="298">
                  <c:v>25/10/1959</c:v>
                </c:pt>
                <c:pt idx="299">
                  <c:v>26/10/1959</c:v>
                </c:pt>
                <c:pt idx="300">
                  <c:v>27/10/1959</c:v>
                </c:pt>
                <c:pt idx="301">
                  <c:v>28/10/1959</c:v>
                </c:pt>
                <c:pt idx="302">
                  <c:v>29/10/1959</c:v>
                </c:pt>
                <c:pt idx="303">
                  <c:v>30/10/1959</c:v>
                </c:pt>
                <c:pt idx="304">
                  <c:v>31/10/1959</c:v>
                </c:pt>
                <c:pt idx="305">
                  <c:v>1/11/1959</c:v>
                </c:pt>
                <c:pt idx="306">
                  <c:v>2/11/1959</c:v>
                </c:pt>
                <c:pt idx="307">
                  <c:v>3/11/1959</c:v>
                </c:pt>
                <c:pt idx="308">
                  <c:v>4/11/1959</c:v>
                </c:pt>
                <c:pt idx="309">
                  <c:v>5/11/1959</c:v>
                </c:pt>
                <c:pt idx="310">
                  <c:v>6/11/1959</c:v>
                </c:pt>
                <c:pt idx="311">
                  <c:v>7/11/1959</c:v>
                </c:pt>
                <c:pt idx="312">
                  <c:v>8/11/1959</c:v>
                </c:pt>
                <c:pt idx="313">
                  <c:v>9/11/1959</c:v>
                </c:pt>
                <c:pt idx="314">
                  <c:v>10/11/1959</c:v>
                </c:pt>
                <c:pt idx="315">
                  <c:v>11/11/1959</c:v>
                </c:pt>
                <c:pt idx="316">
                  <c:v>12/11/1959</c:v>
                </c:pt>
                <c:pt idx="317">
                  <c:v>13/11/1959</c:v>
                </c:pt>
                <c:pt idx="318">
                  <c:v>14/11/1959</c:v>
                </c:pt>
                <c:pt idx="319">
                  <c:v>15/11/1959</c:v>
                </c:pt>
                <c:pt idx="320">
                  <c:v>16/11/1959</c:v>
                </c:pt>
                <c:pt idx="321">
                  <c:v>17/11/1959</c:v>
                </c:pt>
                <c:pt idx="322">
                  <c:v>18/11/1959</c:v>
                </c:pt>
                <c:pt idx="323">
                  <c:v>19/11/1959</c:v>
                </c:pt>
                <c:pt idx="324">
                  <c:v>20/11/1959</c:v>
                </c:pt>
                <c:pt idx="325">
                  <c:v>21/11/1959</c:v>
                </c:pt>
                <c:pt idx="326">
                  <c:v>22/11/1959</c:v>
                </c:pt>
                <c:pt idx="327">
                  <c:v>23/11/1959</c:v>
                </c:pt>
                <c:pt idx="328">
                  <c:v>24/11/1959</c:v>
                </c:pt>
                <c:pt idx="329">
                  <c:v>25/11/1959</c:v>
                </c:pt>
                <c:pt idx="330">
                  <c:v>26/11/1959</c:v>
                </c:pt>
                <c:pt idx="331">
                  <c:v>27/11/1959</c:v>
                </c:pt>
                <c:pt idx="332">
                  <c:v>28/11/1959</c:v>
                </c:pt>
                <c:pt idx="333">
                  <c:v>29/11/1959</c:v>
                </c:pt>
                <c:pt idx="334">
                  <c:v>30/11/1959</c:v>
                </c:pt>
                <c:pt idx="335">
                  <c:v>1/12/1959</c:v>
                </c:pt>
                <c:pt idx="336">
                  <c:v>2/12/1959</c:v>
                </c:pt>
                <c:pt idx="337">
                  <c:v>3/12/1959</c:v>
                </c:pt>
                <c:pt idx="338">
                  <c:v>4/12/1959</c:v>
                </c:pt>
                <c:pt idx="339">
                  <c:v>5/12/1959</c:v>
                </c:pt>
                <c:pt idx="340">
                  <c:v>6/12/1959</c:v>
                </c:pt>
                <c:pt idx="341">
                  <c:v>7/12/1959</c:v>
                </c:pt>
                <c:pt idx="342">
                  <c:v>8/12/1959</c:v>
                </c:pt>
                <c:pt idx="343">
                  <c:v>9/12/1959</c:v>
                </c:pt>
                <c:pt idx="344">
                  <c:v>10/12/1959</c:v>
                </c:pt>
                <c:pt idx="345">
                  <c:v>11/12/1959</c:v>
                </c:pt>
                <c:pt idx="346">
                  <c:v>12/12/1959</c:v>
                </c:pt>
                <c:pt idx="347">
                  <c:v>13/12/1959</c:v>
                </c:pt>
                <c:pt idx="348">
                  <c:v>14/12/1959</c:v>
                </c:pt>
                <c:pt idx="349">
                  <c:v>15/12/1959</c:v>
                </c:pt>
                <c:pt idx="350">
                  <c:v>16/12/1959</c:v>
                </c:pt>
                <c:pt idx="351">
                  <c:v>17/12/1959</c:v>
                </c:pt>
                <c:pt idx="352">
                  <c:v>18/12/1959</c:v>
                </c:pt>
                <c:pt idx="353">
                  <c:v>19/12/1959</c:v>
                </c:pt>
                <c:pt idx="354">
                  <c:v>20/12/1959</c:v>
                </c:pt>
                <c:pt idx="355">
                  <c:v>21/12/1959</c:v>
                </c:pt>
                <c:pt idx="356">
                  <c:v>22/12/1959</c:v>
                </c:pt>
                <c:pt idx="357">
                  <c:v>23/12/1959</c:v>
                </c:pt>
                <c:pt idx="358">
                  <c:v>24/12/1959</c:v>
                </c:pt>
                <c:pt idx="359">
                  <c:v>25/12/1959</c:v>
                </c:pt>
                <c:pt idx="360">
                  <c:v>26/12/1959</c:v>
                </c:pt>
                <c:pt idx="361">
                  <c:v>27/12/1959</c:v>
                </c:pt>
                <c:pt idx="362">
                  <c:v>28/12/1959</c:v>
                </c:pt>
                <c:pt idx="363">
                  <c:v>29/12/1959</c:v>
                </c:pt>
                <c:pt idx="364">
                  <c:v>30/12/1959</c:v>
                </c:pt>
                <c:pt idx="365">
                  <c:v>31/12/1959</c:v>
                </c:pt>
              </c:strCache>
            </c:strRef>
          </c:cat>
          <c:val>
            <c:numRef>
              <c:f>'Moving Average'!$G$1:$G$366</c:f>
              <c:numCache>
                <c:formatCode>0%</c:formatCode>
                <c:ptCount val="366"/>
                <c:pt idx="0" formatCode="General">
                  <c:v>0</c:v>
                </c:pt>
                <c:pt idx="4">
                  <c:v>4.3010752688172123E-2</c:v>
                </c:pt>
                <c:pt idx="5">
                  <c:v>0.29545454545454547</c:v>
                </c:pt>
                <c:pt idx="6">
                  <c:v>0.20689655172413793</c:v>
                </c:pt>
                <c:pt idx="7">
                  <c:v>0.22962962962962968</c:v>
                </c:pt>
                <c:pt idx="8">
                  <c:v>8.5271317829457308E-2</c:v>
                </c:pt>
                <c:pt idx="9">
                  <c:v>2.6315789473684209E-2</c:v>
                </c:pt>
                <c:pt idx="10">
                  <c:v>0.55555555555555558</c:v>
                </c:pt>
                <c:pt idx="11">
                  <c:v>5.2631578947368418E-2</c:v>
                </c:pt>
                <c:pt idx="12">
                  <c:v>4.0404040404040477E-2</c:v>
                </c:pt>
                <c:pt idx="13">
                  <c:v>0.40606060606060612</c:v>
                </c:pt>
                <c:pt idx="14">
                  <c:v>0.10638297872340426</c:v>
                </c:pt>
                <c:pt idx="15">
                  <c:v>0</c:v>
                </c:pt>
                <c:pt idx="16">
                  <c:v>0.32432432432432434</c:v>
                </c:pt>
                <c:pt idx="17">
                  <c:v>0.14000000000000001</c:v>
                </c:pt>
                <c:pt idx="18">
                  <c:v>2.3255813953488372E-2</c:v>
                </c:pt>
                <c:pt idx="19">
                  <c:v>5.6910569105691117E-2</c:v>
                </c:pt>
                <c:pt idx="20">
                  <c:v>0.14102564102564108</c:v>
                </c:pt>
                <c:pt idx="21">
                  <c:v>0.33333333333333343</c:v>
                </c:pt>
                <c:pt idx="22">
                  <c:v>0.20125786163522008</c:v>
                </c:pt>
                <c:pt idx="23">
                  <c:v>0.18803418803418809</c:v>
                </c:pt>
                <c:pt idx="24">
                  <c:v>0.3125</c:v>
                </c:pt>
                <c:pt idx="25">
                  <c:v>0.11711711711711718</c:v>
                </c:pt>
                <c:pt idx="26">
                  <c:v>0.16279069767441862</c:v>
                </c:pt>
                <c:pt idx="27">
                  <c:v>4.2735042735042673E-2</c:v>
                </c:pt>
                <c:pt idx="28">
                  <c:v>0.13333333333333328</c:v>
                </c:pt>
                <c:pt idx="29">
                  <c:v>0.11363636363636363</c:v>
                </c:pt>
                <c:pt idx="30">
                  <c:v>3.5087719298245675E-2</c:v>
                </c:pt>
                <c:pt idx="31">
                  <c:v>0.625</c:v>
                </c:pt>
                <c:pt idx="32">
                  <c:v>0.53623188405797106</c:v>
                </c:pt>
                <c:pt idx="33">
                  <c:v>8.6021505376344121E-2</c:v>
                </c:pt>
                <c:pt idx="34">
                  <c:v>0.40909090909090912</c:v>
                </c:pt>
                <c:pt idx="35">
                  <c:v>0.14035087719298253</c:v>
                </c:pt>
                <c:pt idx="36">
                  <c:v>0.2466666666666667</c:v>
                </c:pt>
                <c:pt idx="37">
                  <c:v>0.15789473684210525</c:v>
                </c:pt>
                <c:pt idx="38">
                  <c:v>0.17647058823529413</c:v>
                </c:pt>
                <c:pt idx="39">
                  <c:v>0.49462365591397855</c:v>
                </c:pt>
                <c:pt idx="40">
                  <c:v>0.29032258064516131</c:v>
                </c:pt>
                <c:pt idx="41">
                  <c:v>0.2614379084967321</c:v>
                </c:pt>
                <c:pt idx="42">
                  <c:v>4.6296296296296231E-2</c:v>
                </c:pt>
                <c:pt idx="43">
                  <c:v>0.12592592592592589</c:v>
                </c:pt>
                <c:pt idx="44">
                  <c:v>0.13725490196078433</c:v>
                </c:pt>
                <c:pt idx="45">
                  <c:v>0.29411764705882354</c:v>
                </c:pt>
                <c:pt idx="46">
                  <c:v>0.16666666666666663</c:v>
                </c:pt>
                <c:pt idx="47">
                  <c:v>2.8368794326241186E-2</c:v>
                </c:pt>
                <c:pt idx="48">
                  <c:v>1.4814814814814762E-2</c:v>
                </c:pt>
                <c:pt idx="49">
                  <c:v>4.3478260869565216E-2</c:v>
                </c:pt>
                <c:pt idx="50">
                  <c:v>0.17948717948717949</c:v>
                </c:pt>
                <c:pt idx="51">
                  <c:v>9.7222222222222168E-2</c:v>
                </c:pt>
                <c:pt idx="52">
                  <c:v>0.19819819819819826</c:v>
                </c:pt>
                <c:pt idx="53">
                  <c:v>0.18095238095238103</c:v>
                </c:pt>
                <c:pt idx="54">
                  <c:v>0.23076923076923078</c:v>
                </c:pt>
                <c:pt idx="55">
                  <c:v>1.5873015873015817E-2</c:v>
                </c:pt>
                <c:pt idx="56">
                  <c:v>4.4444444444444446E-2</c:v>
                </c:pt>
                <c:pt idx="57">
                  <c:v>0.18803418803418809</c:v>
                </c:pt>
                <c:pt idx="58">
                  <c:v>0.13513513513513514</c:v>
                </c:pt>
                <c:pt idx="59">
                  <c:v>0.3444444444444445</c:v>
                </c:pt>
                <c:pt idx="60">
                  <c:v>9.5238095238095923E-3</c:v>
                </c:pt>
                <c:pt idx="61">
                  <c:v>0.21428571428571427</c:v>
                </c:pt>
                <c:pt idx="62">
                  <c:v>0.31111111111111112</c:v>
                </c:pt>
                <c:pt idx="63">
                  <c:v>5.8823529411764705E-2</c:v>
                </c:pt>
                <c:pt idx="64">
                  <c:v>9.2592592592593247E-3</c:v>
                </c:pt>
                <c:pt idx="65">
                  <c:v>0.23333333333333328</c:v>
                </c:pt>
                <c:pt idx="66">
                  <c:v>9.0909090909090912E-2</c:v>
                </c:pt>
                <c:pt idx="67">
                  <c:v>0.11111111111111117</c:v>
                </c:pt>
                <c:pt idx="68">
                  <c:v>0.38541666666666674</c:v>
                </c:pt>
                <c:pt idx="69">
                  <c:v>1.7094017094017033E-2</c:v>
                </c:pt>
                <c:pt idx="70">
                  <c:v>0.18518518518518523</c:v>
                </c:pt>
                <c:pt idx="71">
                  <c:v>0.10077519379844967</c:v>
                </c:pt>
                <c:pt idx="72">
                  <c:v>8.5470085470085527E-2</c:v>
                </c:pt>
                <c:pt idx="73">
                  <c:v>0.36559139784946243</c:v>
                </c:pt>
                <c:pt idx="74">
                  <c:v>0.39506172839506165</c:v>
                </c:pt>
                <c:pt idx="75">
                  <c:v>7.7777777777777862E-2</c:v>
                </c:pt>
                <c:pt idx="76">
                  <c:v>0.30158730158730163</c:v>
                </c:pt>
                <c:pt idx="77">
                  <c:v>0.28260869565217389</c:v>
                </c:pt>
                <c:pt idx="78">
                  <c:v>4.0650406504064984E-2</c:v>
                </c:pt>
                <c:pt idx="79">
                  <c:v>0.19444444444444445</c:v>
                </c:pt>
                <c:pt idx="80">
                  <c:v>8.8888888888888892E-2</c:v>
                </c:pt>
                <c:pt idx="81">
                  <c:v>0.1159420289855073</c:v>
                </c:pt>
                <c:pt idx="82">
                  <c:v>1.5503875968992192E-2</c:v>
                </c:pt>
                <c:pt idx="83">
                  <c:v>0.175438596491228</c:v>
                </c:pt>
                <c:pt idx="84">
                  <c:v>0.24509803921568635</c:v>
                </c:pt>
                <c:pt idx="85">
                  <c:v>9.5238095238095302E-2</c:v>
                </c:pt>
                <c:pt idx="86">
                  <c:v>0.36309523809523814</c:v>
                </c:pt>
                <c:pt idx="87">
                  <c:v>0.15740740740740733</c:v>
                </c:pt>
                <c:pt idx="88">
                  <c:v>0.32291666666666674</c:v>
                </c:pt>
                <c:pt idx="89">
                  <c:v>0.17333333333333328</c:v>
                </c:pt>
                <c:pt idx="90">
                  <c:v>4.0650406504064984E-2</c:v>
                </c:pt>
                <c:pt idx="91">
                  <c:v>5.128205128205128E-2</c:v>
                </c:pt>
                <c:pt idx="92">
                  <c:v>5.6910569105691117E-2</c:v>
                </c:pt>
                <c:pt idx="93">
                  <c:v>0.14184397163120563</c:v>
                </c:pt>
                <c:pt idx="94">
                  <c:v>0.24509803921568635</c:v>
                </c:pt>
                <c:pt idx="95">
                  <c:v>0.12962962962962957</c:v>
                </c:pt>
                <c:pt idx="96">
                  <c:v>0.18181818181818182</c:v>
                </c:pt>
                <c:pt idx="97">
                  <c:v>1.904761904761898E-2</c:v>
                </c:pt>
                <c:pt idx="98">
                  <c:v>8.77192982456141E-2</c:v>
                </c:pt>
                <c:pt idx="99">
                  <c:v>7.0175438596491169E-2</c:v>
                </c:pt>
                <c:pt idx="100">
                  <c:v>8.8235294117647065E-2</c:v>
                </c:pt>
                <c:pt idx="101">
                  <c:v>0.30817610062893086</c:v>
                </c:pt>
                <c:pt idx="102">
                  <c:v>0.22549019607843129</c:v>
                </c:pt>
                <c:pt idx="103">
                  <c:v>0.18627450980392163</c:v>
                </c:pt>
                <c:pt idx="104">
                  <c:v>6.1403508771929884E-2</c:v>
                </c:pt>
                <c:pt idx="105">
                  <c:v>9.5238095238095923E-3</c:v>
                </c:pt>
                <c:pt idx="106">
                  <c:v>0.11458333333333326</c:v>
                </c:pt>
                <c:pt idx="107">
                  <c:v>0.16666666666666666</c:v>
                </c:pt>
                <c:pt idx="108">
                  <c:v>6.8627450980392232E-2</c:v>
                </c:pt>
                <c:pt idx="109">
                  <c:v>0.21739130434782608</c:v>
                </c:pt>
                <c:pt idx="110">
                  <c:v>0.35555555555555546</c:v>
                </c:pt>
                <c:pt idx="111">
                  <c:v>0.20289855072463772</c:v>
                </c:pt>
                <c:pt idx="112">
                  <c:v>9.6296296296296352E-2</c:v>
                </c:pt>
                <c:pt idx="113">
                  <c:v>0.25308641975308638</c:v>
                </c:pt>
                <c:pt idx="114">
                  <c:v>0.42156862745098045</c:v>
                </c:pt>
                <c:pt idx="115">
                  <c:v>0.19819819819819826</c:v>
                </c:pt>
                <c:pt idx="116">
                  <c:v>0.19047619047619041</c:v>
                </c:pt>
                <c:pt idx="117">
                  <c:v>0.11666666666666661</c:v>
                </c:pt>
                <c:pt idx="118">
                  <c:v>0.11111111111111105</c:v>
                </c:pt>
                <c:pt idx="119">
                  <c:v>0.32758620689655171</c:v>
                </c:pt>
                <c:pt idx="120">
                  <c:v>8.4967320261437954E-2</c:v>
                </c:pt>
                <c:pt idx="121">
                  <c:v>0.57291666666666674</c:v>
                </c:pt>
                <c:pt idx="122">
                  <c:v>0.34285714285714286</c:v>
                </c:pt>
                <c:pt idx="123">
                  <c:v>3.5087719298245675E-2</c:v>
                </c:pt>
                <c:pt idx="124">
                  <c:v>6.0606060606060608E-2</c:v>
                </c:pt>
                <c:pt idx="125">
                  <c:v>9.4017094017093961E-2</c:v>
                </c:pt>
                <c:pt idx="126">
                  <c:v>0.21985815602836883</c:v>
                </c:pt>
                <c:pt idx="127">
                  <c:v>4.3859649122806953E-2</c:v>
                </c:pt>
                <c:pt idx="128">
                  <c:v>0.20512820512820509</c:v>
                </c:pt>
                <c:pt idx="129">
                  <c:v>0.52222222222222214</c:v>
                </c:pt>
                <c:pt idx="130">
                  <c:v>0.17647058823529413</c:v>
                </c:pt>
                <c:pt idx="131">
                  <c:v>3.3333333333333395E-2</c:v>
                </c:pt>
                <c:pt idx="132">
                  <c:v>9.5238095238095923E-3</c:v>
                </c:pt>
                <c:pt idx="133">
                  <c:v>0.13492063492063486</c:v>
                </c:pt>
                <c:pt idx="134">
                  <c:v>4.878048780487805E-2</c:v>
                </c:pt>
                <c:pt idx="135">
                  <c:v>6.3492063492063433E-2</c:v>
                </c:pt>
                <c:pt idx="136">
                  <c:v>9.6491228070175378E-2</c:v>
                </c:pt>
                <c:pt idx="137">
                  <c:v>0.68055555555555569</c:v>
                </c:pt>
                <c:pt idx="138">
                  <c:v>1.9607843137254832E-2</c:v>
                </c:pt>
                <c:pt idx="139">
                  <c:v>0.2558139534883721</c:v>
                </c:pt>
                <c:pt idx="140">
                  <c:v>6.4814814814814881E-2</c:v>
                </c:pt>
                <c:pt idx="141">
                  <c:v>0.31515151515151518</c:v>
                </c:pt>
                <c:pt idx="142">
                  <c:v>8.9430894308943035E-2</c:v>
                </c:pt>
                <c:pt idx="143">
                  <c:v>2.2222222222222223E-2</c:v>
                </c:pt>
                <c:pt idx="144">
                  <c:v>0.14634146341463414</c:v>
                </c:pt>
                <c:pt idx="145">
                  <c:v>0.1441441441441442</c:v>
                </c:pt>
                <c:pt idx="146">
                  <c:v>4.6511627906976744E-2</c:v>
                </c:pt>
                <c:pt idx="147">
                  <c:v>3.4188034188034247E-2</c:v>
                </c:pt>
                <c:pt idx="148">
                  <c:v>0.20202020202020196</c:v>
                </c:pt>
                <c:pt idx="149">
                  <c:v>0.10852713178294568</c:v>
                </c:pt>
                <c:pt idx="150">
                  <c:v>4.1666666666666609E-2</c:v>
                </c:pt>
                <c:pt idx="151">
                  <c:v>1.7543859649122744E-2</c:v>
                </c:pt>
                <c:pt idx="152">
                  <c:v>0.10370370370370365</c:v>
                </c:pt>
                <c:pt idx="153">
                  <c:v>0.10869565217391304</c:v>
                </c:pt>
                <c:pt idx="154">
                  <c:v>0.26470588235294118</c:v>
                </c:pt>
                <c:pt idx="155">
                  <c:v>0.19047619047619041</c:v>
                </c:pt>
                <c:pt idx="156">
                  <c:v>0.20138888888888884</c:v>
                </c:pt>
                <c:pt idx="157">
                  <c:v>0.23529411764705882</c:v>
                </c:pt>
                <c:pt idx="158">
                  <c:v>0.24074074074074067</c:v>
                </c:pt>
                <c:pt idx="159">
                  <c:v>0.36363636363636365</c:v>
                </c:pt>
                <c:pt idx="160">
                  <c:v>0.13043478260869565</c:v>
                </c:pt>
                <c:pt idx="161">
                  <c:v>8.7301587301587241E-2</c:v>
                </c:pt>
                <c:pt idx="162">
                  <c:v>0.15972222222222218</c:v>
                </c:pt>
                <c:pt idx="163">
                  <c:v>0.33333333333333343</c:v>
                </c:pt>
                <c:pt idx="164">
                  <c:v>8.1300813008130662E-3</c:v>
                </c:pt>
                <c:pt idx="165">
                  <c:v>0.17142857142857143</c:v>
                </c:pt>
                <c:pt idx="166">
                  <c:v>8.3333333333333398E-2</c:v>
                </c:pt>
                <c:pt idx="167">
                  <c:v>0.13725490196078424</c:v>
                </c:pt>
                <c:pt idx="168">
                  <c:v>0.21111111111111119</c:v>
                </c:pt>
                <c:pt idx="169">
                  <c:v>3.7037037037037104E-2</c:v>
                </c:pt>
                <c:pt idx="170">
                  <c:v>0.1666666666666666</c:v>
                </c:pt>
                <c:pt idx="171">
                  <c:v>9.4017094017093961E-2</c:v>
                </c:pt>
                <c:pt idx="172">
                  <c:v>0.14814814814814808</c:v>
                </c:pt>
                <c:pt idx="173">
                  <c:v>8.77192982456141E-2</c:v>
                </c:pt>
                <c:pt idx="174">
                  <c:v>0.13475177304964545</c:v>
                </c:pt>
                <c:pt idx="175">
                  <c:v>0.3131313131313132</c:v>
                </c:pt>
                <c:pt idx="176">
                  <c:v>0.31111111111111117</c:v>
                </c:pt>
                <c:pt idx="177">
                  <c:v>0.12698412698412703</c:v>
                </c:pt>
                <c:pt idx="178">
                  <c:v>0.18604651162790697</c:v>
                </c:pt>
                <c:pt idx="179">
                  <c:v>6.5040650406504003E-2</c:v>
                </c:pt>
                <c:pt idx="180">
                  <c:v>2.4390243902439025E-2</c:v>
                </c:pt>
                <c:pt idx="181">
                  <c:v>0.29378531073446329</c:v>
                </c:pt>
                <c:pt idx="182">
                  <c:v>9.3023255813953487E-2</c:v>
                </c:pt>
                <c:pt idx="183">
                  <c:v>5.9259259259259206E-2</c:v>
                </c:pt>
                <c:pt idx="184">
                  <c:v>0.28947368421052633</c:v>
                </c:pt>
                <c:pt idx="185">
                  <c:v>0.13513513513513514</c:v>
                </c:pt>
                <c:pt idx="186">
                  <c:v>0.1111111111111111</c:v>
                </c:pt>
                <c:pt idx="187">
                  <c:v>4.7619047619047616E-2</c:v>
                </c:pt>
                <c:pt idx="188">
                  <c:v>0.27485380116959063</c:v>
                </c:pt>
                <c:pt idx="189">
                  <c:v>4.3478260869565216E-2</c:v>
                </c:pt>
                <c:pt idx="190">
                  <c:v>5.2287581699346358E-2</c:v>
                </c:pt>
                <c:pt idx="191">
                  <c:v>0.25203252032520329</c:v>
                </c:pt>
                <c:pt idx="192">
                  <c:v>2.1276595744680851E-2</c:v>
                </c:pt>
                <c:pt idx="193">
                  <c:v>0.78205128205128216</c:v>
                </c:pt>
                <c:pt idx="194">
                  <c:v>8.5714285714285715E-2</c:v>
                </c:pt>
                <c:pt idx="195">
                  <c:v>0.18181818181818182</c:v>
                </c:pt>
                <c:pt idx="196">
                  <c:v>0.14634146341463414</c:v>
                </c:pt>
                <c:pt idx="197">
                  <c:v>4.7619047619047616E-2</c:v>
                </c:pt>
                <c:pt idx="198">
                  <c:v>0.17592592592592599</c:v>
                </c:pt>
                <c:pt idx="199">
                  <c:v>0.11851851851851856</c:v>
                </c:pt>
                <c:pt idx="200">
                  <c:v>8.8888888888888892E-2</c:v>
                </c:pt>
                <c:pt idx="201">
                  <c:v>6.6666666666666666E-2</c:v>
                </c:pt>
                <c:pt idx="202">
                  <c:v>4.2553191489361701E-2</c:v>
                </c:pt>
                <c:pt idx="203">
                  <c:v>0.20175438596491221</c:v>
                </c:pt>
                <c:pt idx="204">
                  <c:v>3.17460317460318E-2</c:v>
                </c:pt>
                <c:pt idx="205">
                  <c:v>0.20952380952380958</c:v>
                </c:pt>
                <c:pt idx="206">
                  <c:v>6.4814814814814881E-2</c:v>
                </c:pt>
                <c:pt idx="207">
                  <c:v>3.4188034188034247E-2</c:v>
                </c:pt>
                <c:pt idx="208">
                  <c:v>0.18518518518518523</c:v>
                </c:pt>
                <c:pt idx="209">
                  <c:v>6.9767441860465115E-2</c:v>
                </c:pt>
                <c:pt idx="210">
                  <c:v>9.9290780141843921E-2</c:v>
                </c:pt>
                <c:pt idx="211">
                  <c:v>0.25</c:v>
                </c:pt>
                <c:pt idx="212">
                  <c:v>2.4390243902439025E-2</c:v>
                </c:pt>
                <c:pt idx="213">
                  <c:v>0.17333333333333328</c:v>
                </c:pt>
                <c:pt idx="214">
                  <c:v>8.5470085470085527E-2</c:v>
                </c:pt>
                <c:pt idx="215">
                  <c:v>5.6910569105691117E-2</c:v>
                </c:pt>
                <c:pt idx="216">
                  <c:v>5.7971014492753568E-2</c:v>
                </c:pt>
                <c:pt idx="217">
                  <c:v>0.34375</c:v>
                </c:pt>
                <c:pt idx="218">
                  <c:v>0.11851851851851856</c:v>
                </c:pt>
                <c:pt idx="219">
                  <c:v>0.51960784313725483</c:v>
                </c:pt>
                <c:pt idx="220">
                  <c:v>0.25438596491228066</c:v>
                </c:pt>
                <c:pt idx="221">
                  <c:v>0.11363636363636363</c:v>
                </c:pt>
                <c:pt idx="222">
                  <c:v>0.1944444444444445</c:v>
                </c:pt>
                <c:pt idx="223">
                  <c:v>5.7971014492753568E-2</c:v>
                </c:pt>
                <c:pt idx="224">
                  <c:v>4.5454545454545456E-2</c:v>
                </c:pt>
                <c:pt idx="225">
                  <c:v>0.24324324324324326</c:v>
                </c:pt>
                <c:pt idx="226">
                  <c:v>8.5470085470085527E-2</c:v>
                </c:pt>
                <c:pt idx="227">
                  <c:v>9.0909090909090912E-2</c:v>
                </c:pt>
                <c:pt idx="228">
                  <c:v>0.1111111111111111</c:v>
                </c:pt>
                <c:pt idx="229">
                  <c:v>0.29292929292929287</c:v>
                </c:pt>
                <c:pt idx="230">
                  <c:v>7.5757575757575815E-2</c:v>
                </c:pt>
                <c:pt idx="231">
                  <c:v>7.0175438596491169E-2</c:v>
                </c:pt>
                <c:pt idx="232">
                  <c:v>0.1666666666666666</c:v>
                </c:pt>
                <c:pt idx="233">
                  <c:v>7.2463768115942087E-2</c:v>
                </c:pt>
                <c:pt idx="234">
                  <c:v>8.3333333333333398E-2</c:v>
                </c:pt>
                <c:pt idx="235">
                  <c:v>0.12820512820512819</c:v>
                </c:pt>
                <c:pt idx="236">
                  <c:v>5.3030303030303087E-2</c:v>
                </c:pt>
                <c:pt idx="237">
                  <c:v>0.14583333333333334</c:v>
                </c:pt>
                <c:pt idx="238">
                  <c:v>0.12666666666666671</c:v>
                </c:pt>
                <c:pt idx="239">
                  <c:v>0.15447154471544722</c:v>
                </c:pt>
                <c:pt idx="240">
                  <c:v>0.10317460317460322</c:v>
                </c:pt>
                <c:pt idx="241">
                  <c:v>0.13071895424836596</c:v>
                </c:pt>
                <c:pt idx="242">
                  <c:v>8.9430894308943035E-2</c:v>
                </c:pt>
                <c:pt idx="243">
                  <c:v>1.5151515151515098E-2</c:v>
                </c:pt>
                <c:pt idx="244">
                  <c:v>0.19298245614035095</c:v>
                </c:pt>
                <c:pt idx="245">
                  <c:v>0.39705882352941174</c:v>
                </c:pt>
                <c:pt idx="246">
                  <c:v>0.25</c:v>
                </c:pt>
                <c:pt idx="247">
                  <c:v>0.15873015873015867</c:v>
                </c:pt>
                <c:pt idx="248">
                  <c:v>1.9607843137254902E-2</c:v>
                </c:pt>
                <c:pt idx="249">
                  <c:v>7.5757575757576297E-3</c:v>
                </c:pt>
                <c:pt idx="250">
                  <c:v>1.4814814814814762E-2</c:v>
                </c:pt>
                <c:pt idx="251">
                  <c:v>0.29629629629629622</c:v>
                </c:pt>
                <c:pt idx="252">
                  <c:v>0.26900584795321641</c:v>
                </c:pt>
                <c:pt idx="253">
                  <c:v>4.5454545454545456E-2</c:v>
                </c:pt>
                <c:pt idx="254">
                  <c:v>8.7301587301587241E-2</c:v>
                </c:pt>
                <c:pt idx="255">
                  <c:v>0.10062893081761011</c:v>
                </c:pt>
                <c:pt idx="256">
                  <c:v>0.10317460317460322</c:v>
                </c:pt>
                <c:pt idx="257">
                  <c:v>0.34313725490196073</c:v>
                </c:pt>
                <c:pt idx="258">
                  <c:v>7.4999999999999997E-2</c:v>
                </c:pt>
                <c:pt idx="259">
                  <c:v>0.30952380952380959</c:v>
                </c:pt>
                <c:pt idx="260">
                  <c:v>1.5151515151515098E-2</c:v>
                </c:pt>
                <c:pt idx="261">
                  <c:v>0.11949685534591199</c:v>
                </c:pt>
                <c:pt idx="262">
                  <c:v>7.2727272727272724E-2</c:v>
                </c:pt>
                <c:pt idx="263">
                  <c:v>0.29914529914529908</c:v>
                </c:pt>
                <c:pt idx="264">
                  <c:v>0.16949152542372881</c:v>
                </c:pt>
                <c:pt idx="265">
                  <c:v>7.2727272727272724E-2</c:v>
                </c:pt>
                <c:pt idx="266">
                  <c:v>0.30136986301369861</c:v>
                </c:pt>
                <c:pt idx="267">
                  <c:v>0.13333333333333339</c:v>
                </c:pt>
                <c:pt idx="268">
                  <c:v>0.38636363636363635</c:v>
                </c:pt>
                <c:pt idx="269">
                  <c:v>0.33333333333333337</c:v>
                </c:pt>
                <c:pt idx="270">
                  <c:v>0.1833333333333334</c:v>
                </c:pt>
                <c:pt idx="271">
                  <c:v>9.9290780141843921E-2</c:v>
                </c:pt>
                <c:pt idx="272">
                  <c:v>0.15032679738562088</c:v>
                </c:pt>
                <c:pt idx="273">
                  <c:v>0.17857142857142858</c:v>
                </c:pt>
                <c:pt idx="274">
                  <c:v>4.7619047619047665E-2</c:v>
                </c:pt>
                <c:pt idx="275">
                  <c:v>3.7037037037037035E-2</c:v>
                </c:pt>
                <c:pt idx="276">
                  <c:v>5.3571428571428568E-2</c:v>
                </c:pt>
                <c:pt idx="277">
                  <c:v>0.1276595744680851</c:v>
                </c:pt>
                <c:pt idx="278">
                  <c:v>0.18939393939393945</c:v>
                </c:pt>
                <c:pt idx="279">
                  <c:v>0.13953488372093023</c:v>
                </c:pt>
                <c:pt idx="280">
                  <c:v>6.3492063492063433E-2</c:v>
                </c:pt>
                <c:pt idx="281">
                  <c:v>4.4444444444444446E-2</c:v>
                </c:pt>
                <c:pt idx="282">
                  <c:v>0.13333333333333328</c:v>
                </c:pt>
                <c:pt idx="283">
                  <c:v>4.861111111111116E-2</c:v>
                </c:pt>
                <c:pt idx="284">
                  <c:v>0.10852713178294568</c:v>
                </c:pt>
                <c:pt idx="285">
                  <c:v>0.17499999999999999</c:v>
                </c:pt>
                <c:pt idx="286">
                  <c:v>0.25988700564971756</c:v>
                </c:pt>
                <c:pt idx="287">
                  <c:v>0.15447154471544722</c:v>
                </c:pt>
                <c:pt idx="288">
                  <c:v>0.11111111111111105</c:v>
                </c:pt>
                <c:pt idx="289">
                  <c:v>7.189542483660126E-2</c:v>
                </c:pt>
                <c:pt idx="290">
                  <c:v>8.8435374149659907E-2</c:v>
                </c:pt>
                <c:pt idx="291">
                  <c:v>5.1851851851851906E-2</c:v>
                </c:pt>
                <c:pt idx="292">
                  <c:v>0.12403100775193804</c:v>
                </c:pt>
                <c:pt idx="293">
                  <c:v>8.7301587301587241E-2</c:v>
                </c:pt>
                <c:pt idx="294">
                  <c:v>0.14035087719298253</c:v>
                </c:pt>
                <c:pt idx="295">
                  <c:v>0.1276595744680851</c:v>
                </c:pt>
                <c:pt idx="296">
                  <c:v>0.11403508771929831</c:v>
                </c:pt>
                <c:pt idx="297">
                  <c:v>0.1388888888888889</c:v>
                </c:pt>
                <c:pt idx="298">
                  <c:v>3.9682539682539625E-2</c:v>
                </c:pt>
                <c:pt idx="299">
                  <c:v>0.1047619047619047</c:v>
                </c:pt>
                <c:pt idx="300">
                  <c:v>0.34523809523809518</c:v>
                </c:pt>
                <c:pt idx="301">
                  <c:v>0.20454545454545456</c:v>
                </c:pt>
                <c:pt idx="302">
                  <c:v>9.2592592592593247E-3</c:v>
                </c:pt>
                <c:pt idx="303">
                  <c:v>0.2</c:v>
                </c:pt>
                <c:pt idx="304">
                  <c:v>9.4202898550724695E-2</c:v>
                </c:pt>
                <c:pt idx="305">
                  <c:v>0.11805555555555551</c:v>
                </c:pt>
                <c:pt idx="306">
                  <c:v>5.4421768707482943E-2</c:v>
                </c:pt>
                <c:pt idx="307">
                  <c:v>0.10852713178294568</c:v>
                </c:pt>
                <c:pt idx="308">
                  <c:v>0.11111111111111105</c:v>
                </c:pt>
                <c:pt idx="309">
                  <c:v>0.24293785310734467</c:v>
                </c:pt>
                <c:pt idx="310">
                  <c:v>6.6666666666666666E-2</c:v>
                </c:pt>
                <c:pt idx="311">
                  <c:v>6.4102564102564152E-2</c:v>
                </c:pt>
                <c:pt idx="312">
                  <c:v>0.13043478260869565</c:v>
                </c:pt>
                <c:pt idx="313">
                  <c:v>0.13492063492063486</c:v>
                </c:pt>
                <c:pt idx="314">
                  <c:v>0.1666666666666666</c:v>
                </c:pt>
                <c:pt idx="315">
                  <c:v>6.666666666666661E-2</c:v>
                </c:pt>
                <c:pt idx="316">
                  <c:v>9.6296296296296352E-2</c:v>
                </c:pt>
                <c:pt idx="317">
                  <c:v>0.19047619047619041</c:v>
                </c:pt>
                <c:pt idx="318">
                  <c:v>0.14285714285714285</c:v>
                </c:pt>
                <c:pt idx="319">
                  <c:v>4.1666666666666609E-2</c:v>
                </c:pt>
                <c:pt idx="320">
                  <c:v>5.9829059829059887E-2</c:v>
                </c:pt>
                <c:pt idx="321">
                  <c:v>0.15151515151515152</c:v>
                </c:pt>
                <c:pt idx="322">
                  <c:v>0.11111111111111105</c:v>
                </c:pt>
                <c:pt idx="323">
                  <c:v>0.19148936170212766</c:v>
                </c:pt>
                <c:pt idx="324">
                  <c:v>0.20261437908496738</c:v>
                </c:pt>
                <c:pt idx="325">
                  <c:v>6.0606060606060552E-2</c:v>
                </c:pt>
                <c:pt idx="326">
                  <c:v>0.1833333333333334</c:v>
                </c:pt>
                <c:pt idx="327">
                  <c:v>0.21052631578947367</c:v>
                </c:pt>
                <c:pt idx="328">
                  <c:v>4.0816326530612242E-2</c:v>
                </c:pt>
                <c:pt idx="329">
                  <c:v>8.1481481481481433E-2</c:v>
                </c:pt>
                <c:pt idx="330">
                  <c:v>2.7210884353741544E-2</c:v>
                </c:pt>
                <c:pt idx="331">
                  <c:v>6.5359477124183052E-2</c:v>
                </c:pt>
                <c:pt idx="332">
                  <c:v>5.0724637681159472E-2</c:v>
                </c:pt>
                <c:pt idx="333">
                  <c:v>0.10606060606060601</c:v>
                </c:pt>
                <c:pt idx="334">
                  <c:v>9.6153846153846159E-2</c:v>
                </c:pt>
                <c:pt idx="335">
                  <c:v>5.1851851851851906E-2</c:v>
                </c:pt>
                <c:pt idx="336">
                  <c:v>0.46875</c:v>
                </c:pt>
                <c:pt idx="337">
                  <c:v>6.5217391304347824E-2</c:v>
                </c:pt>
                <c:pt idx="338">
                  <c:v>0</c:v>
                </c:pt>
                <c:pt idx="339">
                  <c:v>0.1666666666666666</c:v>
                </c:pt>
                <c:pt idx="340">
                  <c:v>0.22222222222222229</c:v>
                </c:pt>
                <c:pt idx="341">
                  <c:v>0</c:v>
                </c:pt>
                <c:pt idx="342">
                  <c:v>0.29931972789115641</c:v>
                </c:pt>
                <c:pt idx="343">
                  <c:v>8.5271317829457308E-2</c:v>
                </c:pt>
                <c:pt idx="344">
                  <c:v>7.7519379844961794E-3</c:v>
                </c:pt>
                <c:pt idx="345">
                  <c:v>0.3235294117647059</c:v>
                </c:pt>
                <c:pt idx="346">
                  <c:v>2.564102564102564E-2</c:v>
                </c:pt>
                <c:pt idx="347">
                  <c:v>0.1047619047619047</c:v>
                </c:pt>
                <c:pt idx="348">
                  <c:v>0.30769230769230771</c:v>
                </c:pt>
                <c:pt idx="349">
                  <c:v>0.10638297872340426</c:v>
                </c:pt>
                <c:pt idx="350">
                  <c:v>0.14102564102564108</c:v>
                </c:pt>
                <c:pt idx="351">
                  <c:v>0.29059829059829068</c:v>
                </c:pt>
                <c:pt idx="352">
                  <c:v>0.15</c:v>
                </c:pt>
                <c:pt idx="353">
                  <c:v>3.9682539682539625E-2</c:v>
                </c:pt>
                <c:pt idx="354">
                  <c:v>3.9682539682539625E-2</c:v>
                </c:pt>
                <c:pt idx="355">
                  <c:v>0.22012578616352196</c:v>
                </c:pt>
                <c:pt idx="356">
                  <c:v>0.17094017094017089</c:v>
                </c:pt>
                <c:pt idx="357">
                  <c:v>0.11666666666666661</c:v>
                </c:pt>
                <c:pt idx="358">
                  <c:v>0.15789473684210525</c:v>
                </c:pt>
                <c:pt idx="359">
                  <c:v>0.11363636363636363</c:v>
                </c:pt>
                <c:pt idx="360">
                  <c:v>0.19607843137254896</c:v>
                </c:pt>
                <c:pt idx="361">
                  <c:v>4.504504504504498E-2</c:v>
                </c:pt>
                <c:pt idx="362">
                  <c:v>0.26282051282051277</c:v>
                </c:pt>
                <c:pt idx="363">
                  <c:v>0.14583333333333334</c:v>
                </c:pt>
                <c:pt idx="364">
                  <c:v>0.16969696969696973</c:v>
                </c:pt>
                <c:pt idx="365">
                  <c:v>3.3333333333333284E-2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91-4F64-B0C7-7D118A7B5C9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'Moving Average'!$A$1:$A$366</c:f>
              <c:strCache>
                <c:ptCount val="366"/>
                <c:pt idx="0">
                  <c:v>Date</c:v>
                </c:pt>
                <c:pt idx="1">
                  <c:v>1/1/1959</c:v>
                </c:pt>
                <c:pt idx="2">
                  <c:v>2/1/1959</c:v>
                </c:pt>
                <c:pt idx="3">
                  <c:v>3/1/1959</c:v>
                </c:pt>
                <c:pt idx="4">
                  <c:v>4/1/1959</c:v>
                </c:pt>
                <c:pt idx="5">
                  <c:v>5/1/1959</c:v>
                </c:pt>
                <c:pt idx="6">
                  <c:v>6/1/1959</c:v>
                </c:pt>
                <c:pt idx="7">
                  <c:v>7/1/1959</c:v>
                </c:pt>
                <c:pt idx="8">
                  <c:v>8/1/1959</c:v>
                </c:pt>
                <c:pt idx="9">
                  <c:v>9/1/1959</c:v>
                </c:pt>
                <c:pt idx="10">
                  <c:v>10/1/1959</c:v>
                </c:pt>
                <c:pt idx="11">
                  <c:v>11/1/1959</c:v>
                </c:pt>
                <c:pt idx="12">
                  <c:v>12/1/1959</c:v>
                </c:pt>
                <c:pt idx="13">
                  <c:v>13/1/1959</c:v>
                </c:pt>
                <c:pt idx="14">
                  <c:v>14/1/1959</c:v>
                </c:pt>
                <c:pt idx="15">
                  <c:v>15/1/1959</c:v>
                </c:pt>
                <c:pt idx="16">
                  <c:v>16/1/1959</c:v>
                </c:pt>
                <c:pt idx="17">
                  <c:v>17/1/1959</c:v>
                </c:pt>
                <c:pt idx="18">
                  <c:v>18/1/1959</c:v>
                </c:pt>
                <c:pt idx="19">
                  <c:v>19/1/1959</c:v>
                </c:pt>
                <c:pt idx="20">
                  <c:v>20/1/1959</c:v>
                </c:pt>
                <c:pt idx="21">
                  <c:v>21/1/1959</c:v>
                </c:pt>
                <c:pt idx="22">
                  <c:v>22/1/1959</c:v>
                </c:pt>
                <c:pt idx="23">
                  <c:v>23/1/1959</c:v>
                </c:pt>
                <c:pt idx="24">
                  <c:v>24/1/1959</c:v>
                </c:pt>
                <c:pt idx="25">
                  <c:v>25/1/1959</c:v>
                </c:pt>
                <c:pt idx="26">
                  <c:v>26/1/1959</c:v>
                </c:pt>
                <c:pt idx="27">
                  <c:v>27/1/1959</c:v>
                </c:pt>
                <c:pt idx="28">
                  <c:v>28/1/1959</c:v>
                </c:pt>
                <c:pt idx="29">
                  <c:v>29/1/1959</c:v>
                </c:pt>
                <c:pt idx="30">
                  <c:v>30/1/1959</c:v>
                </c:pt>
                <c:pt idx="31">
                  <c:v>31/1/1959</c:v>
                </c:pt>
                <c:pt idx="32">
                  <c:v>1/2/1959</c:v>
                </c:pt>
                <c:pt idx="33">
                  <c:v>2/2/1959</c:v>
                </c:pt>
                <c:pt idx="34">
                  <c:v>3/2/1959</c:v>
                </c:pt>
                <c:pt idx="35">
                  <c:v>4/2/1959</c:v>
                </c:pt>
                <c:pt idx="36">
                  <c:v>5/2/1959</c:v>
                </c:pt>
                <c:pt idx="37">
                  <c:v>6/2/1959</c:v>
                </c:pt>
                <c:pt idx="38">
                  <c:v>7/2/1959</c:v>
                </c:pt>
                <c:pt idx="39">
                  <c:v>8/2/1959</c:v>
                </c:pt>
                <c:pt idx="40">
                  <c:v>9/2/1959</c:v>
                </c:pt>
                <c:pt idx="41">
                  <c:v>10/2/1959</c:v>
                </c:pt>
                <c:pt idx="42">
                  <c:v>11/2/1959</c:v>
                </c:pt>
                <c:pt idx="43">
                  <c:v>12/2/1959</c:v>
                </c:pt>
                <c:pt idx="44">
                  <c:v>13/2/1959</c:v>
                </c:pt>
                <c:pt idx="45">
                  <c:v>14/2/1959</c:v>
                </c:pt>
                <c:pt idx="46">
                  <c:v>15/2/1959</c:v>
                </c:pt>
                <c:pt idx="47">
                  <c:v>16/2/1959</c:v>
                </c:pt>
                <c:pt idx="48">
                  <c:v>17/2/1959</c:v>
                </c:pt>
                <c:pt idx="49">
                  <c:v>18/2/1959</c:v>
                </c:pt>
                <c:pt idx="50">
                  <c:v>19/2/1959</c:v>
                </c:pt>
                <c:pt idx="51">
                  <c:v>20/2/1959</c:v>
                </c:pt>
                <c:pt idx="52">
                  <c:v>21/2/1959</c:v>
                </c:pt>
                <c:pt idx="53">
                  <c:v>22/2/1959</c:v>
                </c:pt>
                <c:pt idx="54">
                  <c:v>23/2/1959</c:v>
                </c:pt>
                <c:pt idx="55">
                  <c:v>24/2/1959</c:v>
                </c:pt>
                <c:pt idx="56">
                  <c:v>25/2/1959</c:v>
                </c:pt>
                <c:pt idx="57">
                  <c:v>26/2/1959</c:v>
                </c:pt>
                <c:pt idx="58">
                  <c:v>27/2/1959</c:v>
                </c:pt>
                <c:pt idx="59">
                  <c:v>28/2/1959</c:v>
                </c:pt>
                <c:pt idx="60">
                  <c:v>1/3/1959</c:v>
                </c:pt>
                <c:pt idx="61">
                  <c:v>2/3/1959</c:v>
                </c:pt>
                <c:pt idx="62">
                  <c:v>3/3/1959</c:v>
                </c:pt>
                <c:pt idx="63">
                  <c:v>4/3/1959</c:v>
                </c:pt>
                <c:pt idx="64">
                  <c:v>5/3/1959</c:v>
                </c:pt>
                <c:pt idx="65">
                  <c:v>6/3/1959</c:v>
                </c:pt>
                <c:pt idx="66">
                  <c:v>7/3/1959</c:v>
                </c:pt>
                <c:pt idx="67">
                  <c:v>8/3/1959</c:v>
                </c:pt>
                <c:pt idx="68">
                  <c:v>9/3/1959</c:v>
                </c:pt>
                <c:pt idx="69">
                  <c:v>10/3/1959</c:v>
                </c:pt>
                <c:pt idx="70">
                  <c:v>11/3/1959</c:v>
                </c:pt>
                <c:pt idx="71">
                  <c:v>12/3/1959</c:v>
                </c:pt>
                <c:pt idx="72">
                  <c:v>13/3/1959</c:v>
                </c:pt>
                <c:pt idx="73">
                  <c:v>14/3/1959</c:v>
                </c:pt>
                <c:pt idx="74">
                  <c:v>15/3/1959</c:v>
                </c:pt>
                <c:pt idx="75">
                  <c:v>16/3/1959</c:v>
                </c:pt>
                <c:pt idx="76">
                  <c:v>17/3/1959</c:v>
                </c:pt>
                <c:pt idx="77">
                  <c:v>18/3/1959</c:v>
                </c:pt>
                <c:pt idx="78">
                  <c:v>19/3/1959</c:v>
                </c:pt>
                <c:pt idx="79">
                  <c:v>20/3/1959</c:v>
                </c:pt>
                <c:pt idx="80">
                  <c:v>21/3/1959</c:v>
                </c:pt>
                <c:pt idx="81">
                  <c:v>22/3/1959</c:v>
                </c:pt>
                <c:pt idx="82">
                  <c:v>23/3/1959</c:v>
                </c:pt>
                <c:pt idx="83">
                  <c:v>24/3/1959</c:v>
                </c:pt>
                <c:pt idx="84">
                  <c:v>25/3/1959</c:v>
                </c:pt>
                <c:pt idx="85">
                  <c:v>26/3/1959</c:v>
                </c:pt>
                <c:pt idx="86">
                  <c:v>27/3/1959</c:v>
                </c:pt>
                <c:pt idx="87">
                  <c:v>28/3/1959</c:v>
                </c:pt>
                <c:pt idx="88">
                  <c:v>29/3/1959</c:v>
                </c:pt>
                <c:pt idx="89">
                  <c:v>30/3/1959</c:v>
                </c:pt>
                <c:pt idx="90">
                  <c:v>31/3/1959</c:v>
                </c:pt>
                <c:pt idx="91">
                  <c:v>1/4/1959</c:v>
                </c:pt>
                <c:pt idx="92">
                  <c:v>2/4/1959</c:v>
                </c:pt>
                <c:pt idx="93">
                  <c:v>3/4/1959</c:v>
                </c:pt>
                <c:pt idx="94">
                  <c:v>4/4/1959</c:v>
                </c:pt>
                <c:pt idx="95">
                  <c:v>5/4/1959</c:v>
                </c:pt>
                <c:pt idx="96">
                  <c:v>6/4/1959</c:v>
                </c:pt>
                <c:pt idx="97">
                  <c:v>7/4/1959</c:v>
                </c:pt>
                <c:pt idx="98">
                  <c:v>8/4/1959</c:v>
                </c:pt>
                <c:pt idx="99">
                  <c:v>9/4/1959</c:v>
                </c:pt>
                <c:pt idx="100">
                  <c:v>10/4/1959</c:v>
                </c:pt>
                <c:pt idx="101">
                  <c:v>11/4/1959</c:v>
                </c:pt>
                <c:pt idx="102">
                  <c:v>12/4/1959</c:v>
                </c:pt>
                <c:pt idx="103">
                  <c:v>13/4/1959</c:v>
                </c:pt>
                <c:pt idx="104">
                  <c:v>14/4/1959</c:v>
                </c:pt>
                <c:pt idx="105">
                  <c:v>15/4/1959</c:v>
                </c:pt>
                <c:pt idx="106">
                  <c:v>16/4/1959</c:v>
                </c:pt>
                <c:pt idx="107">
                  <c:v>17/4/1959</c:v>
                </c:pt>
                <c:pt idx="108">
                  <c:v>18/4/1959</c:v>
                </c:pt>
                <c:pt idx="109">
                  <c:v>19/4/1959</c:v>
                </c:pt>
                <c:pt idx="110">
                  <c:v>20/4/1959</c:v>
                </c:pt>
                <c:pt idx="111">
                  <c:v>21/4/1959</c:v>
                </c:pt>
                <c:pt idx="112">
                  <c:v>22/4/1959</c:v>
                </c:pt>
                <c:pt idx="113">
                  <c:v>23/4/1959</c:v>
                </c:pt>
                <c:pt idx="114">
                  <c:v>24/4/1959</c:v>
                </c:pt>
                <c:pt idx="115">
                  <c:v>25/4/1959</c:v>
                </c:pt>
                <c:pt idx="116">
                  <c:v>26/4/1959</c:v>
                </c:pt>
                <c:pt idx="117">
                  <c:v>27/4/1959</c:v>
                </c:pt>
                <c:pt idx="118">
                  <c:v>28/4/1959</c:v>
                </c:pt>
                <c:pt idx="119">
                  <c:v>29/4/1959</c:v>
                </c:pt>
                <c:pt idx="120">
                  <c:v>30/4/1959</c:v>
                </c:pt>
                <c:pt idx="121">
                  <c:v>1/5/1959</c:v>
                </c:pt>
                <c:pt idx="122">
                  <c:v>2/5/1959</c:v>
                </c:pt>
                <c:pt idx="123">
                  <c:v>3/5/1959</c:v>
                </c:pt>
                <c:pt idx="124">
                  <c:v>4/5/1959</c:v>
                </c:pt>
                <c:pt idx="125">
                  <c:v>5/5/1959</c:v>
                </c:pt>
                <c:pt idx="126">
                  <c:v>6/5/1959</c:v>
                </c:pt>
                <c:pt idx="127">
                  <c:v>7/5/1959</c:v>
                </c:pt>
                <c:pt idx="128">
                  <c:v>8/5/1959</c:v>
                </c:pt>
                <c:pt idx="129">
                  <c:v>9/5/1959</c:v>
                </c:pt>
                <c:pt idx="130">
                  <c:v>10/5/1959</c:v>
                </c:pt>
                <c:pt idx="131">
                  <c:v>11/5/1959</c:v>
                </c:pt>
                <c:pt idx="132">
                  <c:v>12/5/1959</c:v>
                </c:pt>
                <c:pt idx="133">
                  <c:v>13/5/1959</c:v>
                </c:pt>
                <c:pt idx="134">
                  <c:v>14/5/1959</c:v>
                </c:pt>
                <c:pt idx="135">
                  <c:v>15/5/1959</c:v>
                </c:pt>
                <c:pt idx="136">
                  <c:v>16/5/1959</c:v>
                </c:pt>
                <c:pt idx="137">
                  <c:v>17/5/1959</c:v>
                </c:pt>
                <c:pt idx="138">
                  <c:v>18/5/1959</c:v>
                </c:pt>
                <c:pt idx="139">
                  <c:v>19/5/1959</c:v>
                </c:pt>
                <c:pt idx="140">
                  <c:v>20/5/1959</c:v>
                </c:pt>
                <c:pt idx="141">
                  <c:v>21/5/1959</c:v>
                </c:pt>
                <c:pt idx="142">
                  <c:v>22/5/1959</c:v>
                </c:pt>
                <c:pt idx="143">
                  <c:v>23/5/1959</c:v>
                </c:pt>
                <c:pt idx="144">
                  <c:v>24/5/1959</c:v>
                </c:pt>
                <c:pt idx="145">
                  <c:v>25/5/1959</c:v>
                </c:pt>
                <c:pt idx="146">
                  <c:v>26/5/1959</c:v>
                </c:pt>
                <c:pt idx="147">
                  <c:v>27/5/1959</c:v>
                </c:pt>
                <c:pt idx="148">
                  <c:v>28/5/1959</c:v>
                </c:pt>
                <c:pt idx="149">
                  <c:v>29/5/1959</c:v>
                </c:pt>
                <c:pt idx="150">
                  <c:v>30/5/1959</c:v>
                </c:pt>
                <c:pt idx="151">
                  <c:v>31/5/1959</c:v>
                </c:pt>
                <c:pt idx="152">
                  <c:v>1/6/1959</c:v>
                </c:pt>
                <c:pt idx="153">
                  <c:v>2/6/1959</c:v>
                </c:pt>
                <c:pt idx="154">
                  <c:v>3/6/1959</c:v>
                </c:pt>
                <c:pt idx="155">
                  <c:v>4/6/1959</c:v>
                </c:pt>
                <c:pt idx="156">
                  <c:v>5/6/1959</c:v>
                </c:pt>
                <c:pt idx="157">
                  <c:v>6/6/1959</c:v>
                </c:pt>
                <c:pt idx="158">
                  <c:v>7/6/1959</c:v>
                </c:pt>
                <c:pt idx="159">
                  <c:v>8/6/1959</c:v>
                </c:pt>
                <c:pt idx="160">
                  <c:v>9/6/1959</c:v>
                </c:pt>
                <c:pt idx="161">
                  <c:v>10/6/1959</c:v>
                </c:pt>
                <c:pt idx="162">
                  <c:v>11/6/1959</c:v>
                </c:pt>
                <c:pt idx="163">
                  <c:v>12/6/1959</c:v>
                </c:pt>
                <c:pt idx="164">
                  <c:v>13/6/1959</c:v>
                </c:pt>
                <c:pt idx="165">
                  <c:v>14/6/1959</c:v>
                </c:pt>
                <c:pt idx="166">
                  <c:v>15/6/1959</c:v>
                </c:pt>
                <c:pt idx="167">
                  <c:v>16/6/1959</c:v>
                </c:pt>
                <c:pt idx="168">
                  <c:v>17/6/1959</c:v>
                </c:pt>
                <c:pt idx="169">
                  <c:v>18/6/1959</c:v>
                </c:pt>
                <c:pt idx="170">
                  <c:v>19/6/1959</c:v>
                </c:pt>
                <c:pt idx="171">
                  <c:v>20/6/1959</c:v>
                </c:pt>
                <c:pt idx="172">
                  <c:v>21/6/1959</c:v>
                </c:pt>
                <c:pt idx="173">
                  <c:v>22/6/1959</c:v>
                </c:pt>
                <c:pt idx="174">
                  <c:v>23/6/1959</c:v>
                </c:pt>
                <c:pt idx="175">
                  <c:v>24/6/1959</c:v>
                </c:pt>
                <c:pt idx="176">
                  <c:v>25/6/1959</c:v>
                </c:pt>
                <c:pt idx="177">
                  <c:v>26/6/1959</c:v>
                </c:pt>
                <c:pt idx="178">
                  <c:v>27/6/1959</c:v>
                </c:pt>
                <c:pt idx="179">
                  <c:v>28/6/1959</c:v>
                </c:pt>
                <c:pt idx="180">
                  <c:v>29/6/1959</c:v>
                </c:pt>
                <c:pt idx="181">
                  <c:v>30/6/1959</c:v>
                </c:pt>
                <c:pt idx="182">
                  <c:v>1/7/1959</c:v>
                </c:pt>
                <c:pt idx="183">
                  <c:v>2/7/1959</c:v>
                </c:pt>
                <c:pt idx="184">
                  <c:v>3/7/1959</c:v>
                </c:pt>
                <c:pt idx="185">
                  <c:v>4/7/1959</c:v>
                </c:pt>
                <c:pt idx="186">
                  <c:v>5/7/1959</c:v>
                </c:pt>
                <c:pt idx="187">
                  <c:v>6/7/1959</c:v>
                </c:pt>
                <c:pt idx="188">
                  <c:v>7/7/1959</c:v>
                </c:pt>
                <c:pt idx="189">
                  <c:v>8/7/1959</c:v>
                </c:pt>
                <c:pt idx="190">
                  <c:v>9/7/1959</c:v>
                </c:pt>
                <c:pt idx="191">
                  <c:v>10/7/1959</c:v>
                </c:pt>
                <c:pt idx="192">
                  <c:v>11/7/1959</c:v>
                </c:pt>
                <c:pt idx="193">
                  <c:v>12/7/1959</c:v>
                </c:pt>
                <c:pt idx="194">
                  <c:v>13/7/1959</c:v>
                </c:pt>
                <c:pt idx="195">
                  <c:v>14/7/1959</c:v>
                </c:pt>
                <c:pt idx="196">
                  <c:v>15/7/1959</c:v>
                </c:pt>
                <c:pt idx="197">
                  <c:v>16/7/1959</c:v>
                </c:pt>
                <c:pt idx="198">
                  <c:v>17/7/1959</c:v>
                </c:pt>
                <c:pt idx="199">
                  <c:v>18/7/1959</c:v>
                </c:pt>
                <c:pt idx="200">
                  <c:v>19/7/1959</c:v>
                </c:pt>
                <c:pt idx="201">
                  <c:v>20/7/1959</c:v>
                </c:pt>
                <c:pt idx="202">
                  <c:v>21/7/1959</c:v>
                </c:pt>
                <c:pt idx="203">
                  <c:v>22/7/1959</c:v>
                </c:pt>
                <c:pt idx="204">
                  <c:v>23/7/1959</c:v>
                </c:pt>
                <c:pt idx="205">
                  <c:v>24/7/1959</c:v>
                </c:pt>
                <c:pt idx="206">
                  <c:v>25/7/1959</c:v>
                </c:pt>
                <c:pt idx="207">
                  <c:v>26/7/1959</c:v>
                </c:pt>
                <c:pt idx="208">
                  <c:v>27/7/1959</c:v>
                </c:pt>
                <c:pt idx="209">
                  <c:v>28/7/1959</c:v>
                </c:pt>
                <c:pt idx="210">
                  <c:v>29/7/1959</c:v>
                </c:pt>
                <c:pt idx="211">
                  <c:v>30/7/1959</c:v>
                </c:pt>
                <c:pt idx="212">
                  <c:v>31/7/1959</c:v>
                </c:pt>
                <c:pt idx="213">
                  <c:v>1/8/1959</c:v>
                </c:pt>
                <c:pt idx="214">
                  <c:v>2/8/1959</c:v>
                </c:pt>
                <c:pt idx="215">
                  <c:v>3/8/1959</c:v>
                </c:pt>
                <c:pt idx="216">
                  <c:v>4/8/1959</c:v>
                </c:pt>
                <c:pt idx="217">
                  <c:v>5/8/1959</c:v>
                </c:pt>
                <c:pt idx="218">
                  <c:v>6/8/1959</c:v>
                </c:pt>
                <c:pt idx="219">
                  <c:v>7/8/1959</c:v>
                </c:pt>
                <c:pt idx="220">
                  <c:v>8/8/1959</c:v>
                </c:pt>
                <c:pt idx="221">
                  <c:v>9/8/1959</c:v>
                </c:pt>
                <c:pt idx="222">
                  <c:v>10/8/1959</c:v>
                </c:pt>
                <c:pt idx="223">
                  <c:v>11/8/1959</c:v>
                </c:pt>
                <c:pt idx="224">
                  <c:v>12/8/1959</c:v>
                </c:pt>
                <c:pt idx="225">
                  <c:v>13/8/1959</c:v>
                </c:pt>
                <c:pt idx="226">
                  <c:v>14/8/1959</c:v>
                </c:pt>
                <c:pt idx="227">
                  <c:v>15/8/1959</c:v>
                </c:pt>
                <c:pt idx="228">
                  <c:v>16/8/1959</c:v>
                </c:pt>
                <c:pt idx="229">
                  <c:v>17/8/1959</c:v>
                </c:pt>
                <c:pt idx="230">
                  <c:v>18/8/1959</c:v>
                </c:pt>
                <c:pt idx="231">
                  <c:v>19/8/1959</c:v>
                </c:pt>
                <c:pt idx="232">
                  <c:v>20/8/1959</c:v>
                </c:pt>
                <c:pt idx="233">
                  <c:v>21/8/1959</c:v>
                </c:pt>
                <c:pt idx="234">
                  <c:v>22/8/1959</c:v>
                </c:pt>
                <c:pt idx="235">
                  <c:v>23/8/1959</c:v>
                </c:pt>
                <c:pt idx="236">
                  <c:v>24/8/1959</c:v>
                </c:pt>
                <c:pt idx="237">
                  <c:v>25/8/1959</c:v>
                </c:pt>
                <c:pt idx="238">
                  <c:v>26/8/1959</c:v>
                </c:pt>
                <c:pt idx="239">
                  <c:v>27/8/1959</c:v>
                </c:pt>
                <c:pt idx="240">
                  <c:v>28/8/1959</c:v>
                </c:pt>
                <c:pt idx="241">
                  <c:v>29/8/1959</c:v>
                </c:pt>
                <c:pt idx="242">
                  <c:v>30/8/1959</c:v>
                </c:pt>
                <c:pt idx="243">
                  <c:v>31/8/1959</c:v>
                </c:pt>
                <c:pt idx="244">
                  <c:v>1/9/1959</c:v>
                </c:pt>
                <c:pt idx="245">
                  <c:v>2/9/1959</c:v>
                </c:pt>
                <c:pt idx="246">
                  <c:v>3/9/1959</c:v>
                </c:pt>
                <c:pt idx="247">
                  <c:v>4/9/1959</c:v>
                </c:pt>
                <c:pt idx="248">
                  <c:v>5/9/1959</c:v>
                </c:pt>
                <c:pt idx="249">
                  <c:v>6/9/1959</c:v>
                </c:pt>
                <c:pt idx="250">
                  <c:v>7/9/1959</c:v>
                </c:pt>
                <c:pt idx="251">
                  <c:v>8/9/1959</c:v>
                </c:pt>
                <c:pt idx="252">
                  <c:v>9/9/1959</c:v>
                </c:pt>
                <c:pt idx="253">
                  <c:v>10/9/1959</c:v>
                </c:pt>
                <c:pt idx="254">
                  <c:v>11/9/1959</c:v>
                </c:pt>
                <c:pt idx="255">
                  <c:v>12/9/1959</c:v>
                </c:pt>
                <c:pt idx="256">
                  <c:v>13/9/1959</c:v>
                </c:pt>
                <c:pt idx="257">
                  <c:v>14/9/1959</c:v>
                </c:pt>
                <c:pt idx="258">
                  <c:v>15/9/1959</c:v>
                </c:pt>
                <c:pt idx="259">
                  <c:v>16/9/1959</c:v>
                </c:pt>
                <c:pt idx="260">
                  <c:v>17/9/1959</c:v>
                </c:pt>
                <c:pt idx="261">
                  <c:v>18/9/1959</c:v>
                </c:pt>
                <c:pt idx="262">
                  <c:v>19/9/1959</c:v>
                </c:pt>
                <c:pt idx="263">
                  <c:v>20/9/1959</c:v>
                </c:pt>
                <c:pt idx="264">
                  <c:v>21/9/1959</c:v>
                </c:pt>
                <c:pt idx="265">
                  <c:v>22/9/1959</c:v>
                </c:pt>
                <c:pt idx="266">
                  <c:v>23/9/1959</c:v>
                </c:pt>
                <c:pt idx="267">
                  <c:v>24/9/1959</c:v>
                </c:pt>
                <c:pt idx="268">
                  <c:v>25/9/1959</c:v>
                </c:pt>
                <c:pt idx="269">
                  <c:v>26/9/1959</c:v>
                </c:pt>
                <c:pt idx="270">
                  <c:v>27/9/1959</c:v>
                </c:pt>
                <c:pt idx="271">
                  <c:v>28/9/1959</c:v>
                </c:pt>
                <c:pt idx="272">
                  <c:v>29/9/1959</c:v>
                </c:pt>
                <c:pt idx="273">
                  <c:v>30/9/1959</c:v>
                </c:pt>
                <c:pt idx="274">
                  <c:v>1/10/1959</c:v>
                </c:pt>
                <c:pt idx="275">
                  <c:v>2/10/1959</c:v>
                </c:pt>
                <c:pt idx="276">
                  <c:v>3/10/1959</c:v>
                </c:pt>
                <c:pt idx="277">
                  <c:v>4/10/1959</c:v>
                </c:pt>
                <c:pt idx="278">
                  <c:v>5/10/1959</c:v>
                </c:pt>
                <c:pt idx="279">
                  <c:v>6/10/1959</c:v>
                </c:pt>
                <c:pt idx="280">
                  <c:v>7/10/1959</c:v>
                </c:pt>
                <c:pt idx="281">
                  <c:v>8/10/1959</c:v>
                </c:pt>
                <c:pt idx="282">
                  <c:v>9/10/1959</c:v>
                </c:pt>
                <c:pt idx="283">
                  <c:v>10/10/1959</c:v>
                </c:pt>
                <c:pt idx="284">
                  <c:v>11/10/1959</c:v>
                </c:pt>
                <c:pt idx="285">
                  <c:v>12/10/1959</c:v>
                </c:pt>
                <c:pt idx="286">
                  <c:v>13/10/1959</c:v>
                </c:pt>
                <c:pt idx="287">
                  <c:v>14/10/1959</c:v>
                </c:pt>
                <c:pt idx="288">
                  <c:v>15/10/1959</c:v>
                </c:pt>
                <c:pt idx="289">
                  <c:v>16/10/1959</c:v>
                </c:pt>
                <c:pt idx="290">
                  <c:v>17/10/1959</c:v>
                </c:pt>
                <c:pt idx="291">
                  <c:v>18/10/1959</c:v>
                </c:pt>
                <c:pt idx="292">
                  <c:v>19/10/1959</c:v>
                </c:pt>
                <c:pt idx="293">
                  <c:v>20/10/1959</c:v>
                </c:pt>
                <c:pt idx="294">
                  <c:v>21/10/1959</c:v>
                </c:pt>
                <c:pt idx="295">
                  <c:v>22/10/1959</c:v>
                </c:pt>
                <c:pt idx="296">
                  <c:v>23/10/1959</c:v>
                </c:pt>
                <c:pt idx="297">
                  <c:v>24/10/1959</c:v>
                </c:pt>
                <c:pt idx="298">
                  <c:v>25/10/1959</c:v>
                </c:pt>
                <c:pt idx="299">
                  <c:v>26/10/1959</c:v>
                </c:pt>
                <c:pt idx="300">
                  <c:v>27/10/1959</c:v>
                </c:pt>
                <c:pt idx="301">
                  <c:v>28/10/1959</c:v>
                </c:pt>
                <c:pt idx="302">
                  <c:v>29/10/1959</c:v>
                </c:pt>
                <c:pt idx="303">
                  <c:v>30/10/1959</c:v>
                </c:pt>
                <c:pt idx="304">
                  <c:v>31/10/1959</c:v>
                </c:pt>
                <c:pt idx="305">
                  <c:v>1/11/1959</c:v>
                </c:pt>
                <c:pt idx="306">
                  <c:v>2/11/1959</c:v>
                </c:pt>
                <c:pt idx="307">
                  <c:v>3/11/1959</c:v>
                </c:pt>
                <c:pt idx="308">
                  <c:v>4/11/1959</c:v>
                </c:pt>
                <c:pt idx="309">
                  <c:v>5/11/1959</c:v>
                </c:pt>
                <c:pt idx="310">
                  <c:v>6/11/1959</c:v>
                </c:pt>
                <c:pt idx="311">
                  <c:v>7/11/1959</c:v>
                </c:pt>
                <c:pt idx="312">
                  <c:v>8/11/1959</c:v>
                </c:pt>
                <c:pt idx="313">
                  <c:v>9/11/1959</c:v>
                </c:pt>
                <c:pt idx="314">
                  <c:v>10/11/1959</c:v>
                </c:pt>
                <c:pt idx="315">
                  <c:v>11/11/1959</c:v>
                </c:pt>
                <c:pt idx="316">
                  <c:v>12/11/1959</c:v>
                </c:pt>
                <c:pt idx="317">
                  <c:v>13/11/1959</c:v>
                </c:pt>
                <c:pt idx="318">
                  <c:v>14/11/1959</c:v>
                </c:pt>
                <c:pt idx="319">
                  <c:v>15/11/1959</c:v>
                </c:pt>
                <c:pt idx="320">
                  <c:v>16/11/1959</c:v>
                </c:pt>
                <c:pt idx="321">
                  <c:v>17/11/1959</c:v>
                </c:pt>
                <c:pt idx="322">
                  <c:v>18/11/1959</c:v>
                </c:pt>
                <c:pt idx="323">
                  <c:v>19/11/1959</c:v>
                </c:pt>
                <c:pt idx="324">
                  <c:v>20/11/1959</c:v>
                </c:pt>
                <c:pt idx="325">
                  <c:v>21/11/1959</c:v>
                </c:pt>
                <c:pt idx="326">
                  <c:v>22/11/1959</c:v>
                </c:pt>
                <c:pt idx="327">
                  <c:v>23/11/1959</c:v>
                </c:pt>
                <c:pt idx="328">
                  <c:v>24/11/1959</c:v>
                </c:pt>
                <c:pt idx="329">
                  <c:v>25/11/1959</c:v>
                </c:pt>
                <c:pt idx="330">
                  <c:v>26/11/1959</c:v>
                </c:pt>
                <c:pt idx="331">
                  <c:v>27/11/1959</c:v>
                </c:pt>
                <c:pt idx="332">
                  <c:v>28/11/1959</c:v>
                </c:pt>
                <c:pt idx="333">
                  <c:v>29/11/1959</c:v>
                </c:pt>
                <c:pt idx="334">
                  <c:v>30/11/1959</c:v>
                </c:pt>
                <c:pt idx="335">
                  <c:v>1/12/1959</c:v>
                </c:pt>
                <c:pt idx="336">
                  <c:v>2/12/1959</c:v>
                </c:pt>
                <c:pt idx="337">
                  <c:v>3/12/1959</c:v>
                </c:pt>
                <c:pt idx="338">
                  <c:v>4/12/1959</c:v>
                </c:pt>
                <c:pt idx="339">
                  <c:v>5/12/1959</c:v>
                </c:pt>
                <c:pt idx="340">
                  <c:v>6/12/1959</c:v>
                </c:pt>
                <c:pt idx="341">
                  <c:v>7/12/1959</c:v>
                </c:pt>
                <c:pt idx="342">
                  <c:v>8/12/1959</c:v>
                </c:pt>
                <c:pt idx="343">
                  <c:v>9/12/1959</c:v>
                </c:pt>
                <c:pt idx="344">
                  <c:v>10/12/1959</c:v>
                </c:pt>
                <c:pt idx="345">
                  <c:v>11/12/1959</c:v>
                </c:pt>
                <c:pt idx="346">
                  <c:v>12/12/1959</c:v>
                </c:pt>
                <c:pt idx="347">
                  <c:v>13/12/1959</c:v>
                </c:pt>
                <c:pt idx="348">
                  <c:v>14/12/1959</c:v>
                </c:pt>
                <c:pt idx="349">
                  <c:v>15/12/1959</c:v>
                </c:pt>
                <c:pt idx="350">
                  <c:v>16/12/1959</c:v>
                </c:pt>
                <c:pt idx="351">
                  <c:v>17/12/1959</c:v>
                </c:pt>
                <c:pt idx="352">
                  <c:v>18/12/1959</c:v>
                </c:pt>
                <c:pt idx="353">
                  <c:v>19/12/1959</c:v>
                </c:pt>
                <c:pt idx="354">
                  <c:v>20/12/1959</c:v>
                </c:pt>
                <c:pt idx="355">
                  <c:v>21/12/1959</c:v>
                </c:pt>
                <c:pt idx="356">
                  <c:v>22/12/1959</c:v>
                </c:pt>
                <c:pt idx="357">
                  <c:v>23/12/1959</c:v>
                </c:pt>
                <c:pt idx="358">
                  <c:v>24/12/1959</c:v>
                </c:pt>
                <c:pt idx="359">
                  <c:v>25/12/1959</c:v>
                </c:pt>
                <c:pt idx="360">
                  <c:v>26/12/1959</c:v>
                </c:pt>
                <c:pt idx="361">
                  <c:v>27/12/1959</c:v>
                </c:pt>
                <c:pt idx="362">
                  <c:v>28/12/1959</c:v>
                </c:pt>
                <c:pt idx="363">
                  <c:v>29/12/1959</c:v>
                </c:pt>
                <c:pt idx="364">
                  <c:v>30/12/1959</c:v>
                </c:pt>
                <c:pt idx="365">
                  <c:v>31/12/1959</c:v>
                </c:pt>
              </c:strCache>
            </c:strRef>
          </c:cat>
          <c:val>
            <c:numRef>
              <c:f>'Moving Average'!$H$1:$H$366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91-4F64-B0C7-7D118A7B5C9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'Moving Average'!$A$1:$A$366</c:f>
              <c:strCache>
                <c:ptCount val="366"/>
                <c:pt idx="0">
                  <c:v>Date</c:v>
                </c:pt>
                <c:pt idx="1">
                  <c:v>1/1/1959</c:v>
                </c:pt>
                <c:pt idx="2">
                  <c:v>2/1/1959</c:v>
                </c:pt>
                <c:pt idx="3">
                  <c:v>3/1/1959</c:v>
                </c:pt>
                <c:pt idx="4">
                  <c:v>4/1/1959</c:v>
                </c:pt>
                <c:pt idx="5">
                  <c:v>5/1/1959</c:v>
                </c:pt>
                <c:pt idx="6">
                  <c:v>6/1/1959</c:v>
                </c:pt>
                <c:pt idx="7">
                  <c:v>7/1/1959</c:v>
                </c:pt>
                <c:pt idx="8">
                  <c:v>8/1/1959</c:v>
                </c:pt>
                <c:pt idx="9">
                  <c:v>9/1/1959</c:v>
                </c:pt>
                <c:pt idx="10">
                  <c:v>10/1/1959</c:v>
                </c:pt>
                <c:pt idx="11">
                  <c:v>11/1/1959</c:v>
                </c:pt>
                <c:pt idx="12">
                  <c:v>12/1/1959</c:v>
                </c:pt>
                <c:pt idx="13">
                  <c:v>13/1/1959</c:v>
                </c:pt>
                <c:pt idx="14">
                  <c:v>14/1/1959</c:v>
                </c:pt>
                <c:pt idx="15">
                  <c:v>15/1/1959</c:v>
                </c:pt>
                <c:pt idx="16">
                  <c:v>16/1/1959</c:v>
                </c:pt>
                <c:pt idx="17">
                  <c:v>17/1/1959</c:v>
                </c:pt>
                <c:pt idx="18">
                  <c:v>18/1/1959</c:v>
                </c:pt>
                <c:pt idx="19">
                  <c:v>19/1/1959</c:v>
                </c:pt>
                <c:pt idx="20">
                  <c:v>20/1/1959</c:v>
                </c:pt>
                <c:pt idx="21">
                  <c:v>21/1/1959</c:v>
                </c:pt>
                <c:pt idx="22">
                  <c:v>22/1/1959</c:v>
                </c:pt>
                <c:pt idx="23">
                  <c:v>23/1/1959</c:v>
                </c:pt>
                <c:pt idx="24">
                  <c:v>24/1/1959</c:v>
                </c:pt>
                <c:pt idx="25">
                  <c:v>25/1/1959</c:v>
                </c:pt>
                <c:pt idx="26">
                  <c:v>26/1/1959</c:v>
                </c:pt>
                <c:pt idx="27">
                  <c:v>27/1/1959</c:v>
                </c:pt>
                <c:pt idx="28">
                  <c:v>28/1/1959</c:v>
                </c:pt>
                <c:pt idx="29">
                  <c:v>29/1/1959</c:v>
                </c:pt>
                <c:pt idx="30">
                  <c:v>30/1/1959</c:v>
                </c:pt>
                <c:pt idx="31">
                  <c:v>31/1/1959</c:v>
                </c:pt>
                <c:pt idx="32">
                  <c:v>1/2/1959</c:v>
                </c:pt>
                <c:pt idx="33">
                  <c:v>2/2/1959</c:v>
                </c:pt>
                <c:pt idx="34">
                  <c:v>3/2/1959</c:v>
                </c:pt>
                <c:pt idx="35">
                  <c:v>4/2/1959</c:v>
                </c:pt>
                <c:pt idx="36">
                  <c:v>5/2/1959</c:v>
                </c:pt>
                <c:pt idx="37">
                  <c:v>6/2/1959</c:v>
                </c:pt>
                <c:pt idx="38">
                  <c:v>7/2/1959</c:v>
                </c:pt>
                <c:pt idx="39">
                  <c:v>8/2/1959</c:v>
                </c:pt>
                <c:pt idx="40">
                  <c:v>9/2/1959</c:v>
                </c:pt>
                <c:pt idx="41">
                  <c:v>10/2/1959</c:v>
                </c:pt>
                <c:pt idx="42">
                  <c:v>11/2/1959</c:v>
                </c:pt>
                <c:pt idx="43">
                  <c:v>12/2/1959</c:v>
                </c:pt>
                <c:pt idx="44">
                  <c:v>13/2/1959</c:v>
                </c:pt>
                <c:pt idx="45">
                  <c:v>14/2/1959</c:v>
                </c:pt>
                <c:pt idx="46">
                  <c:v>15/2/1959</c:v>
                </c:pt>
                <c:pt idx="47">
                  <c:v>16/2/1959</c:v>
                </c:pt>
                <c:pt idx="48">
                  <c:v>17/2/1959</c:v>
                </c:pt>
                <c:pt idx="49">
                  <c:v>18/2/1959</c:v>
                </c:pt>
                <c:pt idx="50">
                  <c:v>19/2/1959</c:v>
                </c:pt>
                <c:pt idx="51">
                  <c:v>20/2/1959</c:v>
                </c:pt>
                <c:pt idx="52">
                  <c:v>21/2/1959</c:v>
                </c:pt>
                <c:pt idx="53">
                  <c:v>22/2/1959</c:v>
                </c:pt>
                <c:pt idx="54">
                  <c:v>23/2/1959</c:v>
                </c:pt>
                <c:pt idx="55">
                  <c:v>24/2/1959</c:v>
                </c:pt>
                <c:pt idx="56">
                  <c:v>25/2/1959</c:v>
                </c:pt>
                <c:pt idx="57">
                  <c:v>26/2/1959</c:v>
                </c:pt>
                <c:pt idx="58">
                  <c:v>27/2/1959</c:v>
                </c:pt>
                <c:pt idx="59">
                  <c:v>28/2/1959</c:v>
                </c:pt>
                <c:pt idx="60">
                  <c:v>1/3/1959</c:v>
                </c:pt>
                <c:pt idx="61">
                  <c:v>2/3/1959</c:v>
                </c:pt>
                <c:pt idx="62">
                  <c:v>3/3/1959</c:v>
                </c:pt>
                <c:pt idx="63">
                  <c:v>4/3/1959</c:v>
                </c:pt>
                <c:pt idx="64">
                  <c:v>5/3/1959</c:v>
                </c:pt>
                <c:pt idx="65">
                  <c:v>6/3/1959</c:v>
                </c:pt>
                <c:pt idx="66">
                  <c:v>7/3/1959</c:v>
                </c:pt>
                <c:pt idx="67">
                  <c:v>8/3/1959</c:v>
                </c:pt>
                <c:pt idx="68">
                  <c:v>9/3/1959</c:v>
                </c:pt>
                <c:pt idx="69">
                  <c:v>10/3/1959</c:v>
                </c:pt>
                <c:pt idx="70">
                  <c:v>11/3/1959</c:v>
                </c:pt>
                <c:pt idx="71">
                  <c:v>12/3/1959</c:v>
                </c:pt>
                <c:pt idx="72">
                  <c:v>13/3/1959</c:v>
                </c:pt>
                <c:pt idx="73">
                  <c:v>14/3/1959</c:v>
                </c:pt>
                <c:pt idx="74">
                  <c:v>15/3/1959</c:v>
                </c:pt>
                <c:pt idx="75">
                  <c:v>16/3/1959</c:v>
                </c:pt>
                <c:pt idx="76">
                  <c:v>17/3/1959</c:v>
                </c:pt>
                <c:pt idx="77">
                  <c:v>18/3/1959</c:v>
                </c:pt>
                <c:pt idx="78">
                  <c:v>19/3/1959</c:v>
                </c:pt>
                <c:pt idx="79">
                  <c:v>20/3/1959</c:v>
                </c:pt>
                <c:pt idx="80">
                  <c:v>21/3/1959</c:v>
                </c:pt>
                <c:pt idx="81">
                  <c:v>22/3/1959</c:v>
                </c:pt>
                <c:pt idx="82">
                  <c:v>23/3/1959</c:v>
                </c:pt>
                <c:pt idx="83">
                  <c:v>24/3/1959</c:v>
                </c:pt>
                <c:pt idx="84">
                  <c:v>25/3/1959</c:v>
                </c:pt>
                <c:pt idx="85">
                  <c:v>26/3/1959</c:v>
                </c:pt>
                <c:pt idx="86">
                  <c:v>27/3/1959</c:v>
                </c:pt>
                <c:pt idx="87">
                  <c:v>28/3/1959</c:v>
                </c:pt>
                <c:pt idx="88">
                  <c:v>29/3/1959</c:v>
                </c:pt>
                <c:pt idx="89">
                  <c:v>30/3/1959</c:v>
                </c:pt>
                <c:pt idx="90">
                  <c:v>31/3/1959</c:v>
                </c:pt>
                <c:pt idx="91">
                  <c:v>1/4/1959</c:v>
                </c:pt>
                <c:pt idx="92">
                  <c:v>2/4/1959</c:v>
                </c:pt>
                <c:pt idx="93">
                  <c:v>3/4/1959</c:v>
                </c:pt>
                <c:pt idx="94">
                  <c:v>4/4/1959</c:v>
                </c:pt>
                <c:pt idx="95">
                  <c:v>5/4/1959</c:v>
                </c:pt>
                <c:pt idx="96">
                  <c:v>6/4/1959</c:v>
                </c:pt>
                <c:pt idx="97">
                  <c:v>7/4/1959</c:v>
                </c:pt>
                <c:pt idx="98">
                  <c:v>8/4/1959</c:v>
                </c:pt>
                <c:pt idx="99">
                  <c:v>9/4/1959</c:v>
                </c:pt>
                <c:pt idx="100">
                  <c:v>10/4/1959</c:v>
                </c:pt>
                <c:pt idx="101">
                  <c:v>11/4/1959</c:v>
                </c:pt>
                <c:pt idx="102">
                  <c:v>12/4/1959</c:v>
                </c:pt>
                <c:pt idx="103">
                  <c:v>13/4/1959</c:v>
                </c:pt>
                <c:pt idx="104">
                  <c:v>14/4/1959</c:v>
                </c:pt>
                <c:pt idx="105">
                  <c:v>15/4/1959</c:v>
                </c:pt>
                <c:pt idx="106">
                  <c:v>16/4/1959</c:v>
                </c:pt>
                <c:pt idx="107">
                  <c:v>17/4/1959</c:v>
                </c:pt>
                <c:pt idx="108">
                  <c:v>18/4/1959</c:v>
                </c:pt>
                <c:pt idx="109">
                  <c:v>19/4/1959</c:v>
                </c:pt>
                <c:pt idx="110">
                  <c:v>20/4/1959</c:v>
                </c:pt>
                <c:pt idx="111">
                  <c:v>21/4/1959</c:v>
                </c:pt>
                <c:pt idx="112">
                  <c:v>22/4/1959</c:v>
                </c:pt>
                <c:pt idx="113">
                  <c:v>23/4/1959</c:v>
                </c:pt>
                <c:pt idx="114">
                  <c:v>24/4/1959</c:v>
                </c:pt>
                <c:pt idx="115">
                  <c:v>25/4/1959</c:v>
                </c:pt>
                <c:pt idx="116">
                  <c:v>26/4/1959</c:v>
                </c:pt>
                <c:pt idx="117">
                  <c:v>27/4/1959</c:v>
                </c:pt>
                <c:pt idx="118">
                  <c:v>28/4/1959</c:v>
                </c:pt>
                <c:pt idx="119">
                  <c:v>29/4/1959</c:v>
                </c:pt>
                <c:pt idx="120">
                  <c:v>30/4/1959</c:v>
                </c:pt>
                <c:pt idx="121">
                  <c:v>1/5/1959</c:v>
                </c:pt>
                <c:pt idx="122">
                  <c:v>2/5/1959</c:v>
                </c:pt>
                <c:pt idx="123">
                  <c:v>3/5/1959</c:v>
                </c:pt>
                <c:pt idx="124">
                  <c:v>4/5/1959</c:v>
                </c:pt>
                <c:pt idx="125">
                  <c:v>5/5/1959</c:v>
                </c:pt>
                <c:pt idx="126">
                  <c:v>6/5/1959</c:v>
                </c:pt>
                <c:pt idx="127">
                  <c:v>7/5/1959</c:v>
                </c:pt>
                <c:pt idx="128">
                  <c:v>8/5/1959</c:v>
                </c:pt>
                <c:pt idx="129">
                  <c:v>9/5/1959</c:v>
                </c:pt>
                <c:pt idx="130">
                  <c:v>10/5/1959</c:v>
                </c:pt>
                <c:pt idx="131">
                  <c:v>11/5/1959</c:v>
                </c:pt>
                <c:pt idx="132">
                  <c:v>12/5/1959</c:v>
                </c:pt>
                <c:pt idx="133">
                  <c:v>13/5/1959</c:v>
                </c:pt>
                <c:pt idx="134">
                  <c:v>14/5/1959</c:v>
                </c:pt>
                <c:pt idx="135">
                  <c:v>15/5/1959</c:v>
                </c:pt>
                <c:pt idx="136">
                  <c:v>16/5/1959</c:v>
                </c:pt>
                <c:pt idx="137">
                  <c:v>17/5/1959</c:v>
                </c:pt>
                <c:pt idx="138">
                  <c:v>18/5/1959</c:v>
                </c:pt>
                <c:pt idx="139">
                  <c:v>19/5/1959</c:v>
                </c:pt>
                <c:pt idx="140">
                  <c:v>20/5/1959</c:v>
                </c:pt>
                <c:pt idx="141">
                  <c:v>21/5/1959</c:v>
                </c:pt>
                <c:pt idx="142">
                  <c:v>22/5/1959</c:v>
                </c:pt>
                <c:pt idx="143">
                  <c:v>23/5/1959</c:v>
                </c:pt>
                <c:pt idx="144">
                  <c:v>24/5/1959</c:v>
                </c:pt>
                <c:pt idx="145">
                  <c:v>25/5/1959</c:v>
                </c:pt>
                <c:pt idx="146">
                  <c:v>26/5/1959</c:v>
                </c:pt>
                <c:pt idx="147">
                  <c:v>27/5/1959</c:v>
                </c:pt>
                <c:pt idx="148">
                  <c:v>28/5/1959</c:v>
                </c:pt>
                <c:pt idx="149">
                  <c:v>29/5/1959</c:v>
                </c:pt>
                <c:pt idx="150">
                  <c:v>30/5/1959</c:v>
                </c:pt>
                <c:pt idx="151">
                  <c:v>31/5/1959</c:v>
                </c:pt>
                <c:pt idx="152">
                  <c:v>1/6/1959</c:v>
                </c:pt>
                <c:pt idx="153">
                  <c:v>2/6/1959</c:v>
                </c:pt>
                <c:pt idx="154">
                  <c:v>3/6/1959</c:v>
                </c:pt>
                <c:pt idx="155">
                  <c:v>4/6/1959</c:v>
                </c:pt>
                <c:pt idx="156">
                  <c:v>5/6/1959</c:v>
                </c:pt>
                <c:pt idx="157">
                  <c:v>6/6/1959</c:v>
                </c:pt>
                <c:pt idx="158">
                  <c:v>7/6/1959</c:v>
                </c:pt>
                <c:pt idx="159">
                  <c:v>8/6/1959</c:v>
                </c:pt>
                <c:pt idx="160">
                  <c:v>9/6/1959</c:v>
                </c:pt>
                <c:pt idx="161">
                  <c:v>10/6/1959</c:v>
                </c:pt>
                <c:pt idx="162">
                  <c:v>11/6/1959</c:v>
                </c:pt>
                <c:pt idx="163">
                  <c:v>12/6/1959</c:v>
                </c:pt>
                <c:pt idx="164">
                  <c:v>13/6/1959</c:v>
                </c:pt>
                <c:pt idx="165">
                  <c:v>14/6/1959</c:v>
                </c:pt>
                <c:pt idx="166">
                  <c:v>15/6/1959</c:v>
                </c:pt>
                <c:pt idx="167">
                  <c:v>16/6/1959</c:v>
                </c:pt>
                <c:pt idx="168">
                  <c:v>17/6/1959</c:v>
                </c:pt>
                <c:pt idx="169">
                  <c:v>18/6/1959</c:v>
                </c:pt>
                <c:pt idx="170">
                  <c:v>19/6/1959</c:v>
                </c:pt>
                <c:pt idx="171">
                  <c:v>20/6/1959</c:v>
                </c:pt>
                <c:pt idx="172">
                  <c:v>21/6/1959</c:v>
                </c:pt>
                <c:pt idx="173">
                  <c:v>22/6/1959</c:v>
                </c:pt>
                <c:pt idx="174">
                  <c:v>23/6/1959</c:v>
                </c:pt>
                <c:pt idx="175">
                  <c:v>24/6/1959</c:v>
                </c:pt>
                <c:pt idx="176">
                  <c:v>25/6/1959</c:v>
                </c:pt>
                <c:pt idx="177">
                  <c:v>26/6/1959</c:v>
                </c:pt>
                <c:pt idx="178">
                  <c:v>27/6/1959</c:v>
                </c:pt>
                <c:pt idx="179">
                  <c:v>28/6/1959</c:v>
                </c:pt>
                <c:pt idx="180">
                  <c:v>29/6/1959</c:v>
                </c:pt>
                <c:pt idx="181">
                  <c:v>30/6/1959</c:v>
                </c:pt>
                <c:pt idx="182">
                  <c:v>1/7/1959</c:v>
                </c:pt>
                <c:pt idx="183">
                  <c:v>2/7/1959</c:v>
                </c:pt>
                <c:pt idx="184">
                  <c:v>3/7/1959</c:v>
                </c:pt>
                <c:pt idx="185">
                  <c:v>4/7/1959</c:v>
                </c:pt>
                <c:pt idx="186">
                  <c:v>5/7/1959</c:v>
                </c:pt>
                <c:pt idx="187">
                  <c:v>6/7/1959</c:v>
                </c:pt>
                <c:pt idx="188">
                  <c:v>7/7/1959</c:v>
                </c:pt>
                <c:pt idx="189">
                  <c:v>8/7/1959</c:v>
                </c:pt>
                <c:pt idx="190">
                  <c:v>9/7/1959</c:v>
                </c:pt>
                <c:pt idx="191">
                  <c:v>10/7/1959</c:v>
                </c:pt>
                <c:pt idx="192">
                  <c:v>11/7/1959</c:v>
                </c:pt>
                <c:pt idx="193">
                  <c:v>12/7/1959</c:v>
                </c:pt>
                <c:pt idx="194">
                  <c:v>13/7/1959</c:v>
                </c:pt>
                <c:pt idx="195">
                  <c:v>14/7/1959</c:v>
                </c:pt>
                <c:pt idx="196">
                  <c:v>15/7/1959</c:v>
                </c:pt>
                <c:pt idx="197">
                  <c:v>16/7/1959</c:v>
                </c:pt>
                <c:pt idx="198">
                  <c:v>17/7/1959</c:v>
                </c:pt>
                <c:pt idx="199">
                  <c:v>18/7/1959</c:v>
                </c:pt>
                <c:pt idx="200">
                  <c:v>19/7/1959</c:v>
                </c:pt>
                <c:pt idx="201">
                  <c:v>20/7/1959</c:v>
                </c:pt>
                <c:pt idx="202">
                  <c:v>21/7/1959</c:v>
                </c:pt>
                <c:pt idx="203">
                  <c:v>22/7/1959</c:v>
                </c:pt>
                <c:pt idx="204">
                  <c:v>23/7/1959</c:v>
                </c:pt>
                <c:pt idx="205">
                  <c:v>24/7/1959</c:v>
                </c:pt>
                <c:pt idx="206">
                  <c:v>25/7/1959</c:v>
                </c:pt>
                <c:pt idx="207">
                  <c:v>26/7/1959</c:v>
                </c:pt>
                <c:pt idx="208">
                  <c:v>27/7/1959</c:v>
                </c:pt>
                <c:pt idx="209">
                  <c:v>28/7/1959</c:v>
                </c:pt>
                <c:pt idx="210">
                  <c:v>29/7/1959</c:v>
                </c:pt>
                <c:pt idx="211">
                  <c:v>30/7/1959</c:v>
                </c:pt>
                <c:pt idx="212">
                  <c:v>31/7/1959</c:v>
                </c:pt>
                <c:pt idx="213">
                  <c:v>1/8/1959</c:v>
                </c:pt>
                <c:pt idx="214">
                  <c:v>2/8/1959</c:v>
                </c:pt>
                <c:pt idx="215">
                  <c:v>3/8/1959</c:v>
                </c:pt>
                <c:pt idx="216">
                  <c:v>4/8/1959</c:v>
                </c:pt>
                <c:pt idx="217">
                  <c:v>5/8/1959</c:v>
                </c:pt>
                <c:pt idx="218">
                  <c:v>6/8/1959</c:v>
                </c:pt>
                <c:pt idx="219">
                  <c:v>7/8/1959</c:v>
                </c:pt>
                <c:pt idx="220">
                  <c:v>8/8/1959</c:v>
                </c:pt>
                <c:pt idx="221">
                  <c:v>9/8/1959</c:v>
                </c:pt>
                <c:pt idx="222">
                  <c:v>10/8/1959</c:v>
                </c:pt>
                <c:pt idx="223">
                  <c:v>11/8/1959</c:v>
                </c:pt>
                <c:pt idx="224">
                  <c:v>12/8/1959</c:v>
                </c:pt>
                <c:pt idx="225">
                  <c:v>13/8/1959</c:v>
                </c:pt>
                <c:pt idx="226">
                  <c:v>14/8/1959</c:v>
                </c:pt>
                <c:pt idx="227">
                  <c:v>15/8/1959</c:v>
                </c:pt>
                <c:pt idx="228">
                  <c:v>16/8/1959</c:v>
                </c:pt>
                <c:pt idx="229">
                  <c:v>17/8/1959</c:v>
                </c:pt>
                <c:pt idx="230">
                  <c:v>18/8/1959</c:v>
                </c:pt>
                <c:pt idx="231">
                  <c:v>19/8/1959</c:v>
                </c:pt>
                <c:pt idx="232">
                  <c:v>20/8/1959</c:v>
                </c:pt>
                <c:pt idx="233">
                  <c:v>21/8/1959</c:v>
                </c:pt>
                <c:pt idx="234">
                  <c:v>22/8/1959</c:v>
                </c:pt>
                <c:pt idx="235">
                  <c:v>23/8/1959</c:v>
                </c:pt>
                <c:pt idx="236">
                  <c:v>24/8/1959</c:v>
                </c:pt>
                <c:pt idx="237">
                  <c:v>25/8/1959</c:v>
                </c:pt>
                <c:pt idx="238">
                  <c:v>26/8/1959</c:v>
                </c:pt>
                <c:pt idx="239">
                  <c:v>27/8/1959</c:v>
                </c:pt>
                <c:pt idx="240">
                  <c:v>28/8/1959</c:v>
                </c:pt>
                <c:pt idx="241">
                  <c:v>29/8/1959</c:v>
                </c:pt>
                <c:pt idx="242">
                  <c:v>30/8/1959</c:v>
                </c:pt>
                <c:pt idx="243">
                  <c:v>31/8/1959</c:v>
                </c:pt>
                <c:pt idx="244">
                  <c:v>1/9/1959</c:v>
                </c:pt>
                <c:pt idx="245">
                  <c:v>2/9/1959</c:v>
                </c:pt>
                <c:pt idx="246">
                  <c:v>3/9/1959</c:v>
                </c:pt>
                <c:pt idx="247">
                  <c:v>4/9/1959</c:v>
                </c:pt>
                <c:pt idx="248">
                  <c:v>5/9/1959</c:v>
                </c:pt>
                <c:pt idx="249">
                  <c:v>6/9/1959</c:v>
                </c:pt>
                <c:pt idx="250">
                  <c:v>7/9/1959</c:v>
                </c:pt>
                <c:pt idx="251">
                  <c:v>8/9/1959</c:v>
                </c:pt>
                <c:pt idx="252">
                  <c:v>9/9/1959</c:v>
                </c:pt>
                <c:pt idx="253">
                  <c:v>10/9/1959</c:v>
                </c:pt>
                <c:pt idx="254">
                  <c:v>11/9/1959</c:v>
                </c:pt>
                <c:pt idx="255">
                  <c:v>12/9/1959</c:v>
                </c:pt>
                <c:pt idx="256">
                  <c:v>13/9/1959</c:v>
                </c:pt>
                <c:pt idx="257">
                  <c:v>14/9/1959</c:v>
                </c:pt>
                <c:pt idx="258">
                  <c:v>15/9/1959</c:v>
                </c:pt>
                <c:pt idx="259">
                  <c:v>16/9/1959</c:v>
                </c:pt>
                <c:pt idx="260">
                  <c:v>17/9/1959</c:v>
                </c:pt>
                <c:pt idx="261">
                  <c:v>18/9/1959</c:v>
                </c:pt>
                <c:pt idx="262">
                  <c:v>19/9/1959</c:v>
                </c:pt>
                <c:pt idx="263">
                  <c:v>20/9/1959</c:v>
                </c:pt>
                <c:pt idx="264">
                  <c:v>21/9/1959</c:v>
                </c:pt>
                <c:pt idx="265">
                  <c:v>22/9/1959</c:v>
                </c:pt>
                <c:pt idx="266">
                  <c:v>23/9/1959</c:v>
                </c:pt>
                <c:pt idx="267">
                  <c:v>24/9/1959</c:v>
                </c:pt>
                <c:pt idx="268">
                  <c:v>25/9/1959</c:v>
                </c:pt>
                <c:pt idx="269">
                  <c:v>26/9/1959</c:v>
                </c:pt>
                <c:pt idx="270">
                  <c:v>27/9/1959</c:v>
                </c:pt>
                <c:pt idx="271">
                  <c:v>28/9/1959</c:v>
                </c:pt>
                <c:pt idx="272">
                  <c:v>29/9/1959</c:v>
                </c:pt>
                <c:pt idx="273">
                  <c:v>30/9/1959</c:v>
                </c:pt>
                <c:pt idx="274">
                  <c:v>1/10/1959</c:v>
                </c:pt>
                <c:pt idx="275">
                  <c:v>2/10/1959</c:v>
                </c:pt>
                <c:pt idx="276">
                  <c:v>3/10/1959</c:v>
                </c:pt>
                <c:pt idx="277">
                  <c:v>4/10/1959</c:v>
                </c:pt>
                <c:pt idx="278">
                  <c:v>5/10/1959</c:v>
                </c:pt>
                <c:pt idx="279">
                  <c:v>6/10/1959</c:v>
                </c:pt>
                <c:pt idx="280">
                  <c:v>7/10/1959</c:v>
                </c:pt>
                <c:pt idx="281">
                  <c:v>8/10/1959</c:v>
                </c:pt>
                <c:pt idx="282">
                  <c:v>9/10/1959</c:v>
                </c:pt>
                <c:pt idx="283">
                  <c:v>10/10/1959</c:v>
                </c:pt>
                <c:pt idx="284">
                  <c:v>11/10/1959</c:v>
                </c:pt>
                <c:pt idx="285">
                  <c:v>12/10/1959</c:v>
                </c:pt>
                <c:pt idx="286">
                  <c:v>13/10/1959</c:v>
                </c:pt>
                <c:pt idx="287">
                  <c:v>14/10/1959</c:v>
                </c:pt>
                <c:pt idx="288">
                  <c:v>15/10/1959</c:v>
                </c:pt>
                <c:pt idx="289">
                  <c:v>16/10/1959</c:v>
                </c:pt>
                <c:pt idx="290">
                  <c:v>17/10/1959</c:v>
                </c:pt>
                <c:pt idx="291">
                  <c:v>18/10/1959</c:v>
                </c:pt>
                <c:pt idx="292">
                  <c:v>19/10/1959</c:v>
                </c:pt>
                <c:pt idx="293">
                  <c:v>20/10/1959</c:v>
                </c:pt>
                <c:pt idx="294">
                  <c:v>21/10/1959</c:v>
                </c:pt>
                <c:pt idx="295">
                  <c:v>22/10/1959</c:v>
                </c:pt>
                <c:pt idx="296">
                  <c:v>23/10/1959</c:v>
                </c:pt>
                <c:pt idx="297">
                  <c:v>24/10/1959</c:v>
                </c:pt>
                <c:pt idx="298">
                  <c:v>25/10/1959</c:v>
                </c:pt>
                <c:pt idx="299">
                  <c:v>26/10/1959</c:v>
                </c:pt>
                <c:pt idx="300">
                  <c:v>27/10/1959</c:v>
                </c:pt>
                <c:pt idx="301">
                  <c:v>28/10/1959</c:v>
                </c:pt>
                <c:pt idx="302">
                  <c:v>29/10/1959</c:v>
                </c:pt>
                <c:pt idx="303">
                  <c:v>30/10/1959</c:v>
                </c:pt>
                <c:pt idx="304">
                  <c:v>31/10/1959</c:v>
                </c:pt>
                <c:pt idx="305">
                  <c:v>1/11/1959</c:v>
                </c:pt>
                <c:pt idx="306">
                  <c:v>2/11/1959</c:v>
                </c:pt>
                <c:pt idx="307">
                  <c:v>3/11/1959</c:v>
                </c:pt>
                <c:pt idx="308">
                  <c:v>4/11/1959</c:v>
                </c:pt>
                <c:pt idx="309">
                  <c:v>5/11/1959</c:v>
                </c:pt>
                <c:pt idx="310">
                  <c:v>6/11/1959</c:v>
                </c:pt>
                <c:pt idx="311">
                  <c:v>7/11/1959</c:v>
                </c:pt>
                <c:pt idx="312">
                  <c:v>8/11/1959</c:v>
                </c:pt>
                <c:pt idx="313">
                  <c:v>9/11/1959</c:v>
                </c:pt>
                <c:pt idx="314">
                  <c:v>10/11/1959</c:v>
                </c:pt>
                <c:pt idx="315">
                  <c:v>11/11/1959</c:v>
                </c:pt>
                <c:pt idx="316">
                  <c:v>12/11/1959</c:v>
                </c:pt>
                <c:pt idx="317">
                  <c:v>13/11/1959</c:v>
                </c:pt>
                <c:pt idx="318">
                  <c:v>14/11/1959</c:v>
                </c:pt>
                <c:pt idx="319">
                  <c:v>15/11/1959</c:v>
                </c:pt>
                <c:pt idx="320">
                  <c:v>16/11/1959</c:v>
                </c:pt>
                <c:pt idx="321">
                  <c:v>17/11/1959</c:v>
                </c:pt>
                <c:pt idx="322">
                  <c:v>18/11/1959</c:v>
                </c:pt>
                <c:pt idx="323">
                  <c:v>19/11/1959</c:v>
                </c:pt>
                <c:pt idx="324">
                  <c:v>20/11/1959</c:v>
                </c:pt>
                <c:pt idx="325">
                  <c:v>21/11/1959</c:v>
                </c:pt>
                <c:pt idx="326">
                  <c:v>22/11/1959</c:v>
                </c:pt>
                <c:pt idx="327">
                  <c:v>23/11/1959</c:v>
                </c:pt>
                <c:pt idx="328">
                  <c:v>24/11/1959</c:v>
                </c:pt>
                <c:pt idx="329">
                  <c:v>25/11/1959</c:v>
                </c:pt>
                <c:pt idx="330">
                  <c:v>26/11/1959</c:v>
                </c:pt>
                <c:pt idx="331">
                  <c:v>27/11/1959</c:v>
                </c:pt>
                <c:pt idx="332">
                  <c:v>28/11/1959</c:v>
                </c:pt>
                <c:pt idx="333">
                  <c:v>29/11/1959</c:v>
                </c:pt>
                <c:pt idx="334">
                  <c:v>30/11/1959</c:v>
                </c:pt>
                <c:pt idx="335">
                  <c:v>1/12/1959</c:v>
                </c:pt>
                <c:pt idx="336">
                  <c:v>2/12/1959</c:v>
                </c:pt>
                <c:pt idx="337">
                  <c:v>3/12/1959</c:v>
                </c:pt>
                <c:pt idx="338">
                  <c:v>4/12/1959</c:v>
                </c:pt>
                <c:pt idx="339">
                  <c:v>5/12/1959</c:v>
                </c:pt>
                <c:pt idx="340">
                  <c:v>6/12/1959</c:v>
                </c:pt>
                <c:pt idx="341">
                  <c:v>7/12/1959</c:v>
                </c:pt>
                <c:pt idx="342">
                  <c:v>8/12/1959</c:v>
                </c:pt>
                <c:pt idx="343">
                  <c:v>9/12/1959</c:v>
                </c:pt>
                <c:pt idx="344">
                  <c:v>10/12/1959</c:v>
                </c:pt>
                <c:pt idx="345">
                  <c:v>11/12/1959</c:v>
                </c:pt>
                <c:pt idx="346">
                  <c:v>12/12/1959</c:v>
                </c:pt>
                <c:pt idx="347">
                  <c:v>13/12/1959</c:v>
                </c:pt>
                <c:pt idx="348">
                  <c:v>14/12/1959</c:v>
                </c:pt>
                <c:pt idx="349">
                  <c:v>15/12/1959</c:v>
                </c:pt>
                <c:pt idx="350">
                  <c:v>16/12/1959</c:v>
                </c:pt>
                <c:pt idx="351">
                  <c:v>17/12/1959</c:v>
                </c:pt>
                <c:pt idx="352">
                  <c:v>18/12/1959</c:v>
                </c:pt>
                <c:pt idx="353">
                  <c:v>19/12/1959</c:v>
                </c:pt>
                <c:pt idx="354">
                  <c:v>20/12/1959</c:v>
                </c:pt>
                <c:pt idx="355">
                  <c:v>21/12/1959</c:v>
                </c:pt>
                <c:pt idx="356">
                  <c:v>22/12/1959</c:v>
                </c:pt>
                <c:pt idx="357">
                  <c:v>23/12/1959</c:v>
                </c:pt>
                <c:pt idx="358">
                  <c:v>24/12/1959</c:v>
                </c:pt>
                <c:pt idx="359">
                  <c:v>25/12/1959</c:v>
                </c:pt>
                <c:pt idx="360">
                  <c:v>26/12/1959</c:v>
                </c:pt>
                <c:pt idx="361">
                  <c:v>27/12/1959</c:v>
                </c:pt>
                <c:pt idx="362">
                  <c:v>28/12/1959</c:v>
                </c:pt>
                <c:pt idx="363">
                  <c:v>29/12/1959</c:v>
                </c:pt>
                <c:pt idx="364">
                  <c:v>30/12/1959</c:v>
                </c:pt>
                <c:pt idx="365">
                  <c:v>31/12/1959</c:v>
                </c:pt>
              </c:strCache>
            </c:strRef>
          </c:cat>
          <c:val>
            <c:numRef>
              <c:f>'Moving Average'!$I$1:$I$366</c:f>
              <c:numCache>
                <c:formatCode>General</c:formatCode>
                <c:ptCount val="36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91-4F64-B0C7-7D118A7B5C9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'Moving Average'!$A$1:$A$366</c:f>
              <c:strCache>
                <c:ptCount val="366"/>
                <c:pt idx="0">
                  <c:v>Date</c:v>
                </c:pt>
                <c:pt idx="1">
                  <c:v>1/1/1959</c:v>
                </c:pt>
                <c:pt idx="2">
                  <c:v>2/1/1959</c:v>
                </c:pt>
                <c:pt idx="3">
                  <c:v>3/1/1959</c:v>
                </c:pt>
                <c:pt idx="4">
                  <c:v>4/1/1959</c:v>
                </c:pt>
                <c:pt idx="5">
                  <c:v>5/1/1959</c:v>
                </c:pt>
                <c:pt idx="6">
                  <c:v>6/1/1959</c:v>
                </c:pt>
                <c:pt idx="7">
                  <c:v>7/1/1959</c:v>
                </c:pt>
                <c:pt idx="8">
                  <c:v>8/1/1959</c:v>
                </c:pt>
                <c:pt idx="9">
                  <c:v>9/1/1959</c:v>
                </c:pt>
                <c:pt idx="10">
                  <c:v>10/1/1959</c:v>
                </c:pt>
                <c:pt idx="11">
                  <c:v>11/1/1959</c:v>
                </c:pt>
                <c:pt idx="12">
                  <c:v>12/1/1959</c:v>
                </c:pt>
                <c:pt idx="13">
                  <c:v>13/1/1959</c:v>
                </c:pt>
                <c:pt idx="14">
                  <c:v>14/1/1959</c:v>
                </c:pt>
                <c:pt idx="15">
                  <c:v>15/1/1959</c:v>
                </c:pt>
                <c:pt idx="16">
                  <c:v>16/1/1959</c:v>
                </c:pt>
                <c:pt idx="17">
                  <c:v>17/1/1959</c:v>
                </c:pt>
                <c:pt idx="18">
                  <c:v>18/1/1959</c:v>
                </c:pt>
                <c:pt idx="19">
                  <c:v>19/1/1959</c:v>
                </c:pt>
                <c:pt idx="20">
                  <c:v>20/1/1959</c:v>
                </c:pt>
                <c:pt idx="21">
                  <c:v>21/1/1959</c:v>
                </c:pt>
                <c:pt idx="22">
                  <c:v>22/1/1959</c:v>
                </c:pt>
                <c:pt idx="23">
                  <c:v>23/1/1959</c:v>
                </c:pt>
                <c:pt idx="24">
                  <c:v>24/1/1959</c:v>
                </c:pt>
                <c:pt idx="25">
                  <c:v>25/1/1959</c:v>
                </c:pt>
                <c:pt idx="26">
                  <c:v>26/1/1959</c:v>
                </c:pt>
                <c:pt idx="27">
                  <c:v>27/1/1959</c:v>
                </c:pt>
                <c:pt idx="28">
                  <c:v>28/1/1959</c:v>
                </c:pt>
                <c:pt idx="29">
                  <c:v>29/1/1959</c:v>
                </c:pt>
                <c:pt idx="30">
                  <c:v>30/1/1959</c:v>
                </c:pt>
                <c:pt idx="31">
                  <c:v>31/1/1959</c:v>
                </c:pt>
                <c:pt idx="32">
                  <c:v>1/2/1959</c:v>
                </c:pt>
                <c:pt idx="33">
                  <c:v>2/2/1959</c:v>
                </c:pt>
                <c:pt idx="34">
                  <c:v>3/2/1959</c:v>
                </c:pt>
                <c:pt idx="35">
                  <c:v>4/2/1959</c:v>
                </c:pt>
                <c:pt idx="36">
                  <c:v>5/2/1959</c:v>
                </c:pt>
                <c:pt idx="37">
                  <c:v>6/2/1959</c:v>
                </c:pt>
                <c:pt idx="38">
                  <c:v>7/2/1959</c:v>
                </c:pt>
                <c:pt idx="39">
                  <c:v>8/2/1959</c:v>
                </c:pt>
                <c:pt idx="40">
                  <c:v>9/2/1959</c:v>
                </c:pt>
                <c:pt idx="41">
                  <c:v>10/2/1959</c:v>
                </c:pt>
                <c:pt idx="42">
                  <c:v>11/2/1959</c:v>
                </c:pt>
                <c:pt idx="43">
                  <c:v>12/2/1959</c:v>
                </c:pt>
                <c:pt idx="44">
                  <c:v>13/2/1959</c:v>
                </c:pt>
                <c:pt idx="45">
                  <c:v>14/2/1959</c:v>
                </c:pt>
                <c:pt idx="46">
                  <c:v>15/2/1959</c:v>
                </c:pt>
                <c:pt idx="47">
                  <c:v>16/2/1959</c:v>
                </c:pt>
                <c:pt idx="48">
                  <c:v>17/2/1959</c:v>
                </c:pt>
                <c:pt idx="49">
                  <c:v>18/2/1959</c:v>
                </c:pt>
                <c:pt idx="50">
                  <c:v>19/2/1959</c:v>
                </c:pt>
                <c:pt idx="51">
                  <c:v>20/2/1959</c:v>
                </c:pt>
                <c:pt idx="52">
                  <c:v>21/2/1959</c:v>
                </c:pt>
                <c:pt idx="53">
                  <c:v>22/2/1959</c:v>
                </c:pt>
                <c:pt idx="54">
                  <c:v>23/2/1959</c:v>
                </c:pt>
                <c:pt idx="55">
                  <c:v>24/2/1959</c:v>
                </c:pt>
                <c:pt idx="56">
                  <c:v>25/2/1959</c:v>
                </c:pt>
                <c:pt idx="57">
                  <c:v>26/2/1959</c:v>
                </c:pt>
                <c:pt idx="58">
                  <c:v>27/2/1959</c:v>
                </c:pt>
                <c:pt idx="59">
                  <c:v>28/2/1959</c:v>
                </c:pt>
                <c:pt idx="60">
                  <c:v>1/3/1959</c:v>
                </c:pt>
                <c:pt idx="61">
                  <c:v>2/3/1959</c:v>
                </c:pt>
                <c:pt idx="62">
                  <c:v>3/3/1959</c:v>
                </c:pt>
                <c:pt idx="63">
                  <c:v>4/3/1959</c:v>
                </c:pt>
                <c:pt idx="64">
                  <c:v>5/3/1959</c:v>
                </c:pt>
                <c:pt idx="65">
                  <c:v>6/3/1959</c:v>
                </c:pt>
                <c:pt idx="66">
                  <c:v>7/3/1959</c:v>
                </c:pt>
                <c:pt idx="67">
                  <c:v>8/3/1959</c:v>
                </c:pt>
                <c:pt idx="68">
                  <c:v>9/3/1959</c:v>
                </c:pt>
                <c:pt idx="69">
                  <c:v>10/3/1959</c:v>
                </c:pt>
                <c:pt idx="70">
                  <c:v>11/3/1959</c:v>
                </c:pt>
                <c:pt idx="71">
                  <c:v>12/3/1959</c:v>
                </c:pt>
                <c:pt idx="72">
                  <c:v>13/3/1959</c:v>
                </c:pt>
                <c:pt idx="73">
                  <c:v>14/3/1959</c:v>
                </c:pt>
                <c:pt idx="74">
                  <c:v>15/3/1959</c:v>
                </c:pt>
                <c:pt idx="75">
                  <c:v>16/3/1959</c:v>
                </c:pt>
                <c:pt idx="76">
                  <c:v>17/3/1959</c:v>
                </c:pt>
                <c:pt idx="77">
                  <c:v>18/3/1959</c:v>
                </c:pt>
                <c:pt idx="78">
                  <c:v>19/3/1959</c:v>
                </c:pt>
                <c:pt idx="79">
                  <c:v>20/3/1959</c:v>
                </c:pt>
                <c:pt idx="80">
                  <c:v>21/3/1959</c:v>
                </c:pt>
                <c:pt idx="81">
                  <c:v>22/3/1959</c:v>
                </c:pt>
                <c:pt idx="82">
                  <c:v>23/3/1959</c:v>
                </c:pt>
                <c:pt idx="83">
                  <c:v>24/3/1959</c:v>
                </c:pt>
                <c:pt idx="84">
                  <c:v>25/3/1959</c:v>
                </c:pt>
                <c:pt idx="85">
                  <c:v>26/3/1959</c:v>
                </c:pt>
                <c:pt idx="86">
                  <c:v>27/3/1959</c:v>
                </c:pt>
                <c:pt idx="87">
                  <c:v>28/3/1959</c:v>
                </c:pt>
                <c:pt idx="88">
                  <c:v>29/3/1959</c:v>
                </c:pt>
                <c:pt idx="89">
                  <c:v>30/3/1959</c:v>
                </c:pt>
                <c:pt idx="90">
                  <c:v>31/3/1959</c:v>
                </c:pt>
                <c:pt idx="91">
                  <c:v>1/4/1959</c:v>
                </c:pt>
                <c:pt idx="92">
                  <c:v>2/4/1959</c:v>
                </c:pt>
                <c:pt idx="93">
                  <c:v>3/4/1959</c:v>
                </c:pt>
                <c:pt idx="94">
                  <c:v>4/4/1959</c:v>
                </c:pt>
                <c:pt idx="95">
                  <c:v>5/4/1959</c:v>
                </c:pt>
                <c:pt idx="96">
                  <c:v>6/4/1959</c:v>
                </c:pt>
                <c:pt idx="97">
                  <c:v>7/4/1959</c:v>
                </c:pt>
                <c:pt idx="98">
                  <c:v>8/4/1959</c:v>
                </c:pt>
                <c:pt idx="99">
                  <c:v>9/4/1959</c:v>
                </c:pt>
                <c:pt idx="100">
                  <c:v>10/4/1959</c:v>
                </c:pt>
                <c:pt idx="101">
                  <c:v>11/4/1959</c:v>
                </c:pt>
                <c:pt idx="102">
                  <c:v>12/4/1959</c:v>
                </c:pt>
                <c:pt idx="103">
                  <c:v>13/4/1959</c:v>
                </c:pt>
                <c:pt idx="104">
                  <c:v>14/4/1959</c:v>
                </c:pt>
                <c:pt idx="105">
                  <c:v>15/4/1959</c:v>
                </c:pt>
                <c:pt idx="106">
                  <c:v>16/4/1959</c:v>
                </c:pt>
                <c:pt idx="107">
                  <c:v>17/4/1959</c:v>
                </c:pt>
                <c:pt idx="108">
                  <c:v>18/4/1959</c:v>
                </c:pt>
                <c:pt idx="109">
                  <c:v>19/4/1959</c:v>
                </c:pt>
                <c:pt idx="110">
                  <c:v>20/4/1959</c:v>
                </c:pt>
                <c:pt idx="111">
                  <c:v>21/4/1959</c:v>
                </c:pt>
                <c:pt idx="112">
                  <c:v>22/4/1959</c:v>
                </c:pt>
                <c:pt idx="113">
                  <c:v>23/4/1959</c:v>
                </c:pt>
                <c:pt idx="114">
                  <c:v>24/4/1959</c:v>
                </c:pt>
                <c:pt idx="115">
                  <c:v>25/4/1959</c:v>
                </c:pt>
                <c:pt idx="116">
                  <c:v>26/4/1959</c:v>
                </c:pt>
                <c:pt idx="117">
                  <c:v>27/4/1959</c:v>
                </c:pt>
                <c:pt idx="118">
                  <c:v>28/4/1959</c:v>
                </c:pt>
                <c:pt idx="119">
                  <c:v>29/4/1959</c:v>
                </c:pt>
                <c:pt idx="120">
                  <c:v>30/4/1959</c:v>
                </c:pt>
                <c:pt idx="121">
                  <c:v>1/5/1959</c:v>
                </c:pt>
                <c:pt idx="122">
                  <c:v>2/5/1959</c:v>
                </c:pt>
                <c:pt idx="123">
                  <c:v>3/5/1959</c:v>
                </c:pt>
                <c:pt idx="124">
                  <c:v>4/5/1959</c:v>
                </c:pt>
                <c:pt idx="125">
                  <c:v>5/5/1959</c:v>
                </c:pt>
                <c:pt idx="126">
                  <c:v>6/5/1959</c:v>
                </c:pt>
                <c:pt idx="127">
                  <c:v>7/5/1959</c:v>
                </c:pt>
                <c:pt idx="128">
                  <c:v>8/5/1959</c:v>
                </c:pt>
                <c:pt idx="129">
                  <c:v>9/5/1959</c:v>
                </c:pt>
                <c:pt idx="130">
                  <c:v>10/5/1959</c:v>
                </c:pt>
                <c:pt idx="131">
                  <c:v>11/5/1959</c:v>
                </c:pt>
                <c:pt idx="132">
                  <c:v>12/5/1959</c:v>
                </c:pt>
                <c:pt idx="133">
                  <c:v>13/5/1959</c:v>
                </c:pt>
                <c:pt idx="134">
                  <c:v>14/5/1959</c:v>
                </c:pt>
                <c:pt idx="135">
                  <c:v>15/5/1959</c:v>
                </c:pt>
                <c:pt idx="136">
                  <c:v>16/5/1959</c:v>
                </c:pt>
                <c:pt idx="137">
                  <c:v>17/5/1959</c:v>
                </c:pt>
                <c:pt idx="138">
                  <c:v>18/5/1959</c:v>
                </c:pt>
                <c:pt idx="139">
                  <c:v>19/5/1959</c:v>
                </c:pt>
                <c:pt idx="140">
                  <c:v>20/5/1959</c:v>
                </c:pt>
                <c:pt idx="141">
                  <c:v>21/5/1959</c:v>
                </c:pt>
                <c:pt idx="142">
                  <c:v>22/5/1959</c:v>
                </c:pt>
                <c:pt idx="143">
                  <c:v>23/5/1959</c:v>
                </c:pt>
                <c:pt idx="144">
                  <c:v>24/5/1959</c:v>
                </c:pt>
                <c:pt idx="145">
                  <c:v>25/5/1959</c:v>
                </c:pt>
                <c:pt idx="146">
                  <c:v>26/5/1959</c:v>
                </c:pt>
                <c:pt idx="147">
                  <c:v>27/5/1959</c:v>
                </c:pt>
                <c:pt idx="148">
                  <c:v>28/5/1959</c:v>
                </c:pt>
                <c:pt idx="149">
                  <c:v>29/5/1959</c:v>
                </c:pt>
                <c:pt idx="150">
                  <c:v>30/5/1959</c:v>
                </c:pt>
                <c:pt idx="151">
                  <c:v>31/5/1959</c:v>
                </c:pt>
                <c:pt idx="152">
                  <c:v>1/6/1959</c:v>
                </c:pt>
                <c:pt idx="153">
                  <c:v>2/6/1959</c:v>
                </c:pt>
                <c:pt idx="154">
                  <c:v>3/6/1959</c:v>
                </c:pt>
                <c:pt idx="155">
                  <c:v>4/6/1959</c:v>
                </c:pt>
                <c:pt idx="156">
                  <c:v>5/6/1959</c:v>
                </c:pt>
                <c:pt idx="157">
                  <c:v>6/6/1959</c:v>
                </c:pt>
                <c:pt idx="158">
                  <c:v>7/6/1959</c:v>
                </c:pt>
                <c:pt idx="159">
                  <c:v>8/6/1959</c:v>
                </c:pt>
                <c:pt idx="160">
                  <c:v>9/6/1959</c:v>
                </c:pt>
                <c:pt idx="161">
                  <c:v>10/6/1959</c:v>
                </c:pt>
                <c:pt idx="162">
                  <c:v>11/6/1959</c:v>
                </c:pt>
                <c:pt idx="163">
                  <c:v>12/6/1959</c:v>
                </c:pt>
                <c:pt idx="164">
                  <c:v>13/6/1959</c:v>
                </c:pt>
                <c:pt idx="165">
                  <c:v>14/6/1959</c:v>
                </c:pt>
                <c:pt idx="166">
                  <c:v>15/6/1959</c:v>
                </c:pt>
                <c:pt idx="167">
                  <c:v>16/6/1959</c:v>
                </c:pt>
                <c:pt idx="168">
                  <c:v>17/6/1959</c:v>
                </c:pt>
                <c:pt idx="169">
                  <c:v>18/6/1959</c:v>
                </c:pt>
                <c:pt idx="170">
                  <c:v>19/6/1959</c:v>
                </c:pt>
                <c:pt idx="171">
                  <c:v>20/6/1959</c:v>
                </c:pt>
                <c:pt idx="172">
                  <c:v>21/6/1959</c:v>
                </c:pt>
                <c:pt idx="173">
                  <c:v>22/6/1959</c:v>
                </c:pt>
                <c:pt idx="174">
                  <c:v>23/6/1959</c:v>
                </c:pt>
                <c:pt idx="175">
                  <c:v>24/6/1959</c:v>
                </c:pt>
                <c:pt idx="176">
                  <c:v>25/6/1959</c:v>
                </c:pt>
                <c:pt idx="177">
                  <c:v>26/6/1959</c:v>
                </c:pt>
                <c:pt idx="178">
                  <c:v>27/6/1959</c:v>
                </c:pt>
                <c:pt idx="179">
                  <c:v>28/6/1959</c:v>
                </c:pt>
                <c:pt idx="180">
                  <c:v>29/6/1959</c:v>
                </c:pt>
                <c:pt idx="181">
                  <c:v>30/6/1959</c:v>
                </c:pt>
                <c:pt idx="182">
                  <c:v>1/7/1959</c:v>
                </c:pt>
                <c:pt idx="183">
                  <c:v>2/7/1959</c:v>
                </c:pt>
                <c:pt idx="184">
                  <c:v>3/7/1959</c:v>
                </c:pt>
                <c:pt idx="185">
                  <c:v>4/7/1959</c:v>
                </c:pt>
                <c:pt idx="186">
                  <c:v>5/7/1959</c:v>
                </c:pt>
                <c:pt idx="187">
                  <c:v>6/7/1959</c:v>
                </c:pt>
                <c:pt idx="188">
                  <c:v>7/7/1959</c:v>
                </c:pt>
                <c:pt idx="189">
                  <c:v>8/7/1959</c:v>
                </c:pt>
                <c:pt idx="190">
                  <c:v>9/7/1959</c:v>
                </c:pt>
                <c:pt idx="191">
                  <c:v>10/7/1959</c:v>
                </c:pt>
                <c:pt idx="192">
                  <c:v>11/7/1959</c:v>
                </c:pt>
                <c:pt idx="193">
                  <c:v>12/7/1959</c:v>
                </c:pt>
                <c:pt idx="194">
                  <c:v>13/7/1959</c:v>
                </c:pt>
                <c:pt idx="195">
                  <c:v>14/7/1959</c:v>
                </c:pt>
                <c:pt idx="196">
                  <c:v>15/7/1959</c:v>
                </c:pt>
                <c:pt idx="197">
                  <c:v>16/7/1959</c:v>
                </c:pt>
                <c:pt idx="198">
                  <c:v>17/7/1959</c:v>
                </c:pt>
                <c:pt idx="199">
                  <c:v>18/7/1959</c:v>
                </c:pt>
                <c:pt idx="200">
                  <c:v>19/7/1959</c:v>
                </c:pt>
                <c:pt idx="201">
                  <c:v>20/7/1959</c:v>
                </c:pt>
                <c:pt idx="202">
                  <c:v>21/7/1959</c:v>
                </c:pt>
                <c:pt idx="203">
                  <c:v>22/7/1959</c:v>
                </c:pt>
                <c:pt idx="204">
                  <c:v>23/7/1959</c:v>
                </c:pt>
                <c:pt idx="205">
                  <c:v>24/7/1959</c:v>
                </c:pt>
                <c:pt idx="206">
                  <c:v>25/7/1959</c:v>
                </c:pt>
                <c:pt idx="207">
                  <c:v>26/7/1959</c:v>
                </c:pt>
                <c:pt idx="208">
                  <c:v>27/7/1959</c:v>
                </c:pt>
                <c:pt idx="209">
                  <c:v>28/7/1959</c:v>
                </c:pt>
                <c:pt idx="210">
                  <c:v>29/7/1959</c:v>
                </c:pt>
                <c:pt idx="211">
                  <c:v>30/7/1959</c:v>
                </c:pt>
                <c:pt idx="212">
                  <c:v>31/7/1959</c:v>
                </c:pt>
                <c:pt idx="213">
                  <c:v>1/8/1959</c:v>
                </c:pt>
                <c:pt idx="214">
                  <c:v>2/8/1959</c:v>
                </c:pt>
                <c:pt idx="215">
                  <c:v>3/8/1959</c:v>
                </c:pt>
                <c:pt idx="216">
                  <c:v>4/8/1959</c:v>
                </c:pt>
                <c:pt idx="217">
                  <c:v>5/8/1959</c:v>
                </c:pt>
                <c:pt idx="218">
                  <c:v>6/8/1959</c:v>
                </c:pt>
                <c:pt idx="219">
                  <c:v>7/8/1959</c:v>
                </c:pt>
                <c:pt idx="220">
                  <c:v>8/8/1959</c:v>
                </c:pt>
                <c:pt idx="221">
                  <c:v>9/8/1959</c:v>
                </c:pt>
                <c:pt idx="222">
                  <c:v>10/8/1959</c:v>
                </c:pt>
                <c:pt idx="223">
                  <c:v>11/8/1959</c:v>
                </c:pt>
                <c:pt idx="224">
                  <c:v>12/8/1959</c:v>
                </c:pt>
                <c:pt idx="225">
                  <c:v>13/8/1959</c:v>
                </c:pt>
                <c:pt idx="226">
                  <c:v>14/8/1959</c:v>
                </c:pt>
                <c:pt idx="227">
                  <c:v>15/8/1959</c:v>
                </c:pt>
                <c:pt idx="228">
                  <c:v>16/8/1959</c:v>
                </c:pt>
                <c:pt idx="229">
                  <c:v>17/8/1959</c:v>
                </c:pt>
                <c:pt idx="230">
                  <c:v>18/8/1959</c:v>
                </c:pt>
                <c:pt idx="231">
                  <c:v>19/8/1959</c:v>
                </c:pt>
                <c:pt idx="232">
                  <c:v>20/8/1959</c:v>
                </c:pt>
                <c:pt idx="233">
                  <c:v>21/8/1959</c:v>
                </c:pt>
                <c:pt idx="234">
                  <c:v>22/8/1959</c:v>
                </c:pt>
                <c:pt idx="235">
                  <c:v>23/8/1959</c:v>
                </c:pt>
                <c:pt idx="236">
                  <c:v>24/8/1959</c:v>
                </c:pt>
                <c:pt idx="237">
                  <c:v>25/8/1959</c:v>
                </c:pt>
                <c:pt idx="238">
                  <c:v>26/8/1959</c:v>
                </c:pt>
                <c:pt idx="239">
                  <c:v>27/8/1959</c:v>
                </c:pt>
                <c:pt idx="240">
                  <c:v>28/8/1959</c:v>
                </c:pt>
                <c:pt idx="241">
                  <c:v>29/8/1959</c:v>
                </c:pt>
                <c:pt idx="242">
                  <c:v>30/8/1959</c:v>
                </c:pt>
                <c:pt idx="243">
                  <c:v>31/8/1959</c:v>
                </c:pt>
                <c:pt idx="244">
                  <c:v>1/9/1959</c:v>
                </c:pt>
                <c:pt idx="245">
                  <c:v>2/9/1959</c:v>
                </c:pt>
                <c:pt idx="246">
                  <c:v>3/9/1959</c:v>
                </c:pt>
                <c:pt idx="247">
                  <c:v>4/9/1959</c:v>
                </c:pt>
                <c:pt idx="248">
                  <c:v>5/9/1959</c:v>
                </c:pt>
                <c:pt idx="249">
                  <c:v>6/9/1959</c:v>
                </c:pt>
                <c:pt idx="250">
                  <c:v>7/9/1959</c:v>
                </c:pt>
                <c:pt idx="251">
                  <c:v>8/9/1959</c:v>
                </c:pt>
                <c:pt idx="252">
                  <c:v>9/9/1959</c:v>
                </c:pt>
                <c:pt idx="253">
                  <c:v>10/9/1959</c:v>
                </c:pt>
                <c:pt idx="254">
                  <c:v>11/9/1959</c:v>
                </c:pt>
                <c:pt idx="255">
                  <c:v>12/9/1959</c:v>
                </c:pt>
                <c:pt idx="256">
                  <c:v>13/9/1959</c:v>
                </c:pt>
                <c:pt idx="257">
                  <c:v>14/9/1959</c:v>
                </c:pt>
                <c:pt idx="258">
                  <c:v>15/9/1959</c:v>
                </c:pt>
                <c:pt idx="259">
                  <c:v>16/9/1959</c:v>
                </c:pt>
                <c:pt idx="260">
                  <c:v>17/9/1959</c:v>
                </c:pt>
                <c:pt idx="261">
                  <c:v>18/9/1959</c:v>
                </c:pt>
                <c:pt idx="262">
                  <c:v>19/9/1959</c:v>
                </c:pt>
                <c:pt idx="263">
                  <c:v>20/9/1959</c:v>
                </c:pt>
                <c:pt idx="264">
                  <c:v>21/9/1959</c:v>
                </c:pt>
                <c:pt idx="265">
                  <c:v>22/9/1959</c:v>
                </c:pt>
                <c:pt idx="266">
                  <c:v>23/9/1959</c:v>
                </c:pt>
                <c:pt idx="267">
                  <c:v>24/9/1959</c:v>
                </c:pt>
                <c:pt idx="268">
                  <c:v>25/9/1959</c:v>
                </c:pt>
                <c:pt idx="269">
                  <c:v>26/9/1959</c:v>
                </c:pt>
                <c:pt idx="270">
                  <c:v>27/9/1959</c:v>
                </c:pt>
                <c:pt idx="271">
                  <c:v>28/9/1959</c:v>
                </c:pt>
                <c:pt idx="272">
                  <c:v>29/9/1959</c:v>
                </c:pt>
                <c:pt idx="273">
                  <c:v>30/9/1959</c:v>
                </c:pt>
                <c:pt idx="274">
                  <c:v>1/10/1959</c:v>
                </c:pt>
                <c:pt idx="275">
                  <c:v>2/10/1959</c:v>
                </c:pt>
                <c:pt idx="276">
                  <c:v>3/10/1959</c:v>
                </c:pt>
                <c:pt idx="277">
                  <c:v>4/10/1959</c:v>
                </c:pt>
                <c:pt idx="278">
                  <c:v>5/10/1959</c:v>
                </c:pt>
                <c:pt idx="279">
                  <c:v>6/10/1959</c:v>
                </c:pt>
                <c:pt idx="280">
                  <c:v>7/10/1959</c:v>
                </c:pt>
                <c:pt idx="281">
                  <c:v>8/10/1959</c:v>
                </c:pt>
                <c:pt idx="282">
                  <c:v>9/10/1959</c:v>
                </c:pt>
                <c:pt idx="283">
                  <c:v>10/10/1959</c:v>
                </c:pt>
                <c:pt idx="284">
                  <c:v>11/10/1959</c:v>
                </c:pt>
                <c:pt idx="285">
                  <c:v>12/10/1959</c:v>
                </c:pt>
                <c:pt idx="286">
                  <c:v>13/10/1959</c:v>
                </c:pt>
                <c:pt idx="287">
                  <c:v>14/10/1959</c:v>
                </c:pt>
                <c:pt idx="288">
                  <c:v>15/10/1959</c:v>
                </c:pt>
                <c:pt idx="289">
                  <c:v>16/10/1959</c:v>
                </c:pt>
                <c:pt idx="290">
                  <c:v>17/10/1959</c:v>
                </c:pt>
                <c:pt idx="291">
                  <c:v>18/10/1959</c:v>
                </c:pt>
                <c:pt idx="292">
                  <c:v>19/10/1959</c:v>
                </c:pt>
                <c:pt idx="293">
                  <c:v>20/10/1959</c:v>
                </c:pt>
                <c:pt idx="294">
                  <c:v>21/10/1959</c:v>
                </c:pt>
                <c:pt idx="295">
                  <c:v>22/10/1959</c:v>
                </c:pt>
                <c:pt idx="296">
                  <c:v>23/10/1959</c:v>
                </c:pt>
                <c:pt idx="297">
                  <c:v>24/10/1959</c:v>
                </c:pt>
                <c:pt idx="298">
                  <c:v>25/10/1959</c:v>
                </c:pt>
                <c:pt idx="299">
                  <c:v>26/10/1959</c:v>
                </c:pt>
                <c:pt idx="300">
                  <c:v>27/10/1959</c:v>
                </c:pt>
                <c:pt idx="301">
                  <c:v>28/10/1959</c:v>
                </c:pt>
                <c:pt idx="302">
                  <c:v>29/10/1959</c:v>
                </c:pt>
                <c:pt idx="303">
                  <c:v>30/10/1959</c:v>
                </c:pt>
                <c:pt idx="304">
                  <c:v>31/10/1959</c:v>
                </c:pt>
                <c:pt idx="305">
                  <c:v>1/11/1959</c:v>
                </c:pt>
                <c:pt idx="306">
                  <c:v>2/11/1959</c:v>
                </c:pt>
                <c:pt idx="307">
                  <c:v>3/11/1959</c:v>
                </c:pt>
                <c:pt idx="308">
                  <c:v>4/11/1959</c:v>
                </c:pt>
                <c:pt idx="309">
                  <c:v>5/11/1959</c:v>
                </c:pt>
                <c:pt idx="310">
                  <c:v>6/11/1959</c:v>
                </c:pt>
                <c:pt idx="311">
                  <c:v>7/11/1959</c:v>
                </c:pt>
                <c:pt idx="312">
                  <c:v>8/11/1959</c:v>
                </c:pt>
                <c:pt idx="313">
                  <c:v>9/11/1959</c:v>
                </c:pt>
                <c:pt idx="314">
                  <c:v>10/11/1959</c:v>
                </c:pt>
                <c:pt idx="315">
                  <c:v>11/11/1959</c:v>
                </c:pt>
                <c:pt idx="316">
                  <c:v>12/11/1959</c:v>
                </c:pt>
                <c:pt idx="317">
                  <c:v>13/11/1959</c:v>
                </c:pt>
                <c:pt idx="318">
                  <c:v>14/11/1959</c:v>
                </c:pt>
                <c:pt idx="319">
                  <c:v>15/11/1959</c:v>
                </c:pt>
                <c:pt idx="320">
                  <c:v>16/11/1959</c:v>
                </c:pt>
                <c:pt idx="321">
                  <c:v>17/11/1959</c:v>
                </c:pt>
                <c:pt idx="322">
                  <c:v>18/11/1959</c:v>
                </c:pt>
                <c:pt idx="323">
                  <c:v>19/11/1959</c:v>
                </c:pt>
                <c:pt idx="324">
                  <c:v>20/11/1959</c:v>
                </c:pt>
                <c:pt idx="325">
                  <c:v>21/11/1959</c:v>
                </c:pt>
                <c:pt idx="326">
                  <c:v>22/11/1959</c:v>
                </c:pt>
                <c:pt idx="327">
                  <c:v>23/11/1959</c:v>
                </c:pt>
                <c:pt idx="328">
                  <c:v>24/11/1959</c:v>
                </c:pt>
                <c:pt idx="329">
                  <c:v>25/11/1959</c:v>
                </c:pt>
                <c:pt idx="330">
                  <c:v>26/11/1959</c:v>
                </c:pt>
                <c:pt idx="331">
                  <c:v>27/11/1959</c:v>
                </c:pt>
                <c:pt idx="332">
                  <c:v>28/11/1959</c:v>
                </c:pt>
                <c:pt idx="333">
                  <c:v>29/11/1959</c:v>
                </c:pt>
                <c:pt idx="334">
                  <c:v>30/11/1959</c:v>
                </c:pt>
                <c:pt idx="335">
                  <c:v>1/12/1959</c:v>
                </c:pt>
                <c:pt idx="336">
                  <c:v>2/12/1959</c:v>
                </c:pt>
                <c:pt idx="337">
                  <c:v>3/12/1959</c:v>
                </c:pt>
                <c:pt idx="338">
                  <c:v>4/12/1959</c:v>
                </c:pt>
                <c:pt idx="339">
                  <c:v>5/12/1959</c:v>
                </c:pt>
                <c:pt idx="340">
                  <c:v>6/12/1959</c:v>
                </c:pt>
                <c:pt idx="341">
                  <c:v>7/12/1959</c:v>
                </c:pt>
                <c:pt idx="342">
                  <c:v>8/12/1959</c:v>
                </c:pt>
                <c:pt idx="343">
                  <c:v>9/12/1959</c:v>
                </c:pt>
                <c:pt idx="344">
                  <c:v>10/12/1959</c:v>
                </c:pt>
                <c:pt idx="345">
                  <c:v>11/12/1959</c:v>
                </c:pt>
                <c:pt idx="346">
                  <c:v>12/12/1959</c:v>
                </c:pt>
                <c:pt idx="347">
                  <c:v>13/12/1959</c:v>
                </c:pt>
                <c:pt idx="348">
                  <c:v>14/12/1959</c:v>
                </c:pt>
                <c:pt idx="349">
                  <c:v>15/12/1959</c:v>
                </c:pt>
                <c:pt idx="350">
                  <c:v>16/12/1959</c:v>
                </c:pt>
                <c:pt idx="351">
                  <c:v>17/12/1959</c:v>
                </c:pt>
                <c:pt idx="352">
                  <c:v>18/12/1959</c:v>
                </c:pt>
                <c:pt idx="353">
                  <c:v>19/12/1959</c:v>
                </c:pt>
                <c:pt idx="354">
                  <c:v>20/12/1959</c:v>
                </c:pt>
                <c:pt idx="355">
                  <c:v>21/12/1959</c:v>
                </c:pt>
                <c:pt idx="356">
                  <c:v>22/12/1959</c:v>
                </c:pt>
                <c:pt idx="357">
                  <c:v>23/12/1959</c:v>
                </c:pt>
                <c:pt idx="358">
                  <c:v>24/12/1959</c:v>
                </c:pt>
                <c:pt idx="359">
                  <c:v>25/12/1959</c:v>
                </c:pt>
                <c:pt idx="360">
                  <c:v>26/12/1959</c:v>
                </c:pt>
                <c:pt idx="361">
                  <c:v>27/12/1959</c:v>
                </c:pt>
                <c:pt idx="362">
                  <c:v>28/12/1959</c:v>
                </c:pt>
                <c:pt idx="363">
                  <c:v>29/12/1959</c:v>
                </c:pt>
                <c:pt idx="364">
                  <c:v>30/12/1959</c:v>
                </c:pt>
                <c:pt idx="365">
                  <c:v>31/12/1959</c:v>
                </c:pt>
              </c:strCache>
            </c:strRef>
          </c:cat>
          <c:val>
            <c:numRef>
              <c:f>'Moving Average'!$J$1:$J$366</c:f>
              <c:numCache>
                <c:formatCode>General</c:formatCode>
                <c:ptCount val="366"/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91-4F64-B0C7-7D118A7B5C94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'Moving Average'!$A$1:$A$366</c:f>
              <c:strCache>
                <c:ptCount val="366"/>
                <c:pt idx="0">
                  <c:v>Date</c:v>
                </c:pt>
                <c:pt idx="1">
                  <c:v>1/1/1959</c:v>
                </c:pt>
                <c:pt idx="2">
                  <c:v>2/1/1959</c:v>
                </c:pt>
                <c:pt idx="3">
                  <c:v>3/1/1959</c:v>
                </c:pt>
                <c:pt idx="4">
                  <c:v>4/1/1959</c:v>
                </c:pt>
                <c:pt idx="5">
                  <c:v>5/1/1959</c:v>
                </c:pt>
                <c:pt idx="6">
                  <c:v>6/1/1959</c:v>
                </c:pt>
                <c:pt idx="7">
                  <c:v>7/1/1959</c:v>
                </c:pt>
                <c:pt idx="8">
                  <c:v>8/1/1959</c:v>
                </c:pt>
                <c:pt idx="9">
                  <c:v>9/1/1959</c:v>
                </c:pt>
                <c:pt idx="10">
                  <c:v>10/1/1959</c:v>
                </c:pt>
                <c:pt idx="11">
                  <c:v>11/1/1959</c:v>
                </c:pt>
                <c:pt idx="12">
                  <c:v>12/1/1959</c:v>
                </c:pt>
                <c:pt idx="13">
                  <c:v>13/1/1959</c:v>
                </c:pt>
                <c:pt idx="14">
                  <c:v>14/1/1959</c:v>
                </c:pt>
                <c:pt idx="15">
                  <c:v>15/1/1959</c:v>
                </c:pt>
                <c:pt idx="16">
                  <c:v>16/1/1959</c:v>
                </c:pt>
                <c:pt idx="17">
                  <c:v>17/1/1959</c:v>
                </c:pt>
                <c:pt idx="18">
                  <c:v>18/1/1959</c:v>
                </c:pt>
                <c:pt idx="19">
                  <c:v>19/1/1959</c:v>
                </c:pt>
                <c:pt idx="20">
                  <c:v>20/1/1959</c:v>
                </c:pt>
                <c:pt idx="21">
                  <c:v>21/1/1959</c:v>
                </c:pt>
                <c:pt idx="22">
                  <c:v>22/1/1959</c:v>
                </c:pt>
                <c:pt idx="23">
                  <c:v>23/1/1959</c:v>
                </c:pt>
                <c:pt idx="24">
                  <c:v>24/1/1959</c:v>
                </c:pt>
                <c:pt idx="25">
                  <c:v>25/1/1959</c:v>
                </c:pt>
                <c:pt idx="26">
                  <c:v>26/1/1959</c:v>
                </c:pt>
                <c:pt idx="27">
                  <c:v>27/1/1959</c:v>
                </c:pt>
                <c:pt idx="28">
                  <c:v>28/1/1959</c:v>
                </c:pt>
                <c:pt idx="29">
                  <c:v>29/1/1959</c:v>
                </c:pt>
                <c:pt idx="30">
                  <c:v>30/1/1959</c:v>
                </c:pt>
                <c:pt idx="31">
                  <c:v>31/1/1959</c:v>
                </c:pt>
                <c:pt idx="32">
                  <c:v>1/2/1959</c:v>
                </c:pt>
                <c:pt idx="33">
                  <c:v>2/2/1959</c:v>
                </c:pt>
                <c:pt idx="34">
                  <c:v>3/2/1959</c:v>
                </c:pt>
                <c:pt idx="35">
                  <c:v>4/2/1959</c:v>
                </c:pt>
                <c:pt idx="36">
                  <c:v>5/2/1959</c:v>
                </c:pt>
                <c:pt idx="37">
                  <c:v>6/2/1959</c:v>
                </c:pt>
                <c:pt idx="38">
                  <c:v>7/2/1959</c:v>
                </c:pt>
                <c:pt idx="39">
                  <c:v>8/2/1959</c:v>
                </c:pt>
                <c:pt idx="40">
                  <c:v>9/2/1959</c:v>
                </c:pt>
                <c:pt idx="41">
                  <c:v>10/2/1959</c:v>
                </c:pt>
                <c:pt idx="42">
                  <c:v>11/2/1959</c:v>
                </c:pt>
                <c:pt idx="43">
                  <c:v>12/2/1959</c:v>
                </c:pt>
                <c:pt idx="44">
                  <c:v>13/2/1959</c:v>
                </c:pt>
                <c:pt idx="45">
                  <c:v>14/2/1959</c:v>
                </c:pt>
                <c:pt idx="46">
                  <c:v>15/2/1959</c:v>
                </c:pt>
                <c:pt idx="47">
                  <c:v>16/2/1959</c:v>
                </c:pt>
                <c:pt idx="48">
                  <c:v>17/2/1959</c:v>
                </c:pt>
                <c:pt idx="49">
                  <c:v>18/2/1959</c:v>
                </c:pt>
                <c:pt idx="50">
                  <c:v>19/2/1959</c:v>
                </c:pt>
                <c:pt idx="51">
                  <c:v>20/2/1959</c:v>
                </c:pt>
                <c:pt idx="52">
                  <c:v>21/2/1959</c:v>
                </c:pt>
                <c:pt idx="53">
                  <c:v>22/2/1959</c:v>
                </c:pt>
                <c:pt idx="54">
                  <c:v>23/2/1959</c:v>
                </c:pt>
                <c:pt idx="55">
                  <c:v>24/2/1959</c:v>
                </c:pt>
                <c:pt idx="56">
                  <c:v>25/2/1959</c:v>
                </c:pt>
                <c:pt idx="57">
                  <c:v>26/2/1959</c:v>
                </c:pt>
                <c:pt idx="58">
                  <c:v>27/2/1959</c:v>
                </c:pt>
                <c:pt idx="59">
                  <c:v>28/2/1959</c:v>
                </c:pt>
                <c:pt idx="60">
                  <c:v>1/3/1959</c:v>
                </c:pt>
                <c:pt idx="61">
                  <c:v>2/3/1959</c:v>
                </c:pt>
                <c:pt idx="62">
                  <c:v>3/3/1959</c:v>
                </c:pt>
                <c:pt idx="63">
                  <c:v>4/3/1959</c:v>
                </c:pt>
                <c:pt idx="64">
                  <c:v>5/3/1959</c:v>
                </c:pt>
                <c:pt idx="65">
                  <c:v>6/3/1959</c:v>
                </c:pt>
                <c:pt idx="66">
                  <c:v>7/3/1959</c:v>
                </c:pt>
                <c:pt idx="67">
                  <c:v>8/3/1959</c:v>
                </c:pt>
                <c:pt idx="68">
                  <c:v>9/3/1959</c:v>
                </c:pt>
                <c:pt idx="69">
                  <c:v>10/3/1959</c:v>
                </c:pt>
                <c:pt idx="70">
                  <c:v>11/3/1959</c:v>
                </c:pt>
                <c:pt idx="71">
                  <c:v>12/3/1959</c:v>
                </c:pt>
                <c:pt idx="72">
                  <c:v>13/3/1959</c:v>
                </c:pt>
                <c:pt idx="73">
                  <c:v>14/3/1959</c:v>
                </c:pt>
                <c:pt idx="74">
                  <c:v>15/3/1959</c:v>
                </c:pt>
                <c:pt idx="75">
                  <c:v>16/3/1959</c:v>
                </c:pt>
                <c:pt idx="76">
                  <c:v>17/3/1959</c:v>
                </c:pt>
                <c:pt idx="77">
                  <c:v>18/3/1959</c:v>
                </c:pt>
                <c:pt idx="78">
                  <c:v>19/3/1959</c:v>
                </c:pt>
                <c:pt idx="79">
                  <c:v>20/3/1959</c:v>
                </c:pt>
                <c:pt idx="80">
                  <c:v>21/3/1959</c:v>
                </c:pt>
                <c:pt idx="81">
                  <c:v>22/3/1959</c:v>
                </c:pt>
                <c:pt idx="82">
                  <c:v>23/3/1959</c:v>
                </c:pt>
                <c:pt idx="83">
                  <c:v>24/3/1959</c:v>
                </c:pt>
                <c:pt idx="84">
                  <c:v>25/3/1959</c:v>
                </c:pt>
                <c:pt idx="85">
                  <c:v>26/3/1959</c:v>
                </c:pt>
                <c:pt idx="86">
                  <c:v>27/3/1959</c:v>
                </c:pt>
                <c:pt idx="87">
                  <c:v>28/3/1959</c:v>
                </c:pt>
                <c:pt idx="88">
                  <c:v>29/3/1959</c:v>
                </c:pt>
                <c:pt idx="89">
                  <c:v>30/3/1959</c:v>
                </c:pt>
                <c:pt idx="90">
                  <c:v>31/3/1959</c:v>
                </c:pt>
                <c:pt idx="91">
                  <c:v>1/4/1959</c:v>
                </c:pt>
                <c:pt idx="92">
                  <c:v>2/4/1959</c:v>
                </c:pt>
                <c:pt idx="93">
                  <c:v>3/4/1959</c:v>
                </c:pt>
                <c:pt idx="94">
                  <c:v>4/4/1959</c:v>
                </c:pt>
                <c:pt idx="95">
                  <c:v>5/4/1959</c:v>
                </c:pt>
                <c:pt idx="96">
                  <c:v>6/4/1959</c:v>
                </c:pt>
                <c:pt idx="97">
                  <c:v>7/4/1959</c:v>
                </c:pt>
                <c:pt idx="98">
                  <c:v>8/4/1959</c:v>
                </c:pt>
                <c:pt idx="99">
                  <c:v>9/4/1959</c:v>
                </c:pt>
                <c:pt idx="100">
                  <c:v>10/4/1959</c:v>
                </c:pt>
                <c:pt idx="101">
                  <c:v>11/4/1959</c:v>
                </c:pt>
                <c:pt idx="102">
                  <c:v>12/4/1959</c:v>
                </c:pt>
                <c:pt idx="103">
                  <c:v>13/4/1959</c:v>
                </c:pt>
                <c:pt idx="104">
                  <c:v>14/4/1959</c:v>
                </c:pt>
                <c:pt idx="105">
                  <c:v>15/4/1959</c:v>
                </c:pt>
                <c:pt idx="106">
                  <c:v>16/4/1959</c:v>
                </c:pt>
                <c:pt idx="107">
                  <c:v>17/4/1959</c:v>
                </c:pt>
                <c:pt idx="108">
                  <c:v>18/4/1959</c:v>
                </c:pt>
                <c:pt idx="109">
                  <c:v>19/4/1959</c:v>
                </c:pt>
                <c:pt idx="110">
                  <c:v>20/4/1959</c:v>
                </c:pt>
                <c:pt idx="111">
                  <c:v>21/4/1959</c:v>
                </c:pt>
                <c:pt idx="112">
                  <c:v>22/4/1959</c:v>
                </c:pt>
                <c:pt idx="113">
                  <c:v>23/4/1959</c:v>
                </c:pt>
                <c:pt idx="114">
                  <c:v>24/4/1959</c:v>
                </c:pt>
                <c:pt idx="115">
                  <c:v>25/4/1959</c:v>
                </c:pt>
                <c:pt idx="116">
                  <c:v>26/4/1959</c:v>
                </c:pt>
                <c:pt idx="117">
                  <c:v>27/4/1959</c:v>
                </c:pt>
                <c:pt idx="118">
                  <c:v>28/4/1959</c:v>
                </c:pt>
                <c:pt idx="119">
                  <c:v>29/4/1959</c:v>
                </c:pt>
                <c:pt idx="120">
                  <c:v>30/4/1959</c:v>
                </c:pt>
                <c:pt idx="121">
                  <c:v>1/5/1959</c:v>
                </c:pt>
                <c:pt idx="122">
                  <c:v>2/5/1959</c:v>
                </c:pt>
                <c:pt idx="123">
                  <c:v>3/5/1959</c:v>
                </c:pt>
                <c:pt idx="124">
                  <c:v>4/5/1959</c:v>
                </c:pt>
                <c:pt idx="125">
                  <c:v>5/5/1959</c:v>
                </c:pt>
                <c:pt idx="126">
                  <c:v>6/5/1959</c:v>
                </c:pt>
                <c:pt idx="127">
                  <c:v>7/5/1959</c:v>
                </c:pt>
                <c:pt idx="128">
                  <c:v>8/5/1959</c:v>
                </c:pt>
                <c:pt idx="129">
                  <c:v>9/5/1959</c:v>
                </c:pt>
                <c:pt idx="130">
                  <c:v>10/5/1959</c:v>
                </c:pt>
                <c:pt idx="131">
                  <c:v>11/5/1959</c:v>
                </c:pt>
                <c:pt idx="132">
                  <c:v>12/5/1959</c:v>
                </c:pt>
                <c:pt idx="133">
                  <c:v>13/5/1959</c:v>
                </c:pt>
                <c:pt idx="134">
                  <c:v>14/5/1959</c:v>
                </c:pt>
                <c:pt idx="135">
                  <c:v>15/5/1959</c:v>
                </c:pt>
                <c:pt idx="136">
                  <c:v>16/5/1959</c:v>
                </c:pt>
                <c:pt idx="137">
                  <c:v>17/5/1959</c:v>
                </c:pt>
                <c:pt idx="138">
                  <c:v>18/5/1959</c:v>
                </c:pt>
                <c:pt idx="139">
                  <c:v>19/5/1959</c:v>
                </c:pt>
                <c:pt idx="140">
                  <c:v>20/5/1959</c:v>
                </c:pt>
                <c:pt idx="141">
                  <c:v>21/5/1959</c:v>
                </c:pt>
                <c:pt idx="142">
                  <c:v>22/5/1959</c:v>
                </c:pt>
                <c:pt idx="143">
                  <c:v>23/5/1959</c:v>
                </c:pt>
                <c:pt idx="144">
                  <c:v>24/5/1959</c:v>
                </c:pt>
                <c:pt idx="145">
                  <c:v>25/5/1959</c:v>
                </c:pt>
                <c:pt idx="146">
                  <c:v>26/5/1959</c:v>
                </c:pt>
                <c:pt idx="147">
                  <c:v>27/5/1959</c:v>
                </c:pt>
                <c:pt idx="148">
                  <c:v>28/5/1959</c:v>
                </c:pt>
                <c:pt idx="149">
                  <c:v>29/5/1959</c:v>
                </c:pt>
                <c:pt idx="150">
                  <c:v>30/5/1959</c:v>
                </c:pt>
                <c:pt idx="151">
                  <c:v>31/5/1959</c:v>
                </c:pt>
                <c:pt idx="152">
                  <c:v>1/6/1959</c:v>
                </c:pt>
                <c:pt idx="153">
                  <c:v>2/6/1959</c:v>
                </c:pt>
                <c:pt idx="154">
                  <c:v>3/6/1959</c:v>
                </c:pt>
                <c:pt idx="155">
                  <c:v>4/6/1959</c:v>
                </c:pt>
                <c:pt idx="156">
                  <c:v>5/6/1959</c:v>
                </c:pt>
                <c:pt idx="157">
                  <c:v>6/6/1959</c:v>
                </c:pt>
                <c:pt idx="158">
                  <c:v>7/6/1959</c:v>
                </c:pt>
                <c:pt idx="159">
                  <c:v>8/6/1959</c:v>
                </c:pt>
                <c:pt idx="160">
                  <c:v>9/6/1959</c:v>
                </c:pt>
                <c:pt idx="161">
                  <c:v>10/6/1959</c:v>
                </c:pt>
                <c:pt idx="162">
                  <c:v>11/6/1959</c:v>
                </c:pt>
                <c:pt idx="163">
                  <c:v>12/6/1959</c:v>
                </c:pt>
                <c:pt idx="164">
                  <c:v>13/6/1959</c:v>
                </c:pt>
                <c:pt idx="165">
                  <c:v>14/6/1959</c:v>
                </c:pt>
                <c:pt idx="166">
                  <c:v>15/6/1959</c:v>
                </c:pt>
                <c:pt idx="167">
                  <c:v>16/6/1959</c:v>
                </c:pt>
                <c:pt idx="168">
                  <c:v>17/6/1959</c:v>
                </c:pt>
                <c:pt idx="169">
                  <c:v>18/6/1959</c:v>
                </c:pt>
                <c:pt idx="170">
                  <c:v>19/6/1959</c:v>
                </c:pt>
                <c:pt idx="171">
                  <c:v>20/6/1959</c:v>
                </c:pt>
                <c:pt idx="172">
                  <c:v>21/6/1959</c:v>
                </c:pt>
                <c:pt idx="173">
                  <c:v>22/6/1959</c:v>
                </c:pt>
                <c:pt idx="174">
                  <c:v>23/6/1959</c:v>
                </c:pt>
                <c:pt idx="175">
                  <c:v>24/6/1959</c:v>
                </c:pt>
                <c:pt idx="176">
                  <c:v>25/6/1959</c:v>
                </c:pt>
                <c:pt idx="177">
                  <c:v>26/6/1959</c:v>
                </c:pt>
                <c:pt idx="178">
                  <c:v>27/6/1959</c:v>
                </c:pt>
                <c:pt idx="179">
                  <c:v>28/6/1959</c:v>
                </c:pt>
                <c:pt idx="180">
                  <c:v>29/6/1959</c:v>
                </c:pt>
                <c:pt idx="181">
                  <c:v>30/6/1959</c:v>
                </c:pt>
                <c:pt idx="182">
                  <c:v>1/7/1959</c:v>
                </c:pt>
                <c:pt idx="183">
                  <c:v>2/7/1959</c:v>
                </c:pt>
                <c:pt idx="184">
                  <c:v>3/7/1959</c:v>
                </c:pt>
                <c:pt idx="185">
                  <c:v>4/7/1959</c:v>
                </c:pt>
                <c:pt idx="186">
                  <c:v>5/7/1959</c:v>
                </c:pt>
                <c:pt idx="187">
                  <c:v>6/7/1959</c:v>
                </c:pt>
                <c:pt idx="188">
                  <c:v>7/7/1959</c:v>
                </c:pt>
                <c:pt idx="189">
                  <c:v>8/7/1959</c:v>
                </c:pt>
                <c:pt idx="190">
                  <c:v>9/7/1959</c:v>
                </c:pt>
                <c:pt idx="191">
                  <c:v>10/7/1959</c:v>
                </c:pt>
                <c:pt idx="192">
                  <c:v>11/7/1959</c:v>
                </c:pt>
                <c:pt idx="193">
                  <c:v>12/7/1959</c:v>
                </c:pt>
                <c:pt idx="194">
                  <c:v>13/7/1959</c:v>
                </c:pt>
                <c:pt idx="195">
                  <c:v>14/7/1959</c:v>
                </c:pt>
                <c:pt idx="196">
                  <c:v>15/7/1959</c:v>
                </c:pt>
                <c:pt idx="197">
                  <c:v>16/7/1959</c:v>
                </c:pt>
                <c:pt idx="198">
                  <c:v>17/7/1959</c:v>
                </c:pt>
                <c:pt idx="199">
                  <c:v>18/7/1959</c:v>
                </c:pt>
                <c:pt idx="200">
                  <c:v>19/7/1959</c:v>
                </c:pt>
                <c:pt idx="201">
                  <c:v>20/7/1959</c:v>
                </c:pt>
                <c:pt idx="202">
                  <c:v>21/7/1959</c:v>
                </c:pt>
                <c:pt idx="203">
                  <c:v>22/7/1959</c:v>
                </c:pt>
                <c:pt idx="204">
                  <c:v>23/7/1959</c:v>
                </c:pt>
                <c:pt idx="205">
                  <c:v>24/7/1959</c:v>
                </c:pt>
                <c:pt idx="206">
                  <c:v>25/7/1959</c:v>
                </c:pt>
                <c:pt idx="207">
                  <c:v>26/7/1959</c:v>
                </c:pt>
                <c:pt idx="208">
                  <c:v>27/7/1959</c:v>
                </c:pt>
                <c:pt idx="209">
                  <c:v>28/7/1959</c:v>
                </c:pt>
                <c:pt idx="210">
                  <c:v>29/7/1959</c:v>
                </c:pt>
                <c:pt idx="211">
                  <c:v>30/7/1959</c:v>
                </c:pt>
                <c:pt idx="212">
                  <c:v>31/7/1959</c:v>
                </c:pt>
                <c:pt idx="213">
                  <c:v>1/8/1959</c:v>
                </c:pt>
                <c:pt idx="214">
                  <c:v>2/8/1959</c:v>
                </c:pt>
                <c:pt idx="215">
                  <c:v>3/8/1959</c:v>
                </c:pt>
                <c:pt idx="216">
                  <c:v>4/8/1959</c:v>
                </c:pt>
                <c:pt idx="217">
                  <c:v>5/8/1959</c:v>
                </c:pt>
                <c:pt idx="218">
                  <c:v>6/8/1959</c:v>
                </c:pt>
                <c:pt idx="219">
                  <c:v>7/8/1959</c:v>
                </c:pt>
                <c:pt idx="220">
                  <c:v>8/8/1959</c:v>
                </c:pt>
                <c:pt idx="221">
                  <c:v>9/8/1959</c:v>
                </c:pt>
                <c:pt idx="222">
                  <c:v>10/8/1959</c:v>
                </c:pt>
                <c:pt idx="223">
                  <c:v>11/8/1959</c:v>
                </c:pt>
                <c:pt idx="224">
                  <c:v>12/8/1959</c:v>
                </c:pt>
                <c:pt idx="225">
                  <c:v>13/8/1959</c:v>
                </c:pt>
                <c:pt idx="226">
                  <c:v>14/8/1959</c:v>
                </c:pt>
                <c:pt idx="227">
                  <c:v>15/8/1959</c:v>
                </c:pt>
                <c:pt idx="228">
                  <c:v>16/8/1959</c:v>
                </c:pt>
                <c:pt idx="229">
                  <c:v>17/8/1959</c:v>
                </c:pt>
                <c:pt idx="230">
                  <c:v>18/8/1959</c:v>
                </c:pt>
                <c:pt idx="231">
                  <c:v>19/8/1959</c:v>
                </c:pt>
                <c:pt idx="232">
                  <c:v>20/8/1959</c:v>
                </c:pt>
                <c:pt idx="233">
                  <c:v>21/8/1959</c:v>
                </c:pt>
                <c:pt idx="234">
                  <c:v>22/8/1959</c:v>
                </c:pt>
                <c:pt idx="235">
                  <c:v>23/8/1959</c:v>
                </c:pt>
                <c:pt idx="236">
                  <c:v>24/8/1959</c:v>
                </c:pt>
                <c:pt idx="237">
                  <c:v>25/8/1959</c:v>
                </c:pt>
                <c:pt idx="238">
                  <c:v>26/8/1959</c:v>
                </c:pt>
                <c:pt idx="239">
                  <c:v>27/8/1959</c:v>
                </c:pt>
                <c:pt idx="240">
                  <c:v>28/8/1959</c:v>
                </c:pt>
                <c:pt idx="241">
                  <c:v>29/8/1959</c:v>
                </c:pt>
                <c:pt idx="242">
                  <c:v>30/8/1959</c:v>
                </c:pt>
                <c:pt idx="243">
                  <c:v>31/8/1959</c:v>
                </c:pt>
                <c:pt idx="244">
                  <c:v>1/9/1959</c:v>
                </c:pt>
                <c:pt idx="245">
                  <c:v>2/9/1959</c:v>
                </c:pt>
                <c:pt idx="246">
                  <c:v>3/9/1959</c:v>
                </c:pt>
                <c:pt idx="247">
                  <c:v>4/9/1959</c:v>
                </c:pt>
                <c:pt idx="248">
                  <c:v>5/9/1959</c:v>
                </c:pt>
                <c:pt idx="249">
                  <c:v>6/9/1959</c:v>
                </c:pt>
                <c:pt idx="250">
                  <c:v>7/9/1959</c:v>
                </c:pt>
                <c:pt idx="251">
                  <c:v>8/9/1959</c:v>
                </c:pt>
                <c:pt idx="252">
                  <c:v>9/9/1959</c:v>
                </c:pt>
                <c:pt idx="253">
                  <c:v>10/9/1959</c:v>
                </c:pt>
                <c:pt idx="254">
                  <c:v>11/9/1959</c:v>
                </c:pt>
                <c:pt idx="255">
                  <c:v>12/9/1959</c:v>
                </c:pt>
                <c:pt idx="256">
                  <c:v>13/9/1959</c:v>
                </c:pt>
                <c:pt idx="257">
                  <c:v>14/9/1959</c:v>
                </c:pt>
                <c:pt idx="258">
                  <c:v>15/9/1959</c:v>
                </c:pt>
                <c:pt idx="259">
                  <c:v>16/9/1959</c:v>
                </c:pt>
                <c:pt idx="260">
                  <c:v>17/9/1959</c:v>
                </c:pt>
                <c:pt idx="261">
                  <c:v>18/9/1959</c:v>
                </c:pt>
                <c:pt idx="262">
                  <c:v>19/9/1959</c:v>
                </c:pt>
                <c:pt idx="263">
                  <c:v>20/9/1959</c:v>
                </c:pt>
                <c:pt idx="264">
                  <c:v>21/9/1959</c:v>
                </c:pt>
                <c:pt idx="265">
                  <c:v>22/9/1959</c:v>
                </c:pt>
                <c:pt idx="266">
                  <c:v>23/9/1959</c:v>
                </c:pt>
                <c:pt idx="267">
                  <c:v>24/9/1959</c:v>
                </c:pt>
                <c:pt idx="268">
                  <c:v>25/9/1959</c:v>
                </c:pt>
                <c:pt idx="269">
                  <c:v>26/9/1959</c:v>
                </c:pt>
                <c:pt idx="270">
                  <c:v>27/9/1959</c:v>
                </c:pt>
                <c:pt idx="271">
                  <c:v>28/9/1959</c:v>
                </c:pt>
                <c:pt idx="272">
                  <c:v>29/9/1959</c:v>
                </c:pt>
                <c:pt idx="273">
                  <c:v>30/9/1959</c:v>
                </c:pt>
                <c:pt idx="274">
                  <c:v>1/10/1959</c:v>
                </c:pt>
                <c:pt idx="275">
                  <c:v>2/10/1959</c:v>
                </c:pt>
                <c:pt idx="276">
                  <c:v>3/10/1959</c:v>
                </c:pt>
                <c:pt idx="277">
                  <c:v>4/10/1959</c:v>
                </c:pt>
                <c:pt idx="278">
                  <c:v>5/10/1959</c:v>
                </c:pt>
                <c:pt idx="279">
                  <c:v>6/10/1959</c:v>
                </c:pt>
                <c:pt idx="280">
                  <c:v>7/10/1959</c:v>
                </c:pt>
                <c:pt idx="281">
                  <c:v>8/10/1959</c:v>
                </c:pt>
                <c:pt idx="282">
                  <c:v>9/10/1959</c:v>
                </c:pt>
                <c:pt idx="283">
                  <c:v>10/10/1959</c:v>
                </c:pt>
                <c:pt idx="284">
                  <c:v>11/10/1959</c:v>
                </c:pt>
                <c:pt idx="285">
                  <c:v>12/10/1959</c:v>
                </c:pt>
                <c:pt idx="286">
                  <c:v>13/10/1959</c:v>
                </c:pt>
                <c:pt idx="287">
                  <c:v>14/10/1959</c:v>
                </c:pt>
                <c:pt idx="288">
                  <c:v>15/10/1959</c:v>
                </c:pt>
                <c:pt idx="289">
                  <c:v>16/10/1959</c:v>
                </c:pt>
                <c:pt idx="290">
                  <c:v>17/10/1959</c:v>
                </c:pt>
                <c:pt idx="291">
                  <c:v>18/10/1959</c:v>
                </c:pt>
                <c:pt idx="292">
                  <c:v>19/10/1959</c:v>
                </c:pt>
                <c:pt idx="293">
                  <c:v>20/10/1959</c:v>
                </c:pt>
                <c:pt idx="294">
                  <c:v>21/10/1959</c:v>
                </c:pt>
                <c:pt idx="295">
                  <c:v>22/10/1959</c:v>
                </c:pt>
                <c:pt idx="296">
                  <c:v>23/10/1959</c:v>
                </c:pt>
                <c:pt idx="297">
                  <c:v>24/10/1959</c:v>
                </c:pt>
                <c:pt idx="298">
                  <c:v>25/10/1959</c:v>
                </c:pt>
                <c:pt idx="299">
                  <c:v>26/10/1959</c:v>
                </c:pt>
                <c:pt idx="300">
                  <c:v>27/10/1959</c:v>
                </c:pt>
                <c:pt idx="301">
                  <c:v>28/10/1959</c:v>
                </c:pt>
                <c:pt idx="302">
                  <c:v>29/10/1959</c:v>
                </c:pt>
                <c:pt idx="303">
                  <c:v>30/10/1959</c:v>
                </c:pt>
                <c:pt idx="304">
                  <c:v>31/10/1959</c:v>
                </c:pt>
                <c:pt idx="305">
                  <c:v>1/11/1959</c:v>
                </c:pt>
                <c:pt idx="306">
                  <c:v>2/11/1959</c:v>
                </c:pt>
                <c:pt idx="307">
                  <c:v>3/11/1959</c:v>
                </c:pt>
                <c:pt idx="308">
                  <c:v>4/11/1959</c:v>
                </c:pt>
                <c:pt idx="309">
                  <c:v>5/11/1959</c:v>
                </c:pt>
                <c:pt idx="310">
                  <c:v>6/11/1959</c:v>
                </c:pt>
                <c:pt idx="311">
                  <c:v>7/11/1959</c:v>
                </c:pt>
                <c:pt idx="312">
                  <c:v>8/11/1959</c:v>
                </c:pt>
                <c:pt idx="313">
                  <c:v>9/11/1959</c:v>
                </c:pt>
                <c:pt idx="314">
                  <c:v>10/11/1959</c:v>
                </c:pt>
                <c:pt idx="315">
                  <c:v>11/11/1959</c:v>
                </c:pt>
                <c:pt idx="316">
                  <c:v>12/11/1959</c:v>
                </c:pt>
                <c:pt idx="317">
                  <c:v>13/11/1959</c:v>
                </c:pt>
                <c:pt idx="318">
                  <c:v>14/11/1959</c:v>
                </c:pt>
                <c:pt idx="319">
                  <c:v>15/11/1959</c:v>
                </c:pt>
                <c:pt idx="320">
                  <c:v>16/11/1959</c:v>
                </c:pt>
                <c:pt idx="321">
                  <c:v>17/11/1959</c:v>
                </c:pt>
                <c:pt idx="322">
                  <c:v>18/11/1959</c:v>
                </c:pt>
                <c:pt idx="323">
                  <c:v>19/11/1959</c:v>
                </c:pt>
                <c:pt idx="324">
                  <c:v>20/11/1959</c:v>
                </c:pt>
                <c:pt idx="325">
                  <c:v>21/11/1959</c:v>
                </c:pt>
                <c:pt idx="326">
                  <c:v>22/11/1959</c:v>
                </c:pt>
                <c:pt idx="327">
                  <c:v>23/11/1959</c:v>
                </c:pt>
                <c:pt idx="328">
                  <c:v>24/11/1959</c:v>
                </c:pt>
                <c:pt idx="329">
                  <c:v>25/11/1959</c:v>
                </c:pt>
                <c:pt idx="330">
                  <c:v>26/11/1959</c:v>
                </c:pt>
                <c:pt idx="331">
                  <c:v>27/11/1959</c:v>
                </c:pt>
                <c:pt idx="332">
                  <c:v>28/11/1959</c:v>
                </c:pt>
                <c:pt idx="333">
                  <c:v>29/11/1959</c:v>
                </c:pt>
                <c:pt idx="334">
                  <c:v>30/11/1959</c:v>
                </c:pt>
                <c:pt idx="335">
                  <c:v>1/12/1959</c:v>
                </c:pt>
                <c:pt idx="336">
                  <c:v>2/12/1959</c:v>
                </c:pt>
                <c:pt idx="337">
                  <c:v>3/12/1959</c:v>
                </c:pt>
                <c:pt idx="338">
                  <c:v>4/12/1959</c:v>
                </c:pt>
                <c:pt idx="339">
                  <c:v>5/12/1959</c:v>
                </c:pt>
                <c:pt idx="340">
                  <c:v>6/12/1959</c:v>
                </c:pt>
                <c:pt idx="341">
                  <c:v>7/12/1959</c:v>
                </c:pt>
                <c:pt idx="342">
                  <c:v>8/12/1959</c:v>
                </c:pt>
                <c:pt idx="343">
                  <c:v>9/12/1959</c:v>
                </c:pt>
                <c:pt idx="344">
                  <c:v>10/12/1959</c:v>
                </c:pt>
                <c:pt idx="345">
                  <c:v>11/12/1959</c:v>
                </c:pt>
                <c:pt idx="346">
                  <c:v>12/12/1959</c:v>
                </c:pt>
                <c:pt idx="347">
                  <c:v>13/12/1959</c:v>
                </c:pt>
                <c:pt idx="348">
                  <c:v>14/12/1959</c:v>
                </c:pt>
                <c:pt idx="349">
                  <c:v>15/12/1959</c:v>
                </c:pt>
                <c:pt idx="350">
                  <c:v>16/12/1959</c:v>
                </c:pt>
                <c:pt idx="351">
                  <c:v>17/12/1959</c:v>
                </c:pt>
                <c:pt idx="352">
                  <c:v>18/12/1959</c:v>
                </c:pt>
                <c:pt idx="353">
                  <c:v>19/12/1959</c:v>
                </c:pt>
                <c:pt idx="354">
                  <c:v>20/12/1959</c:v>
                </c:pt>
                <c:pt idx="355">
                  <c:v>21/12/1959</c:v>
                </c:pt>
                <c:pt idx="356">
                  <c:v>22/12/1959</c:v>
                </c:pt>
                <c:pt idx="357">
                  <c:v>23/12/1959</c:v>
                </c:pt>
                <c:pt idx="358">
                  <c:v>24/12/1959</c:v>
                </c:pt>
                <c:pt idx="359">
                  <c:v>25/12/1959</c:v>
                </c:pt>
                <c:pt idx="360">
                  <c:v>26/12/1959</c:v>
                </c:pt>
                <c:pt idx="361">
                  <c:v>27/12/1959</c:v>
                </c:pt>
                <c:pt idx="362">
                  <c:v>28/12/1959</c:v>
                </c:pt>
                <c:pt idx="363">
                  <c:v>29/12/1959</c:v>
                </c:pt>
                <c:pt idx="364">
                  <c:v>30/12/1959</c:v>
                </c:pt>
                <c:pt idx="365">
                  <c:v>31/12/1959</c:v>
                </c:pt>
              </c:strCache>
            </c:strRef>
          </c:cat>
          <c:val>
            <c:numRef>
              <c:f>'Moving Average'!$K$1:$K$366</c:f>
              <c:numCache>
                <c:formatCode>General</c:formatCode>
                <c:ptCount val="366"/>
                <c:pt idx="7" formatCode="0.00">
                  <c:v>6.2826887661141759</c:v>
                </c:pt>
                <c:pt idx="8" formatCode="0.00">
                  <c:v>61.379066912216082</c:v>
                </c:pt>
                <c:pt idx="9" formatCode="0%">
                  <c:v>0.15319908473816002</c:v>
                </c:pt>
                <c:pt idx="10" formatCode="0.00%">
                  <c:v>0.84680091526183998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291-4F64-B0C7-7D118A7B5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742416"/>
        <c:axId val="992743136"/>
      </c:lineChart>
      <c:catAx>
        <c:axId val="9927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743136"/>
        <c:crosses val="autoZero"/>
        <c:auto val="1"/>
        <c:lblAlgn val="ctr"/>
        <c:lblOffset val="100"/>
        <c:noMultiLvlLbl val="0"/>
      </c:catAx>
      <c:valAx>
        <c:axId val="99274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74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37896349912782E-2"/>
          <c:y val="3.4632034632034632E-2"/>
          <c:w val="0.89913206501361242"/>
          <c:h val="0.6124743497971844"/>
        </c:manualLayout>
      </c:layout>
      <c:lineChart>
        <c:grouping val="standard"/>
        <c:varyColors val="0"/>
        <c:ser>
          <c:idx val="0"/>
          <c:order val="0"/>
          <c:tx>
            <c:strRef>
              <c:f>'MV Forcast'!$B$1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'MV Forcast'!$B$2:$B$454</c:f>
              <c:numCache>
                <c:formatCode>0%</c:formatCode>
                <c:ptCount val="453"/>
                <c:pt idx="0">
                  <c:v>4.3010752688172123E-2</c:v>
                </c:pt>
                <c:pt idx="1">
                  <c:v>0.29545454545454547</c:v>
                </c:pt>
                <c:pt idx="2">
                  <c:v>0.20689655172413793</c:v>
                </c:pt>
                <c:pt idx="3">
                  <c:v>0.22962962962962968</c:v>
                </c:pt>
                <c:pt idx="4">
                  <c:v>8.5271317829457308E-2</c:v>
                </c:pt>
                <c:pt idx="5">
                  <c:v>2.6315789473684209E-2</c:v>
                </c:pt>
                <c:pt idx="6">
                  <c:v>0.55555555555555558</c:v>
                </c:pt>
                <c:pt idx="7">
                  <c:v>5.2631578947368418E-2</c:v>
                </c:pt>
                <c:pt idx="8">
                  <c:v>4.0404040404040477E-2</c:v>
                </c:pt>
                <c:pt idx="9">
                  <c:v>0.40606060606060612</c:v>
                </c:pt>
                <c:pt idx="10">
                  <c:v>0.10638297872340426</c:v>
                </c:pt>
                <c:pt idx="11">
                  <c:v>0</c:v>
                </c:pt>
                <c:pt idx="12">
                  <c:v>0.32432432432432434</c:v>
                </c:pt>
                <c:pt idx="13">
                  <c:v>0.14000000000000001</c:v>
                </c:pt>
                <c:pt idx="14">
                  <c:v>2.3255813953488372E-2</c:v>
                </c:pt>
                <c:pt idx="15">
                  <c:v>5.6910569105691117E-2</c:v>
                </c:pt>
                <c:pt idx="16">
                  <c:v>0.14102564102564108</c:v>
                </c:pt>
                <c:pt idx="17">
                  <c:v>0.33333333333333343</c:v>
                </c:pt>
                <c:pt idx="18">
                  <c:v>0.20125786163522008</c:v>
                </c:pt>
                <c:pt idx="19">
                  <c:v>0.18803418803418809</c:v>
                </c:pt>
                <c:pt idx="20">
                  <c:v>0.3125</c:v>
                </c:pt>
                <c:pt idx="21">
                  <c:v>0.11711711711711718</c:v>
                </c:pt>
                <c:pt idx="22">
                  <c:v>0.16279069767441862</c:v>
                </c:pt>
                <c:pt idx="23">
                  <c:v>4.2735042735042673E-2</c:v>
                </c:pt>
                <c:pt idx="24">
                  <c:v>0.13333333333333328</c:v>
                </c:pt>
                <c:pt idx="25">
                  <c:v>0.11363636363636363</c:v>
                </c:pt>
                <c:pt idx="26">
                  <c:v>3.5087719298245675E-2</c:v>
                </c:pt>
                <c:pt idx="27">
                  <c:v>0.625</c:v>
                </c:pt>
                <c:pt idx="28">
                  <c:v>0.53623188405797106</c:v>
                </c:pt>
                <c:pt idx="29">
                  <c:v>8.6021505376344121E-2</c:v>
                </c:pt>
                <c:pt idx="30">
                  <c:v>0.40909090909090912</c:v>
                </c:pt>
                <c:pt idx="31">
                  <c:v>0.14035087719298253</c:v>
                </c:pt>
                <c:pt idx="32">
                  <c:v>0.2466666666666667</c:v>
                </c:pt>
                <c:pt idx="33">
                  <c:v>0.15789473684210525</c:v>
                </c:pt>
                <c:pt idx="34">
                  <c:v>0.17647058823529413</c:v>
                </c:pt>
                <c:pt idx="35">
                  <c:v>0.49462365591397855</c:v>
                </c:pt>
                <c:pt idx="36">
                  <c:v>0.29032258064516131</c:v>
                </c:pt>
                <c:pt idx="37">
                  <c:v>0.2614379084967321</c:v>
                </c:pt>
                <c:pt idx="38">
                  <c:v>4.6296296296296231E-2</c:v>
                </c:pt>
                <c:pt idx="39">
                  <c:v>0.12592592592592589</c:v>
                </c:pt>
                <c:pt idx="40">
                  <c:v>0.13725490196078433</c:v>
                </c:pt>
                <c:pt idx="41">
                  <c:v>0.29411764705882354</c:v>
                </c:pt>
                <c:pt idx="42">
                  <c:v>0.16666666666666663</c:v>
                </c:pt>
                <c:pt idx="43">
                  <c:v>2.8368794326241186E-2</c:v>
                </c:pt>
                <c:pt idx="44">
                  <c:v>1.4814814814814762E-2</c:v>
                </c:pt>
                <c:pt idx="45">
                  <c:v>4.3478260869565216E-2</c:v>
                </c:pt>
                <c:pt idx="46">
                  <c:v>0.17948717948717949</c:v>
                </c:pt>
                <c:pt idx="47">
                  <c:v>9.7222222222222168E-2</c:v>
                </c:pt>
                <c:pt idx="48">
                  <c:v>0.19819819819819826</c:v>
                </c:pt>
                <c:pt idx="49">
                  <c:v>0.18095238095238103</c:v>
                </c:pt>
                <c:pt idx="50">
                  <c:v>0.23076923076923078</c:v>
                </c:pt>
                <c:pt idx="51">
                  <c:v>1.5873015873015817E-2</c:v>
                </c:pt>
                <c:pt idx="52">
                  <c:v>4.4444444444444446E-2</c:v>
                </c:pt>
                <c:pt idx="53">
                  <c:v>0.18803418803418809</c:v>
                </c:pt>
                <c:pt idx="54">
                  <c:v>0.13513513513513514</c:v>
                </c:pt>
                <c:pt idx="55">
                  <c:v>0.3444444444444445</c:v>
                </c:pt>
                <c:pt idx="56">
                  <c:v>9.5238095238095923E-3</c:v>
                </c:pt>
                <c:pt idx="57">
                  <c:v>0.21428571428571427</c:v>
                </c:pt>
                <c:pt idx="58">
                  <c:v>0.31111111111111112</c:v>
                </c:pt>
                <c:pt idx="59">
                  <c:v>5.8823529411764705E-2</c:v>
                </c:pt>
                <c:pt idx="60">
                  <c:v>9.2592592592593247E-3</c:v>
                </c:pt>
                <c:pt idx="61">
                  <c:v>0.23333333333333328</c:v>
                </c:pt>
                <c:pt idx="62">
                  <c:v>9.0909090909090912E-2</c:v>
                </c:pt>
                <c:pt idx="63">
                  <c:v>0.11111111111111117</c:v>
                </c:pt>
                <c:pt idx="64">
                  <c:v>0.38541666666666674</c:v>
                </c:pt>
                <c:pt idx="65">
                  <c:v>1.7094017094017033E-2</c:v>
                </c:pt>
                <c:pt idx="66">
                  <c:v>0.18518518518518523</c:v>
                </c:pt>
                <c:pt idx="67">
                  <c:v>0.10077519379844967</c:v>
                </c:pt>
                <c:pt idx="68">
                  <c:v>8.5470085470085527E-2</c:v>
                </c:pt>
                <c:pt idx="69">
                  <c:v>0.36559139784946243</c:v>
                </c:pt>
                <c:pt idx="70">
                  <c:v>0.39506172839506165</c:v>
                </c:pt>
                <c:pt idx="71">
                  <c:v>7.7777777777777862E-2</c:v>
                </c:pt>
                <c:pt idx="72">
                  <c:v>0.30158730158730163</c:v>
                </c:pt>
                <c:pt idx="73">
                  <c:v>0.28260869565217389</c:v>
                </c:pt>
                <c:pt idx="74">
                  <c:v>4.0650406504064984E-2</c:v>
                </c:pt>
                <c:pt idx="75">
                  <c:v>0.19444444444444445</c:v>
                </c:pt>
                <c:pt idx="76">
                  <c:v>8.8888888888888892E-2</c:v>
                </c:pt>
                <c:pt idx="77">
                  <c:v>0.1159420289855073</c:v>
                </c:pt>
                <c:pt idx="78">
                  <c:v>1.5503875968992192E-2</c:v>
                </c:pt>
                <c:pt idx="79">
                  <c:v>0.175438596491228</c:v>
                </c:pt>
                <c:pt idx="80">
                  <c:v>0.24509803921568635</c:v>
                </c:pt>
                <c:pt idx="81">
                  <c:v>9.5238095238095302E-2</c:v>
                </c:pt>
                <c:pt idx="82">
                  <c:v>0.36309523809523814</c:v>
                </c:pt>
                <c:pt idx="83">
                  <c:v>0.15740740740740733</c:v>
                </c:pt>
                <c:pt idx="84">
                  <c:v>0.32291666666666674</c:v>
                </c:pt>
                <c:pt idx="85">
                  <c:v>0.17333333333333328</c:v>
                </c:pt>
                <c:pt idx="86">
                  <c:v>4.0650406504064984E-2</c:v>
                </c:pt>
                <c:pt idx="87">
                  <c:v>5.128205128205128E-2</c:v>
                </c:pt>
                <c:pt idx="88">
                  <c:v>5.6910569105691117E-2</c:v>
                </c:pt>
                <c:pt idx="89">
                  <c:v>0.14184397163120563</c:v>
                </c:pt>
                <c:pt idx="90">
                  <c:v>0.24509803921568635</c:v>
                </c:pt>
                <c:pt idx="91">
                  <c:v>0.12962962962962957</c:v>
                </c:pt>
                <c:pt idx="92">
                  <c:v>0.18181818181818182</c:v>
                </c:pt>
                <c:pt idx="93">
                  <c:v>1.904761904761898E-2</c:v>
                </c:pt>
                <c:pt idx="94">
                  <c:v>8.77192982456141E-2</c:v>
                </c:pt>
                <c:pt idx="95">
                  <c:v>7.0175438596491169E-2</c:v>
                </c:pt>
                <c:pt idx="96">
                  <c:v>8.8235294117647065E-2</c:v>
                </c:pt>
                <c:pt idx="97">
                  <c:v>0.30817610062893086</c:v>
                </c:pt>
                <c:pt idx="98">
                  <c:v>0.22549019607843129</c:v>
                </c:pt>
                <c:pt idx="99">
                  <c:v>0.18627450980392163</c:v>
                </c:pt>
                <c:pt idx="100">
                  <c:v>6.1403508771929884E-2</c:v>
                </c:pt>
                <c:pt idx="101">
                  <c:v>9.5238095238095923E-3</c:v>
                </c:pt>
                <c:pt idx="102">
                  <c:v>0.11458333333333326</c:v>
                </c:pt>
                <c:pt idx="103">
                  <c:v>0.16666666666666666</c:v>
                </c:pt>
                <c:pt idx="104">
                  <c:v>6.8627450980392232E-2</c:v>
                </c:pt>
                <c:pt idx="105">
                  <c:v>0.21739130434782608</c:v>
                </c:pt>
                <c:pt idx="106">
                  <c:v>0.35555555555555546</c:v>
                </c:pt>
                <c:pt idx="107">
                  <c:v>0.20289855072463772</c:v>
                </c:pt>
                <c:pt idx="108">
                  <c:v>9.6296296296296352E-2</c:v>
                </c:pt>
                <c:pt idx="109">
                  <c:v>0.25308641975308638</c:v>
                </c:pt>
                <c:pt idx="110">
                  <c:v>0.42156862745098045</c:v>
                </c:pt>
                <c:pt idx="111">
                  <c:v>0.19819819819819826</c:v>
                </c:pt>
                <c:pt idx="112">
                  <c:v>0.19047619047619041</c:v>
                </c:pt>
                <c:pt idx="113">
                  <c:v>0.11666666666666661</c:v>
                </c:pt>
                <c:pt idx="114">
                  <c:v>0.11111111111111105</c:v>
                </c:pt>
                <c:pt idx="115">
                  <c:v>0.32758620689655171</c:v>
                </c:pt>
                <c:pt idx="116">
                  <c:v>8.4967320261437954E-2</c:v>
                </c:pt>
                <c:pt idx="117">
                  <c:v>0.57291666666666674</c:v>
                </c:pt>
                <c:pt idx="118">
                  <c:v>0.34285714285714286</c:v>
                </c:pt>
                <c:pt idx="119">
                  <c:v>3.5087719298245675E-2</c:v>
                </c:pt>
                <c:pt idx="120">
                  <c:v>6.0606060606060608E-2</c:v>
                </c:pt>
                <c:pt idx="121">
                  <c:v>9.4017094017093961E-2</c:v>
                </c:pt>
                <c:pt idx="122">
                  <c:v>0.21985815602836883</c:v>
                </c:pt>
                <c:pt idx="123">
                  <c:v>4.3859649122806953E-2</c:v>
                </c:pt>
                <c:pt idx="124">
                  <c:v>0.20512820512820509</c:v>
                </c:pt>
                <c:pt idx="125">
                  <c:v>0.52222222222222214</c:v>
                </c:pt>
                <c:pt idx="126">
                  <c:v>0.17647058823529413</c:v>
                </c:pt>
                <c:pt idx="127">
                  <c:v>3.3333333333333395E-2</c:v>
                </c:pt>
                <c:pt idx="128">
                  <c:v>9.5238095238095923E-3</c:v>
                </c:pt>
                <c:pt idx="129">
                  <c:v>0.13492063492063486</c:v>
                </c:pt>
                <c:pt idx="130">
                  <c:v>4.878048780487805E-2</c:v>
                </c:pt>
                <c:pt idx="131">
                  <c:v>6.3492063492063433E-2</c:v>
                </c:pt>
                <c:pt idx="132">
                  <c:v>9.6491228070175378E-2</c:v>
                </c:pt>
                <c:pt idx="133">
                  <c:v>0.68055555555555569</c:v>
                </c:pt>
                <c:pt idx="134">
                  <c:v>1.9607843137254832E-2</c:v>
                </c:pt>
                <c:pt idx="135">
                  <c:v>0.2558139534883721</c:v>
                </c:pt>
                <c:pt idx="136">
                  <c:v>6.4814814814814881E-2</c:v>
                </c:pt>
                <c:pt idx="137">
                  <c:v>0.31515151515151518</c:v>
                </c:pt>
                <c:pt idx="138">
                  <c:v>8.9430894308943035E-2</c:v>
                </c:pt>
                <c:pt idx="139">
                  <c:v>2.2222222222222223E-2</c:v>
                </c:pt>
                <c:pt idx="140">
                  <c:v>0.14634146341463414</c:v>
                </c:pt>
                <c:pt idx="141">
                  <c:v>0.1441441441441442</c:v>
                </c:pt>
                <c:pt idx="142">
                  <c:v>4.6511627906976744E-2</c:v>
                </c:pt>
                <c:pt idx="143">
                  <c:v>3.4188034188034247E-2</c:v>
                </c:pt>
                <c:pt idx="144">
                  <c:v>0.20202020202020196</c:v>
                </c:pt>
                <c:pt idx="145">
                  <c:v>0.10852713178294568</c:v>
                </c:pt>
                <c:pt idx="146">
                  <c:v>4.1666666666666609E-2</c:v>
                </c:pt>
                <c:pt idx="147">
                  <c:v>1.7543859649122744E-2</c:v>
                </c:pt>
                <c:pt idx="148">
                  <c:v>0.10370370370370365</c:v>
                </c:pt>
                <c:pt idx="149">
                  <c:v>0.10869565217391304</c:v>
                </c:pt>
                <c:pt idx="150">
                  <c:v>0.26470588235294118</c:v>
                </c:pt>
                <c:pt idx="151">
                  <c:v>0.19047619047619041</c:v>
                </c:pt>
                <c:pt idx="152">
                  <c:v>0.20138888888888884</c:v>
                </c:pt>
                <c:pt idx="153">
                  <c:v>0.23529411764705882</c:v>
                </c:pt>
                <c:pt idx="154">
                  <c:v>0.24074074074074067</c:v>
                </c:pt>
                <c:pt idx="155">
                  <c:v>0.36363636363636365</c:v>
                </c:pt>
                <c:pt idx="156">
                  <c:v>0.13043478260869565</c:v>
                </c:pt>
                <c:pt idx="157">
                  <c:v>8.7301587301587241E-2</c:v>
                </c:pt>
                <c:pt idx="158">
                  <c:v>0.15972222222222218</c:v>
                </c:pt>
                <c:pt idx="159">
                  <c:v>0.33333333333333343</c:v>
                </c:pt>
                <c:pt idx="160">
                  <c:v>8.1300813008130662E-3</c:v>
                </c:pt>
                <c:pt idx="161">
                  <c:v>0.17142857142857143</c:v>
                </c:pt>
                <c:pt idx="162">
                  <c:v>8.3333333333333398E-2</c:v>
                </c:pt>
                <c:pt idx="163">
                  <c:v>0.13725490196078424</c:v>
                </c:pt>
                <c:pt idx="164">
                  <c:v>0.21111111111111119</c:v>
                </c:pt>
                <c:pt idx="165">
                  <c:v>3.7037037037037104E-2</c:v>
                </c:pt>
                <c:pt idx="166">
                  <c:v>0.1666666666666666</c:v>
                </c:pt>
                <c:pt idx="167">
                  <c:v>9.4017094017093961E-2</c:v>
                </c:pt>
                <c:pt idx="168">
                  <c:v>0.14814814814814808</c:v>
                </c:pt>
                <c:pt idx="169">
                  <c:v>8.77192982456141E-2</c:v>
                </c:pt>
                <c:pt idx="170">
                  <c:v>0.13475177304964545</c:v>
                </c:pt>
                <c:pt idx="171">
                  <c:v>0.3131313131313132</c:v>
                </c:pt>
                <c:pt idx="172">
                  <c:v>0.31111111111111117</c:v>
                </c:pt>
                <c:pt idx="173">
                  <c:v>0.12698412698412703</c:v>
                </c:pt>
                <c:pt idx="174">
                  <c:v>0.18604651162790697</c:v>
                </c:pt>
                <c:pt idx="175">
                  <c:v>6.5040650406504003E-2</c:v>
                </c:pt>
                <c:pt idx="176">
                  <c:v>2.4390243902439025E-2</c:v>
                </c:pt>
                <c:pt idx="177">
                  <c:v>0.29378531073446329</c:v>
                </c:pt>
                <c:pt idx="178">
                  <c:v>9.3023255813953487E-2</c:v>
                </c:pt>
                <c:pt idx="179">
                  <c:v>5.9259259259259206E-2</c:v>
                </c:pt>
                <c:pt idx="180">
                  <c:v>0.28947368421052633</c:v>
                </c:pt>
                <c:pt idx="181">
                  <c:v>0.13513513513513514</c:v>
                </c:pt>
                <c:pt idx="182">
                  <c:v>0.1111111111111111</c:v>
                </c:pt>
                <c:pt idx="183">
                  <c:v>4.7619047619047616E-2</c:v>
                </c:pt>
                <c:pt idx="184">
                  <c:v>0.27485380116959063</c:v>
                </c:pt>
                <c:pt idx="185">
                  <c:v>4.3478260869565216E-2</c:v>
                </c:pt>
                <c:pt idx="186">
                  <c:v>5.2287581699346358E-2</c:v>
                </c:pt>
                <c:pt idx="187">
                  <c:v>0.25203252032520329</c:v>
                </c:pt>
                <c:pt idx="188">
                  <c:v>2.1276595744680851E-2</c:v>
                </c:pt>
                <c:pt idx="189">
                  <c:v>0.78205128205128216</c:v>
                </c:pt>
                <c:pt idx="190">
                  <c:v>8.5714285714285715E-2</c:v>
                </c:pt>
                <c:pt idx="191">
                  <c:v>0.18181818181818182</c:v>
                </c:pt>
                <c:pt idx="192">
                  <c:v>0.14634146341463414</c:v>
                </c:pt>
                <c:pt idx="193">
                  <c:v>4.7619047619047616E-2</c:v>
                </c:pt>
                <c:pt idx="194">
                  <c:v>0.17592592592592599</c:v>
                </c:pt>
                <c:pt idx="195">
                  <c:v>0.11851851851851856</c:v>
                </c:pt>
                <c:pt idx="196">
                  <c:v>8.8888888888888892E-2</c:v>
                </c:pt>
                <c:pt idx="197">
                  <c:v>6.6666666666666666E-2</c:v>
                </c:pt>
                <c:pt idx="198">
                  <c:v>4.2553191489361701E-2</c:v>
                </c:pt>
                <c:pt idx="199">
                  <c:v>0.20175438596491221</c:v>
                </c:pt>
                <c:pt idx="200">
                  <c:v>3.17460317460318E-2</c:v>
                </c:pt>
                <c:pt idx="201">
                  <c:v>0.20952380952380958</c:v>
                </c:pt>
                <c:pt idx="202">
                  <c:v>6.4814814814814881E-2</c:v>
                </c:pt>
                <c:pt idx="203">
                  <c:v>3.4188034188034247E-2</c:v>
                </c:pt>
                <c:pt idx="204">
                  <c:v>0.18518518518518523</c:v>
                </c:pt>
                <c:pt idx="205">
                  <c:v>6.9767441860465115E-2</c:v>
                </c:pt>
                <c:pt idx="206">
                  <c:v>9.9290780141843921E-2</c:v>
                </c:pt>
                <c:pt idx="207">
                  <c:v>0.25</c:v>
                </c:pt>
                <c:pt idx="208">
                  <c:v>2.4390243902439025E-2</c:v>
                </c:pt>
                <c:pt idx="209">
                  <c:v>0.17333333333333328</c:v>
                </c:pt>
                <c:pt idx="210">
                  <c:v>8.5470085470085527E-2</c:v>
                </c:pt>
                <c:pt idx="211">
                  <c:v>5.6910569105691117E-2</c:v>
                </c:pt>
                <c:pt idx="212">
                  <c:v>5.7971014492753568E-2</c:v>
                </c:pt>
                <c:pt idx="213">
                  <c:v>0.34375</c:v>
                </c:pt>
                <c:pt idx="214">
                  <c:v>0.11851851851851856</c:v>
                </c:pt>
                <c:pt idx="215">
                  <c:v>0.51960784313725483</c:v>
                </c:pt>
                <c:pt idx="216">
                  <c:v>0.25438596491228066</c:v>
                </c:pt>
                <c:pt idx="217">
                  <c:v>0.11363636363636363</c:v>
                </c:pt>
                <c:pt idx="218">
                  <c:v>0.1944444444444445</c:v>
                </c:pt>
                <c:pt idx="219">
                  <c:v>5.7971014492753568E-2</c:v>
                </c:pt>
                <c:pt idx="220">
                  <c:v>4.5454545454545456E-2</c:v>
                </c:pt>
                <c:pt idx="221">
                  <c:v>0.24324324324324326</c:v>
                </c:pt>
                <c:pt idx="222">
                  <c:v>8.5470085470085527E-2</c:v>
                </c:pt>
                <c:pt idx="223">
                  <c:v>9.0909090909090912E-2</c:v>
                </c:pt>
                <c:pt idx="224">
                  <c:v>0.1111111111111111</c:v>
                </c:pt>
                <c:pt idx="225">
                  <c:v>0.29292929292929287</c:v>
                </c:pt>
                <c:pt idx="226">
                  <c:v>7.5757575757575815E-2</c:v>
                </c:pt>
                <c:pt idx="227">
                  <c:v>7.0175438596491169E-2</c:v>
                </c:pt>
                <c:pt idx="228">
                  <c:v>0.1666666666666666</c:v>
                </c:pt>
                <c:pt idx="229">
                  <c:v>7.2463768115942087E-2</c:v>
                </c:pt>
                <c:pt idx="230">
                  <c:v>8.3333333333333398E-2</c:v>
                </c:pt>
                <c:pt idx="231">
                  <c:v>0.12820512820512819</c:v>
                </c:pt>
                <c:pt idx="232">
                  <c:v>5.3030303030303087E-2</c:v>
                </c:pt>
                <c:pt idx="233">
                  <c:v>0.14583333333333334</c:v>
                </c:pt>
                <c:pt idx="234">
                  <c:v>0.12666666666666671</c:v>
                </c:pt>
                <c:pt idx="235">
                  <c:v>0.15447154471544722</c:v>
                </c:pt>
                <c:pt idx="236">
                  <c:v>0.10317460317460322</c:v>
                </c:pt>
                <c:pt idx="237">
                  <c:v>0.13071895424836596</c:v>
                </c:pt>
                <c:pt idx="238">
                  <c:v>8.9430894308943035E-2</c:v>
                </c:pt>
                <c:pt idx="239">
                  <c:v>1.5151515151515098E-2</c:v>
                </c:pt>
                <c:pt idx="240">
                  <c:v>0.19298245614035095</c:v>
                </c:pt>
                <c:pt idx="241">
                  <c:v>0.39705882352941174</c:v>
                </c:pt>
                <c:pt idx="242">
                  <c:v>0.25</c:v>
                </c:pt>
                <c:pt idx="243">
                  <c:v>0.15873015873015867</c:v>
                </c:pt>
                <c:pt idx="244">
                  <c:v>1.9607843137254902E-2</c:v>
                </c:pt>
                <c:pt idx="245">
                  <c:v>7.5757575757576297E-3</c:v>
                </c:pt>
                <c:pt idx="246">
                  <c:v>1.4814814814814762E-2</c:v>
                </c:pt>
                <c:pt idx="247">
                  <c:v>0.29629629629629622</c:v>
                </c:pt>
                <c:pt idx="248">
                  <c:v>0.26900584795321641</c:v>
                </c:pt>
                <c:pt idx="249">
                  <c:v>4.5454545454545456E-2</c:v>
                </c:pt>
                <c:pt idx="250">
                  <c:v>8.7301587301587241E-2</c:v>
                </c:pt>
                <c:pt idx="251">
                  <c:v>0.10062893081761011</c:v>
                </c:pt>
                <c:pt idx="252">
                  <c:v>0.10317460317460322</c:v>
                </c:pt>
                <c:pt idx="253">
                  <c:v>0.34313725490196073</c:v>
                </c:pt>
                <c:pt idx="254">
                  <c:v>7.4999999999999997E-2</c:v>
                </c:pt>
                <c:pt idx="255">
                  <c:v>0.30952380952380959</c:v>
                </c:pt>
                <c:pt idx="256">
                  <c:v>1.5151515151515098E-2</c:v>
                </c:pt>
                <c:pt idx="257">
                  <c:v>0.11949685534591199</c:v>
                </c:pt>
                <c:pt idx="258">
                  <c:v>7.2727272727272724E-2</c:v>
                </c:pt>
                <c:pt idx="259">
                  <c:v>0.29914529914529908</c:v>
                </c:pt>
                <c:pt idx="260">
                  <c:v>0.16949152542372881</c:v>
                </c:pt>
                <c:pt idx="261">
                  <c:v>7.2727272727272724E-2</c:v>
                </c:pt>
                <c:pt idx="262">
                  <c:v>0.30136986301369861</c:v>
                </c:pt>
                <c:pt idx="263">
                  <c:v>0.13333333333333339</c:v>
                </c:pt>
                <c:pt idx="264">
                  <c:v>0.38636363636363635</c:v>
                </c:pt>
                <c:pt idx="265">
                  <c:v>0.33333333333333337</c:v>
                </c:pt>
                <c:pt idx="266">
                  <c:v>0.1833333333333334</c:v>
                </c:pt>
                <c:pt idx="267">
                  <c:v>9.9290780141843921E-2</c:v>
                </c:pt>
                <c:pt idx="268">
                  <c:v>0.15032679738562088</c:v>
                </c:pt>
                <c:pt idx="269">
                  <c:v>0.17857142857142858</c:v>
                </c:pt>
                <c:pt idx="270">
                  <c:v>4.7619047619047665E-2</c:v>
                </c:pt>
                <c:pt idx="271">
                  <c:v>3.7037037037037035E-2</c:v>
                </c:pt>
                <c:pt idx="272">
                  <c:v>5.3571428571428568E-2</c:v>
                </c:pt>
                <c:pt idx="273">
                  <c:v>0.1276595744680851</c:v>
                </c:pt>
                <c:pt idx="274">
                  <c:v>0.18939393939393945</c:v>
                </c:pt>
                <c:pt idx="275">
                  <c:v>0.13953488372093023</c:v>
                </c:pt>
                <c:pt idx="276">
                  <c:v>6.3492063492063433E-2</c:v>
                </c:pt>
                <c:pt idx="277">
                  <c:v>4.4444444444444446E-2</c:v>
                </c:pt>
                <c:pt idx="278">
                  <c:v>0.13333333333333328</c:v>
                </c:pt>
                <c:pt idx="279">
                  <c:v>4.861111111111116E-2</c:v>
                </c:pt>
                <c:pt idx="280">
                  <c:v>0.10852713178294568</c:v>
                </c:pt>
                <c:pt idx="281">
                  <c:v>0.17499999999999999</c:v>
                </c:pt>
                <c:pt idx="282">
                  <c:v>0.25988700564971756</c:v>
                </c:pt>
                <c:pt idx="283">
                  <c:v>0.15447154471544722</c:v>
                </c:pt>
                <c:pt idx="284">
                  <c:v>0.11111111111111105</c:v>
                </c:pt>
                <c:pt idx="285">
                  <c:v>7.189542483660126E-2</c:v>
                </c:pt>
                <c:pt idx="286">
                  <c:v>8.8435374149659907E-2</c:v>
                </c:pt>
                <c:pt idx="287">
                  <c:v>5.1851851851851906E-2</c:v>
                </c:pt>
                <c:pt idx="288">
                  <c:v>0.12403100775193804</c:v>
                </c:pt>
                <c:pt idx="289">
                  <c:v>8.7301587301587241E-2</c:v>
                </c:pt>
                <c:pt idx="290">
                  <c:v>0.14035087719298253</c:v>
                </c:pt>
                <c:pt idx="291">
                  <c:v>0.1276595744680851</c:v>
                </c:pt>
                <c:pt idx="292">
                  <c:v>0.11403508771929831</c:v>
                </c:pt>
                <c:pt idx="293">
                  <c:v>0.1388888888888889</c:v>
                </c:pt>
                <c:pt idx="294">
                  <c:v>3.9682539682539625E-2</c:v>
                </c:pt>
                <c:pt idx="295">
                  <c:v>0.1047619047619047</c:v>
                </c:pt>
                <c:pt idx="296">
                  <c:v>0.34523809523809518</c:v>
                </c:pt>
                <c:pt idx="297">
                  <c:v>0.20454545454545456</c:v>
                </c:pt>
                <c:pt idx="298">
                  <c:v>9.2592592592593247E-3</c:v>
                </c:pt>
                <c:pt idx="299">
                  <c:v>0.2</c:v>
                </c:pt>
                <c:pt idx="300">
                  <c:v>9.4202898550724695E-2</c:v>
                </c:pt>
                <c:pt idx="301">
                  <c:v>0.11805555555555551</c:v>
                </c:pt>
                <c:pt idx="302">
                  <c:v>5.4421768707482943E-2</c:v>
                </c:pt>
                <c:pt idx="303">
                  <c:v>0.10852713178294568</c:v>
                </c:pt>
                <c:pt idx="304">
                  <c:v>0.11111111111111105</c:v>
                </c:pt>
                <c:pt idx="305">
                  <c:v>0.24293785310734467</c:v>
                </c:pt>
                <c:pt idx="306">
                  <c:v>6.6666666666666666E-2</c:v>
                </c:pt>
                <c:pt idx="307">
                  <c:v>6.4102564102564152E-2</c:v>
                </c:pt>
                <c:pt idx="308">
                  <c:v>0.13043478260869565</c:v>
                </c:pt>
                <c:pt idx="309">
                  <c:v>0.13492063492063486</c:v>
                </c:pt>
                <c:pt idx="310">
                  <c:v>0.1666666666666666</c:v>
                </c:pt>
                <c:pt idx="311">
                  <c:v>6.666666666666661E-2</c:v>
                </c:pt>
                <c:pt idx="312">
                  <c:v>9.6296296296296352E-2</c:v>
                </c:pt>
                <c:pt idx="313">
                  <c:v>0.19047619047619041</c:v>
                </c:pt>
                <c:pt idx="314">
                  <c:v>0.14285714285714285</c:v>
                </c:pt>
                <c:pt idx="315">
                  <c:v>4.1666666666666609E-2</c:v>
                </c:pt>
                <c:pt idx="316">
                  <c:v>5.9829059829059887E-2</c:v>
                </c:pt>
                <c:pt idx="317">
                  <c:v>0.15151515151515152</c:v>
                </c:pt>
                <c:pt idx="318">
                  <c:v>0.11111111111111105</c:v>
                </c:pt>
                <c:pt idx="319">
                  <c:v>0.19148936170212766</c:v>
                </c:pt>
                <c:pt idx="320">
                  <c:v>0.20261437908496738</c:v>
                </c:pt>
                <c:pt idx="321">
                  <c:v>6.0606060606060552E-2</c:v>
                </c:pt>
                <c:pt idx="322">
                  <c:v>0.1833333333333334</c:v>
                </c:pt>
                <c:pt idx="323">
                  <c:v>0.21052631578947367</c:v>
                </c:pt>
                <c:pt idx="324">
                  <c:v>4.0816326530612242E-2</c:v>
                </c:pt>
                <c:pt idx="325">
                  <c:v>8.1481481481481433E-2</c:v>
                </c:pt>
                <c:pt idx="326">
                  <c:v>2.7210884353741544E-2</c:v>
                </c:pt>
                <c:pt idx="327">
                  <c:v>6.5359477124183052E-2</c:v>
                </c:pt>
                <c:pt idx="328">
                  <c:v>5.0724637681159472E-2</c:v>
                </c:pt>
                <c:pt idx="329">
                  <c:v>0.10606060606060601</c:v>
                </c:pt>
                <c:pt idx="330">
                  <c:v>9.6153846153846159E-2</c:v>
                </c:pt>
                <c:pt idx="331">
                  <c:v>5.1851851851851906E-2</c:v>
                </c:pt>
                <c:pt idx="332">
                  <c:v>0.46875</c:v>
                </c:pt>
                <c:pt idx="333">
                  <c:v>6.5217391304347824E-2</c:v>
                </c:pt>
                <c:pt idx="334">
                  <c:v>0</c:v>
                </c:pt>
                <c:pt idx="335">
                  <c:v>0.1666666666666666</c:v>
                </c:pt>
                <c:pt idx="336">
                  <c:v>0.22222222222222229</c:v>
                </c:pt>
                <c:pt idx="337">
                  <c:v>0</c:v>
                </c:pt>
                <c:pt idx="338">
                  <c:v>0.29931972789115641</c:v>
                </c:pt>
                <c:pt idx="339">
                  <c:v>8.5271317829457308E-2</c:v>
                </c:pt>
                <c:pt idx="340">
                  <c:v>7.7519379844961794E-3</c:v>
                </c:pt>
                <c:pt idx="341">
                  <c:v>0.3235294117647059</c:v>
                </c:pt>
                <c:pt idx="342">
                  <c:v>2.564102564102564E-2</c:v>
                </c:pt>
                <c:pt idx="343">
                  <c:v>0.1047619047619047</c:v>
                </c:pt>
                <c:pt idx="344">
                  <c:v>0.30769230769230771</c:v>
                </c:pt>
                <c:pt idx="345">
                  <c:v>0.10638297872340426</c:v>
                </c:pt>
                <c:pt idx="346">
                  <c:v>0.14102564102564108</c:v>
                </c:pt>
                <c:pt idx="347">
                  <c:v>0.29059829059829068</c:v>
                </c:pt>
                <c:pt idx="348">
                  <c:v>0.15</c:v>
                </c:pt>
                <c:pt idx="349">
                  <c:v>3.9682539682539625E-2</c:v>
                </c:pt>
                <c:pt idx="350">
                  <c:v>3.9682539682539625E-2</c:v>
                </c:pt>
                <c:pt idx="351">
                  <c:v>0.22012578616352196</c:v>
                </c:pt>
                <c:pt idx="352">
                  <c:v>0.17094017094017089</c:v>
                </c:pt>
                <c:pt idx="353">
                  <c:v>0.11666666666666661</c:v>
                </c:pt>
                <c:pt idx="354">
                  <c:v>0.15789473684210525</c:v>
                </c:pt>
                <c:pt idx="355">
                  <c:v>0.11363636363636363</c:v>
                </c:pt>
                <c:pt idx="356">
                  <c:v>0.19607843137254896</c:v>
                </c:pt>
                <c:pt idx="357">
                  <c:v>4.504504504504498E-2</c:v>
                </c:pt>
                <c:pt idx="358">
                  <c:v>0.26282051282051277</c:v>
                </c:pt>
                <c:pt idx="359">
                  <c:v>0.14583333333333334</c:v>
                </c:pt>
                <c:pt idx="360">
                  <c:v>0.16969696969696973</c:v>
                </c:pt>
                <c:pt idx="361">
                  <c:v>3.3333333333333284E-2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D-42CB-BAD2-184256C90D4F}"/>
            </c:ext>
          </c:extLst>
        </c:ser>
        <c:ser>
          <c:idx val="1"/>
          <c:order val="1"/>
          <c:tx>
            <c:strRef>
              <c:f>'MV Forcast'!$C$1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'MV Forcast'!$A$2:$A$454</c:f>
              <c:numCache>
                <c:formatCode>d/m/yyyy</c:formatCode>
                <c:ptCount val="453"/>
                <c:pt idx="0">
                  <c:v>21554</c:v>
                </c:pt>
                <c:pt idx="1">
                  <c:v>21555</c:v>
                </c:pt>
                <c:pt idx="2">
                  <c:v>21556</c:v>
                </c:pt>
                <c:pt idx="3">
                  <c:v>21557</c:v>
                </c:pt>
                <c:pt idx="4">
                  <c:v>21558</c:v>
                </c:pt>
                <c:pt idx="5">
                  <c:v>21559</c:v>
                </c:pt>
                <c:pt idx="6">
                  <c:v>21560</c:v>
                </c:pt>
                <c:pt idx="7">
                  <c:v>21561</c:v>
                </c:pt>
                <c:pt idx="8">
                  <c:v>21562</c:v>
                </c:pt>
                <c:pt idx="9">
                  <c:v>21563</c:v>
                </c:pt>
                <c:pt idx="10">
                  <c:v>21564</c:v>
                </c:pt>
                <c:pt idx="11">
                  <c:v>21565</c:v>
                </c:pt>
                <c:pt idx="12">
                  <c:v>21566</c:v>
                </c:pt>
                <c:pt idx="13">
                  <c:v>21567</c:v>
                </c:pt>
                <c:pt idx="14">
                  <c:v>21568</c:v>
                </c:pt>
                <c:pt idx="15">
                  <c:v>21569</c:v>
                </c:pt>
                <c:pt idx="16">
                  <c:v>21570</c:v>
                </c:pt>
                <c:pt idx="17">
                  <c:v>21571</c:v>
                </c:pt>
                <c:pt idx="18">
                  <c:v>21572</c:v>
                </c:pt>
                <c:pt idx="19">
                  <c:v>21573</c:v>
                </c:pt>
                <c:pt idx="20">
                  <c:v>21574</c:v>
                </c:pt>
                <c:pt idx="21">
                  <c:v>21575</c:v>
                </c:pt>
                <c:pt idx="22">
                  <c:v>21576</c:v>
                </c:pt>
                <c:pt idx="23">
                  <c:v>21577</c:v>
                </c:pt>
                <c:pt idx="24">
                  <c:v>21578</c:v>
                </c:pt>
                <c:pt idx="25">
                  <c:v>21579</c:v>
                </c:pt>
                <c:pt idx="26">
                  <c:v>21580</c:v>
                </c:pt>
                <c:pt idx="27">
                  <c:v>21581</c:v>
                </c:pt>
                <c:pt idx="28">
                  <c:v>21582</c:v>
                </c:pt>
                <c:pt idx="29">
                  <c:v>21583</c:v>
                </c:pt>
                <c:pt idx="30">
                  <c:v>21584</c:v>
                </c:pt>
                <c:pt idx="31">
                  <c:v>21585</c:v>
                </c:pt>
                <c:pt idx="32">
                  <c:v>21586</c:v>
                </c:pt>
                <c:pt idx="33">
                  <c:v>21587</c:v>
                </c:pt>
                <c:pt idx="34">
                  <c:v>21588</c:v>
                </c:pt>
                <c:pt idx="35">
                  <c:v>21589</c:v>
                </c:pt>
                <c:pt idx="36">
                  <c:v>21590</c:v>
                </c:pt>
                <c:pt idx="37">
                  <c:v>21591</c:v>
                </c:pt>
                <c:pt idx="38">
                  <c:v>21592</c:v>
                </c:pt>
                <c:pt idx="39">
                  <c:v>21593</c:v>
                </c:pt>
                <c:pt idx="40">
                  <c:v>21594</c:v>
                </c:pt>
                <c:pt idx="41">
                  <c:v>21595</c:v>
                </c:pt>
                <c:pt idx="42">
                  <c:v>21596</c:v>
                </c:pt>
                <c:pt idx="43">
                  <c:v>21597</c:v>
                </c:pt>
                <c:pt idx="44">
                  <c:v>21598</c:v>
                </c:pt>
                <c:pt idx="45">
                  <c:v>21599</c:v>
                </c:pt>
                <c:pt idx="46">
                  <c:v>21600</c:v>
                </c:pt>
                <c:pt idx="47">
                  <c:v>21601</c:v>
                </c:pt>
                <c:pt idx="48">
                  <c:v>21602</c:v>
                </c:pt>
                <c:pt idx="49">
                  <c:v>21603</c:v>
                </c:pt>
                <c:pt idx="50">
                  <c:v>21604</c:v>
                </c:pt>
                <c:pt idx="51">
                  <c:v>21605</c:v>
                </c:pt>
                <c:pt idx="52">
                  <c:v>21606</c:v>
                </c:pt>
                <c:pt idx="53">
                  <c:v>21607</c:v>
                </c:pt>
                <c:pt idx="54">
                  <c:v>21608</c:v>
                </c:pt>
                <c:pt idx="55">
                  <c:v>21609</c:v>
                </c:pt>
                <c:pt idx="56">
                  <c:v>21610</c:v>
                </c:pt>
                <c:pt idx="57">
                  <c:v>21611</c:v>
                </c:pt>
                <c:pt idx="58">
                  <c:v>21612</c:v>
                </c:pt>
                <c:pt idx="59">
                  <c:v>21613</c:v>
                </c:pt>
                <c:pt idx="60">
                  <c:v>21614</c:v>
                </c:pt>
                <c:pt idx="61">
                  <c:v>21615</c:v>
                </c:pt>
                <c:pt idx="62">
                  <c:v>21616</c:v>
                </c:pt>
                <c:pt idx="63">
                  <c:v>21617</c:v>
                </c:pt>
                <c:pt idx="64">
                  <c:v>21618</c:v>
                </c:pt>
                <c:pt idx="65">
                  <c:v>21619</c:v>
                </c:pt>
                <c:pt idx="66">
                  <c:v>21620</c:v>
                </c:pt>
                <c:pt idx="67">
                  <c:v>21621</c:v>
                </c:pt>
                <c:pt idx="68">
                  <c:v>21622</c:v>
                </c:pt>
                <c:pt idx="69">
                  <c:v>21623</c:v>
                </c:pt>
                <c:pt idx="70">
                  <c:v>21624</c:v>
                </c:pt>
                <c:pt idx="71">
                  <c:v>21625</c:v>
                </c:pt>
                <c:pt idx="72">
                  <c:v>21626</c:v>
                </c:pt>
                <c:pt idx="73">
                  <c:v>21627</c:v>
                </c:pt>
                <c:pt idx="74">
                  <c:v>21628</c:v>
                </c:pt>
                <c:pt idx="75">
                  <c:v>21629</c:v>
                </c:pt>
                <c:pt idx="76">
                  <c:v>21630</c:v>
                </c:pt>
                <c:pt idx="77">
                  <c:v>21631</c:v>
                </c:pt>
                <c:pt idx="78">
                  <c:v>21632</c:v>
                </c:pt>
                <c:pt idx="79">
                  <c:v>21633</c:v>
                </c:pt>
                <c:pt idx="80">
                  <c:v>21634</c:v>
                </c:pt>
                <c:pt idx="81">
                  <c:v>21635</c:v>
                </c:pt>
                <c:pt idx="82">
                  <c:v>21636</c:v>
                </c:pt>
                <c:pt idx="83">
                  <c:v>21637</c:v>
                </c:pt>
                <c:pt idx="84">
                  <c:v>21638</c:v>
                </c:pt>
                <c:pt idx="85">
                  <c:v>21639</c:v>
                </c:pt>
                <c:pt idx="86">
                  <c:v>21640</c:v>
                </c:pt>
                <c:pt idx="87">
                  <c:v>21641</c:v>
                </c:pt>
                <c:pt idx="88">
                  <c:v>21642</c:v>
                </c:pt>
                <c:pt idx="89">
                  <c:v>21643</c:v>
                </c:pt>
                <c:pt idx="90">
                  <c:v>21644</c:v>
                </c:pt>
                <c:pt idx="91">
                  <c:v>21645</c:v>
                </c:pt>
                <c:pt idx="92">
                  <c:v>21646</c:v>
                </c:pt>
                <c:pt idx="93">
                  <c:v>21647</c:v>
                </c:pt>
                <c:pt idx="94">
                  <c:v>21648</c:v>
                </c:pt>
                <c:pt idx="95">
                  <c:v>21649</c:v>
                </c:pt>
                <c:pt idx="96">
                  <c:v>21650</c:v>
                </c:pt>
                <c:pt idx="97">
                  <c:v>21651</c:v>
                </c:pt>
                <c:pt idx="98">
                  <c:v>21652</c:v>
                </c:pt>
                <c:pt idx="99">
                  <c:v>21653</c:v>
                </c:pt>
                <c:pt idx="100">
                  <c:v>21654</c:v>
                </c:pt>
                <c:pt idx="101">
                  <c:v>21655</c:v>
                </c:pt>
                <c:pt idx="102">
                  <c:v>21656</c:v>
                </c:pt>
                <c:pt idx="103">
                  <c:v>21657</c:v>
                </c:pt>
                <c:pt idx="104">
                  <c:v>21658</c:v>
                </c:pt>
                <c:pt idx="105">
                  <c:v>21659</c:v>
                </c:pt>
                <c:pt idx="106">
                  <c:v>21660</c:v>
                </c:pt>
                <c:pt idx="107">
                  <c:v>21661</c:v>
                </c:pt>
                <c:pt idx="108">
                  <c:v>21662</c:v>
                </c:pt>
                <c:pt idx="109">
                  <c:v>21663</c:v>
                </c:pt>
                <c:pt idx="110">
                  <c:v>21664</c:v>
                </c:pt>
                <c:pt idx="111">
                  <c:v>21665</c:v>
                </c:pt>
                <c:pt idx="112">
                  <c:v>21666</c:v>
                </c:pt>
                <c:pt idx="113">
                  <c:v>21667</c:v>
                </c:pt>
                <c:pt idx="114">
                  <c:v>21668</c:v>
                </c:pt>
                <c:pt idx="115">
                  <c:v>21669</c:v>
                </c:pt>
                <c:pt idx="116">
                  <c:v>21670</c:v>
                </c:pt>
                <c:pt idx="117">
                  <c:v>21671</c:v>
                </c:pt>
                <c:pt idx="118">
                  <c:v>21672</c:v>
                </c:pt>
                <c:pt idx="119">
                  <c:v>21673</c:v>
                </c:pt>
                <c:pt idx="120">
                  <c:v>21674</c:v>
                </c:pt>
                <c:pt idx="121">
                  <c:v>21675</c:v>
                </c:pt>
                <c:pt idx="122">
                  <c:v>21676</c:v>
                </c:pt>
                <c:pt idx="123">
                  <c:v>21677</c:v>
                </c:pt>
                <c:pt idx="124">
                  <c:v>21678</c:v>
                </c:pt>
                <c:pt idx="125">
                  <c:v>21679</c:v>
                </c:pt>
                <c:pt idx="126">
                  <c:v>21680</c:v>
                </c:pt>
                <c:pt idx="127">
                  <c:v>21681</c:v>
                </c:pt>
                <c:pt idx="128">
                  <c:v>21682</c:v>
                </c:pt>
                <c:pt idx="129">
                  <c:v>21683</c:v>
                </c:pt>
                <c:pt idx="130">
                  <c:v>21684</c:v>
                </c:pt>
                <c:pt idx="131">
                  <c:v>21685</c:v>
                </c:pt>
                <c:pt idx="132">
                  <c:v>21686</c:v>
                </c:pt>
                <c:pt idx="133">
                  <c:v>21687</c:v>
                </c:pt>
                <c:pt idx="134">
                  <c:v>21688</c:v>
                </c:pt>
                <c:pt idx="135">
                  <c:v>21689</c:v>
                </c:pt>
                <c:pt idx="136">
                  <c:v>21690</c:v>
                </c:pt>
                <c:pt idx="137">
                  <c:v>21691</c:v>
                </c:pt>
                <c:pt idx="138">
                  <c:v>21692</c:v>
                </c:pt>
                <c:pt idx="139">
                  <c:v>21693</c:v>
                </c:pt>
                <c:pt idx="140">
                  <c:v>21694</c:v>
                </c:pt>
                <c:pt idx="141">
                  <c:v>21695</c:v>
                </c:pt>
                <c:pt idx="142">
                  <c:v>21696</c:v>
                </c:pt>
                <c:pt idx="143">
                  <c:v>21697</c:v>
                </c:pt>
                <c:pt idx="144">
                  <c:v>21698</c:v>
                </c:pt>
                <c:pt idx="145">
                  <c:v>21699</c:v>
                </c:pt>
                <c:pt idx="146">
                  <c:v>21700</c:v>
                </c:pt>
                <c:pt idx="147">
                  <c:v>21701</c:v>
                </c:pt>
                <c:pt idx="148">
                  <c:v>21702</c:v>
                </c:pt>
                <c:pt idx="149">
                  <c:v>21703</c:v>
                </c:pt>
                <c:pt idx="150">
                  <c:v>21704</c:v>
                </c:pt>
                <c:pt idx="151">
                  <c:v>21705</c:v>
                </c:pt>
                <c:pt idx="152">
                  <c:v>21706</c:v>
                </c:pt>
                <c:pt idx="153">
                  <c:v>21707</c:v>
                </c:pt>
                <c:pt idx="154">
                  <c:v>21708</c:v>
                </c:pt>
                <c:pt idx="155">
                  <c:v>21709</c:v>
                </c:pt>
                <c:pt idx="156">
                  <c:v>21710</c:v>
                </c:pt>
                <c:pt idx="157">
                  <c:v>21711</c:v>
                </c:pt>
                <c:pt idx="158">
                  <c:v>21712</c:v>
                </c:pt>
                <c:pt idx="159">
                  <c:v>21713</c:v>
                </c:pt>
                <c:pt idx="160">
                  <c:v>21714</c:v>
                </c:pt>
                <c:pt idx="161">
                  <c:v>21715</c:v>
                </c:pt>
                <c:pt idx="162">
                  <c:v>21716</c:v>
                </c:pt>
                <c:pt idx="163">
                  <c:v>21717</c:v>
                </c:pt>
                <c:pt idx="164">
                  <c:v>21718</c:v>
                </c:pt>
                <c:pt idx="165">
                  <c:v>21719</c:v>
                </c:pt>
                <c:pt idx="166">
                  <c:v>21720</c:v>
                </c:pt>
                <c:pt idx="167">
                  <c:v>21721</c:v>
                </c:pt>
                <c:pt idx="168">
                  <c:v>21722</c:v>
                </c:pt>
                <c:pt idx="169">
                  <c:v>21723</c:v>
                </c:pt>
                <c:pt idx="170">
                  <c:v>21724</c:v>
                </c:pt>
                <c:pt idx="171">
                  <c:v>21725</c:v>
                </c:pt>
                <c:pt idx="172">
                  <c:v>21726</c:v>
                </c:pt>
                <c:pt idx="173">
                  <c:v>21727</c:v>
                </c:pt>
                <c:pt idx="174">
                  <c:v>21728</c:v>
                </c:pt>
                <c:pt idx="175">
                  <c:v>21729</c:v>
                </c:pt>
                <c:pt idx="176">
                  <c:v>21730</c:v>
                </c:pt>
                <c:pt idx="177">
                  <c:v>21731</c:v>
                </c:pt>
                <c:pt idx="178">
                  <c:v>21732</c:v>
                </c:pt>
                <c:pt idx="179">
                  <c:v>21733</c:v>
                </c:pt>
                <c:pt idx="180">
                  <c:v>21734</c:v>
                </c:pt>
                <c:pt idx="181">
                  <c:v>21735</c:v>
                </c:pt>
                <c:pt idx="182">
                  <c:v>21736</c:v>
                </c:pt>
                <c:pt idx="183">
                  <c:v>21737</c:v>
                </c:pt>
                <c:pt idx="184">
                  <c:v>21738</c:v>
                </c:pt>
                <c:pt idx="185">
                  <c:v>21739</c:v>
                </c:pt>
                <c:pt idx="186">
                  <c:v>21740</c:v>
                </c:pt>
                <c:pt idx="187">
                  <c:v>21741</c:v>
                </c:pt>
                <c:pt idx="188">
                  <c:v>21742</c:v>
                </c:pt>
                <c:pt idx="189">
                  <c:v>21743</c:v>
                </c:pt>
                <c:pt idx="190">
                  <c:v>21744</c:v>
                </c:pt>
                <c:pt idx="191">
                  <c:v>21745</c:v>
                </c:pt>
                <c:pt idx="192">
                  <c:v>21746</c:v>
                </c:pt>
                <c:pt idx="193">
                  <c:v>21747</c:v>
                </c:pt>
                <c:pt idx="194">
                  <c:v>21748</c:v>
                </c:pt>
                <c:pt idx="195">
                  <c:v>21749</c:v>
                </c:pt>
                <c:pt idx="196">
                  <c:v>21750</c:v>
                </c:pt>
                <c:pt idx="197">
                  <c:v>21751</c:v>
                </c:pt>
                <c:pt idx="198">
                  <c:v>21752</c:v>
                </c:pt>
                <c:pt idx="199">
                  <c:v>21753</c:v>
                </c:pt>
                <c:pt idx="200">
                  <c:v>21754</c:v>
                </c:pt>
                <c:pt idx="201">
                  <c:v>21755</c:v>
                </c:pt>
                <c:pt idx="202">
                  <c:v>21756</c:v>
                </c:pt>
                <c:pt idx="203">
                  <c:v>21757</c:v>
                </c:pt>
                <c:pt idx="204">
                  <c:v>21758</c:v>
                </c:pt>
                <c:pt idx="205">
                  <c:v>21759</c:v>
                </c:pt>
                <c:pt idx="206">
                  <c:v>21760</c:v>
                </c:pt>
                <c:pt idx="207">
                  <c:v>21761</c:v>
                </c:pt>
                <c:pt idx="208">
                  <c:v>21762</c:v>
                </c:pt>
                <c:pt idx="209">
                  <c:v>21763</c:v>
                </c:pt>
                <c:pt idx="210">
                  <c:v>21764</c:v>
                </c:pt>
                <c:pt idx="211">
                  <c:v>21765</c:v>
                </c:pt>
                <c:pt idx="212">
                  <c:v>21766</c:v>
                </c:pt>
                <c:pt idx="213">
                  <c:v>21767</c:v>
                </c:pt>
                <c:pt idx="214">
                  <c:v>21768</c:v>
                </c:pt>
                <c:pt idx="215">
                  <c:v>21769</c:v>
                </c:pt>
                <c:pt idx="216">
                  <c:v>21770</c:v>
                </c:pt>
                <c:pt idx="217">
                  <c:v>21771</c:v>
                </c:pt>
                <c:pt idx="218">
                  <c:v>21772</c:v>
                </c:pt>
                <c:pt idx="219">
                  <c:v>21773</c:v>
                </c:pt>
                <c:pt idx="220">
                  <c:v>21774</c:v>
                </c:pt>
                <c:pt idx="221">
                  <c:v>21775</c:v>
                </c:pt>
                <c:pt idx="222">
                  <c:v>21776</c:v>
                </c:pt>
                <c:pt idx="223">
                  <c:v>21777</c:v>
                </c:pt>
                <c:pt idx="224">
                  <c:v>21778</c:v>
                </c:pt>
                <c:pt idx="225">
                  <c:v>21779</c:v>
                </c:pt>
                <c:pt idx="226">
                  <c:v>21780</c:v>
                </c:pt>
                <c:pt idx="227">
                  <c:v>21781</c:v>
                </c:pt>
                <c:pt idx="228">
                  <c:v>21782</c:v>
                </c:pt>
                <c:pt idx="229">
                  <c:v>21783</c:v>
                </c:pt>
                <c:pt idx="230">
                  <c:v>21784</c:v>
                </c:pt>
                <c:pt idx="231">
                  <c:v>21785</c:v>
                </c:pt>
                <c:pt idx="232">
                  <c:v>21786</c:v>
                </c:pt>
                <c:pt idx="233">
                  <c:v>21787</c:v>
                </c:pt>
                <c:pt idx="234">
                  <c:v>21788</c:v>
                </c:pt>
                <c:pt idx="235">
                  <c:v>21789</c:v>
                </c:pt>
                <c:pt idx="236">
                  <c:v>21790</c:v>
                </c:pt>
                <c:pt idx="237">
                  <c:v>21791</c:v>
                </c:pt>
                <c:pt idx="238">
                  <c:v>21792</c:v>
                </c:pt>
                <c:pt idx="239">
                  <c:v>21793</c:v>
                </c:pt>
                <c:pt idx="240">
                  <c:v>21794</c:v>
                </c:pt>
                <c:pt idx="241">
                  <c:v>21795</c:v>
                </c:pt>
                <c:pt idx="242">
                  <c:v>21796</c:v>
                </c:pt>
                <c:pt idx="243">
                  <c:v>21797</c:v>
                </c:pt>
                <c:pt idx="244">
                  <c:v>21798</c:v>
                </c:pt>
                <c:pt idx="245">
                  <c:v>21799</c:v>
                </c:pt>
                <c:pt idx="246">
                  <c:v>21800</c:v>
                </c:pt>
                <c:pt idx="247">
                  <c:v>21801</c:v>
                </c:pt>
                <c:pt idx="248">
                  <c:v>21802</c:v>
                </c:pt>
                <c:pt idx="249">
                  <c:v>21803</c:v>
                </c:pt>
                <c:pt idx="250">
                  <c:v>21804</c:v>
                </c:pt>
                <c:pt idx="251">
                  <c:v>21805</c:v>
                </c:pt>
                <c:pt idx="252">
                  <c:v>21806</c:v>
                </c:pt>
                <c:pt idx="253">
                  <c:v>21807</c:v>
                </c:pt>
                <c:pt idx="254">
                  <c:v>21808</c:v>
                </c:pt>
                <c:pt idx="255">
                  <c:v>21809</c:v>
                </c:pt>
                <c:pt idx="256">
                  <c:v>21810</c:v>
                </c:pt>
                <c:pt idx="257">
                  <c:v>21811</c:v>
                </c:pt>
                <c:pt idx="258">
                  <c:v>21812</c:v>
                </c:pt>
                <c:pt idx="259">
                  <c:v>21813</c:v>
                </c:pt>
                <c:pt idx="260">
                  <c:v>21814</c:v>
                </c:pt>
                <c:pt idx="261">
                  <c:v>21815</c:v>
                </c:pt>
                <c:pt idx="262">
                  <c:v>21816</c:v>
                </c:pt>
                <c:pt idx="263">
                  <c:v>21817</c:v>
                </c:pt>
                <c:pt idx="264">
                  <c:v>21818</c:v>
                </c:pt>
                <c:pt idx="265">
                  <c:v>21819</c:v>
                </c:pt>
                <c:pt idx="266">
                  <c:v>21820</c:v>
                </c:pt>
                <c:pt idx="267">
                  <c:v>21821</c:v>
                </c:pt>
                <c:pt idx="268">
                  <c:v>21822</c:v>
                </c:pt>
                <c:pt idx="269">
                  <c:v>21823</c:v>
                </c:pt>
                <c:pt idx="270">
                  <c:v>21824</c:v>
                </c:pt>
                <c:pt idx="271">
                  <c:v>21825</c:v>
                </c:pt>
                <c:pt idx="272">
                  <c:v>21826</c:v>
                </c:pt>
                <c:pt idx="273">
                  <c:v>21827</c:v>
                </c:pt>
                <c:pt idx="274">
                  <c:v>21828</c:v>
                </c:pt>
                <c:pt idx="275">
                  <c:v>21829</c:v>
                </c:pt>
                <c:pt idx="276">
                  <c:v>21830</c:v>
                </c:pt>
                <c:pt idx="277">
                  <c:v>21831</c:v>
                </c:pt>
                <c:pt idx="278">
                  <c:v>21832</c:v>
                </c:pt>
                <c:pt idx="279">
                  <c:v>21833</c:v>
                </c:pt>
                <c:pt idx="280">
                  <c:v>21834</c:v>
                </c:pt>
                <c:pt idx="281">
                  <c:v>21835</c:v>
                </c:pt>
                <c:pt idx="282">
                  <c:v>21836</c:v>
                </c:pt>
                <c:pt idx="283">
                  <c:v>21837</c:v>
                </c:pt>
                <c:pt idx="284">
                  <c:v>21838</c:v>
                </c:pt>
                <c:pt idx="285">
                  <c:v>21839</c:v>
                </c:pt>
                <c:pt idx="286">
                  <c:v>21840</c:v>
                </c:pt>
                <c:pt idx="287">
                  <c:v>21841</c:v>
                </c:pt>
                <c:pt idx="288">
                  <c:v>21842</c:v>
                </c:pt>
                <c:pt idx="289">
                  <c:v>21843</c:v>
                </c:pt>
                <c:pt idx="290">
                  <c:v>21844</c:v>
                </c:pt>
                <c:pt idx="291">
                  <c:v>21845</c:v>
                </c:pt>
                <c:pt idx="292">
                  <c:v>21846</c:v>
                </c:pt>
                <c:pt idx="293">
                  <c:v>21847</c:v>
                </c:pt>
                <c:pt idx="294">
                  <c:v>21848</c:v>
                </c:pt>
                <c:pt idx="295">
                  <c:v>21849</c:v>
                </c:pt>
                <c:pt idx="296">
                  <c:v>21850</c:v>
                </c:pt>
                <c:pt idx="297">
                  <c:v>21851</c:v>
                </c:pt>
                <c:pt idx="298">
                  <c:v>21852</c:v>
                </c:pt>
                <c:pt idx="299">
                  <c:v>21853</c:v>
                </c:pt>
                <c:pt idx="300">
                  <c:v>21854</c:v>
                </c:pt>
                <c:pt idx="301">
                  <c:v>21855</c:v>
                </c:pt>
                <c:pt idx="302">
                  <c:v>21856</c:v>
                </c:pt>
                <c:pt idx="303">
                  <c:v>21857</c:v>
                </c:pt>
                <c:pt idx="304">
                  <c:v>21858</c:v>
                </c:pt>
                <c:pt idx="305">
                  <c:v>21859</c:v>
                </c:pt>
                <c:pt idx="306">
                  <c:v>21860</c:v>
                </c:pt>
                <c:pt idx="307">
                  <c:v>21861</c:v>
                </c:pt>
                <c:pt idx="308">
                  <c:v>21862</c:v>
                </c:pt>
                <c:pt idx="309">
                  <c:v>21863</c:v>
                </c:pt>
                <c:pt idx="310">
                  <c:v>21864</c:v>
                </c:pt>
                <c:pt idx="311">
                  <c:v>21865</c:v>
                </c:pt>
                <c:pt idx="312">
                  <c:v>21866</c:v>
                </c:pt>
                <c:pt idx="313">
                  <c:v>21867</c:v>
                </c:pt>
                <c:pt idx="314">
                  <c:v>21868</c:v>
                </c:pt>
                <c:pt idx="315">
                  <c:v>21869</c:v>
                </c:pt>
                <c:pt idx="316">
                  <c:v>21870</c:v>
                </c:pt>
                <c:pt idx="317">
                  <c:v>21871</c:v>
                </c:pt>
                <c:pt idx="318">
                  <c:v>21872</c:v>
                </c:pt>
                <c:pt idx="319">
                  <c:v>21873</c:v>
                </c:pt>
                <c:pt idx="320">
                  <c:v>21874</c:v>
                </c:pt>
                <c:pt idx="321">
                  <c:v>21875</c:v>
                </c:pt>
                <c:pt idx="322">
                  <c:v>21876</c:v>
                </c:pt>
                <c:pt idx="323">
                  <c:v>21877</c:v>
                </c:pt>
                <c:pt idx="324">
                  <c:v>21878</c:v>
                </c:pt>
                <c:pt idx="325">
                  <c:v>21879</c:v>
                </c:pt>
                <c:pt idx="326">
                  <c:v>21880</c:v>
                </c:pt>
                <c:pt idx="327">
                  <c:v>21881</c:v>
                </c:pt>
                <c:pt idx="328">
                  <c:v>21882</c:v>
                </c:pt>
                <c:pt idx="329">
                  <c:v>21883</c:v>
                </c:pt>
                <c:pt idx="330">
                  <c:v>21884</c:v>
                </c:pt>
                <c:pt idx="331">
                  <c:v>21885</c:v>
                </c:pt>
                <c:pt idx="332">
                  <c:v>21886</c:v>
                </c:pt>
                <c:pt idx="333">
                  <c:v>21887</c:v>
                </c:pt>
                <c:pt idx="334">
                  <c:v>21888</c:v>
                </c:pt>
                <c:pt idx="335">
                  <c:v>21889</c:v>
                </c:pt>
                <c:pt idx="336">
                  <c:v>21890</c:v>
                </c:pt>
                <c:pt idx="337">
                  <c:v>21891</c:v>
                </c:pt>
                <c:pt idx="338">
                  <c:v>21892</c:v>
                </c:pt>
                <c:pt idx="339">
                  <c:v>21893</c:v>
                </c:pt>
                <c:pt idx="340">
                  <c:v>21894</c:v>
                </c:pt>
                <c:pt idx="341">
                  <c:v>21895</c:v>
                </c:pt>
                <c:pt idx="342">
                  <c:v>21896</c:v>
                </c:pt>
                <c:pt idx="343">
                  <c:v>21897</c:v>
                </c:pt>
                <c:pt idx="344">
                  <c:v>21898</c:v>
                </c:pt>
                <c:pt idx="345">
                  <c:v>21899</c:v>
                </c:pt>
                <c:pt idx="346">
                  <c:v>21900</c:v>
                </c:pt>
                <c:pt idx="347">
                  <c:v>21901</c:v>
                </c:pt>
                <c:pt idx="348">
                  <c:v>21902</c:v>
                </c:pt>
                <c:pt idx="349">
                  <c:v>21903</c:v>
                </c:pt>
                <c:pt idx="350">
                  <c:v>21904</c:v>
                </c:pt>
                <c:pt idx="351">
                  <c:v>21905</c:v>
                </c:pt>
                <c:pt idx="352">
                  <c:v>21906</c:v>
                </c:pt>
                <c:pt idx="353">
                  <c:v>21907</c:v>
                </c:pt>
                <c:pt idx="354">
                  <c:v>21908</c:v>
                </c:pt>
                <c:pt idx="355">
                  <c:v>21909</c:v>
                </c:pt>
                <c:pt idx="356">
                  <c:v>21910</c:v>
                </c:pt>
                <c:pt idx="357">
                  <c:v>21911</c:v>
                </c:pt>
                <c:pt idx="358">
                  <c:v>21912</c:v>
                </c:pt>
                <c:pt idx="359">
                  <c:v>21913</c:v>
                </c:pt>
                <c:pt idx="360">
                  <c:v>21914</c:v>
                </c:pt>
                <c:pt idx="361">
                  <c:v>21915</c:v>
                </c:pt>
                <c:pt idx="362">
                  <c:v>21916</c:v>
                </c:pt>
                <c:pt idx="363">
                  <c:v>21917</c:v>
                </c:pt>
                <c:pt idx="364">
                  <c:v>21918</c:v>
                </c:pt>
                <c:pt idx="365">
                  <c:v>21919</c:v>
                </c:pt>
                <c:pt idx="366">
                  <c:v>21920</c:v>
                </c:pt>
                <c:pt idx="367">
                  <c:v>21921</c:v>
                </c:pt>
                <c:pt idx="368">
                  <c:v>21922</c:v>
                </c:pt>
                <c:pt idx="369">
                  <c:v>21923</c:v>
                </c:pt>
                <c:pt idx="370">
                  <c:v>21924</c:v>
                </c:pt>
                <c:pt idx="371">
                  <c:v>21925</c:v>
                </c:pt>
                <c:pt idx="372">
                  <c:v>21926</c:v>
                </c:pt>
                <c:pt idx="373">
                  <c:v>21927</c:v>
                </c:pt>
                <c:pt idx="374">
                  <c:v>21928</c:v>
                </c:pt>
                <c:pt idx="375">
                  <c:v>21929</c:v>
                </c:pt>
                <c:pt idx="376">
                  <c:v>21930</c:v>
                </c:pt>
                <c:pt idx="377">
                  <c:v>21931</c:v>
                </c:pt>
                <c:pt idx="378">
                  <c:v>21932</c:v>
                </c:pt>
                <c:pt idx="379">
                  <c:v>21933</c:v>
                </c:pt>
                <c:pt idx="380">
                  <c:v>21934</c:v>
                </c:pt>
                <c:pt idx="381">
                  <c:v>21935</c:v>
                </c:pt>
                <c:pt idx="382">
                  <c:v>21936</c:v>
                </c:pt>
                <c:pt idx="383">
                  <c:v>21937</c:v>
                </c:pt>
                <c:pt idx="384">
                  <c:v>21938</c:v>
                </c:pt>
                <c:pt idx="385">
                  <c:v>21939</c:v>
                </c:pt>
                <c:pt idx="386">
                  <c:v>21940</c:v>
                </c:pt>
                <c:pt idx="387">
                  <c:v>21941</c:v>
                </c:pt>
                <c:pt idx="388">
                  <c:v>21942</c:v>
                </c:pt>
                <c:pt idx="389">
                  <c:v>21943</c:v>
                </c:pt>
                <c:pt idx="390">
                  <c:v>21944</c:v>
                </c:pt>
                <c:pt idx="391">
                  <c:v>21945</c:v>
                </c:pt>
                <c:pt idx="392">
                  <c:v>21946</c:v>
                </c:pt>
                <c:pt idx="393">
                  <c:v>21947</c:v>
                </c:pt>
                <c:pt idx="394">
                  <c:v>21948</c:v>
                </c:pt>
                <c:pt idx="395">
                  <c:v>21949</c:v>
                </c:pt>
                <c:pt idx="396">
                  <c:v>21950</c:v>
                </c:pt>
                <c:pt idx="397">
                  <c:v>21951</c:v>
                </c:pt>
                <c:pt idx="398">
                  <c:v>21952</c:v>
                </c:pt>
                <c:pt idx="399">
                  <c:v>21953</c:v>
                </c:pt>
                <c:pt idx="400">
                  <c:v>21954</c:v>
                </c:pt>
                <c:pt idx="401">
                  <c:v>21955</c:v>
                </c:pt>
                <c:pt idx="402">
                  <c:v>21956</c:v>
                </c:pt>
                <c:pt idx="403">
                  <c:v>21957</c:v>
                </c:pt>
                <c:pt idx="404">
                  <c:v>21958</c:v>
                </c:pt>
                <c:pt idx="405">
                  <c:v>21959</c:v>
                </c:pt>
                <c:pt idx="406">
                  <c:v>21960</c:v>
                </c:pt>
                <c:pt idx="407">
                  <c:v>21961</c:v>
                </c:pt>
                <c:pt idx="408">
                  <c:v>21962</c:v>
                </c:pt>
                <c:pt idx="409">
                  <c:v>21963</c:v>
                </c:pt>
                <c:pt idx="410">
                  <c:v>21964</c:v>
                </c:pt>
                <c:pt idx="411">
                  <c:v>21965</c:v>
                </c:pt>
                <c:pt idx="412">
                  <c:v>21966</c:v>
                </c:pt>
                <c:pt idx="413">
                  <c:v>21967</c:v>
                </c:pt>
                <c:pt idx="414">
                  <c:v>21968</c:v>
                </c:pt>
                <c:pt idx="415">
                  <c:v>21969</c:v>
                </c:pt>
                <c:pt idx="416">
                  <c:v>21970</c:v>
                </c:pt>
                <c:pt idx="417">
                  <c:v>21971</c:v>
                </c:pt>
                <c:pt idx="418">
                  <c:v>21972</c:v>
                </c:pt>
                <c:pt idx="419">
                  <c:v>21973</c:v>
                </c:pt>
                <c:pt idx="420">
                  <c:v>21974</c:v>
                </c:pt>
                <c:pt idx="421">
                  <c:v>21975</c:v>
                </c:pt>
                <c:pt idx="422">
                  <c:v>21976</c:v>
                </c:pt>
                <c:pt idx="423">
                  <c:v>21977</c:v>
                </c:pt>
                <c:pt idx="424">
                  <c:v>21978</c:v>
                </c:pt>
                <c:pt idx="425">
                  <c:v>21979</c:v>
                </c:pt>
                <c:pt idx="426">
                  <c:v>21980</c:v>
                </c:pt>
                <c:pt idx="427">
                  <c:v>21981</c:v>
                </c:pt>
                <c:pt idx="428">
                  <c:v>21982</c:v>
                </c:pt>
                <c:pt idx="429">
                  <c:v>21983</c:v>
                </c:pt>
                <c:pt idx="430">
                  <c:v>21984</c:v>
                </c:pt>
                <c:pt idx="431">
                  <c:v>21985</c:v>
                </c:pt>
                <c:pt idx="432">
                  <c:v>21986</c:v>
                </c:pt>
                <c:pt idx="433">
                  <c:v>21987</c:v>
                </c:pt>
                <c:pt idx="434">
                  <c:v>21988</c:v>
                </c:pt>
                <c:pt idx="435">
                  <c:v>21989</c:v>
                </c:pt>
                <c:pt idx="436">
                  <c:v>21990</c:v>
                </c:pt>
                <c:pt idx="437">
                  <c:v>21991</c:v>
                </c:pt>
                <c:pt idx="438">
                  <c:v>21992</c:v>
                </c:pt>
                <c:pt idx="439">
                  <c:v>21993</c:v>
                </c:pt>
                <c:pt idx="440">
                  <c:v>21994</c:v>
                </c:pt>
                <c:pt idx="441">
                  <c:v>21995</c:v>
                </c:pt>
                <c:pt idx="442">
                  <c:v>21996</c:v>
                </c:pt>
                <c:pt idx="443">
                  <c:v>21997</c:v>
                </c:pt>
                <c:pt idx="444">
                  <c:v>21998</c:v>
                </c:pt>
                <c:pt idx="445">
                  <c:v>21999</c:v>
                </c:pt>
                <c:pt idx="446">
                  <c:v>22000</c:v>
                </c:pt>
                <c:pt idx="447">
                  <c:v>22001</c:v>
                </c:pt>
                <c:pt idx="448">
                  <c:v>22002</c:v>
                </c:pt>
                <c:pt idx="449">
                  <c:v>22003</c:v>
                </c:pt>
                <c:pt idx="450">
                  <c:v>22004</c:v>
                </c:pt>
                <c:pt idx="451">
                  <c:v>22005</c:v>
                </c:pt>
                <c:pt idx="452">
                  <c:v>22006</c:v>
                </c:pt>
              </c:numCache>
            </c:numRef>
          </c:cat>
          <c:val>
            <c:numRef>
              <c:f>'MV Forcast'!$C$2:$C$454</c:f>
              <c:numCache>
                <c:formatCode>General</c:formatCode>
                <c:ptCount val="453"/>
                <c:pt idx="361" formatCode="0%">
                  <c:v>3.3333333333333284E-2</c:v>
                </c:pt>
                <c:pt idx="362" formatCode="0%">
                  <c:v>0.15831940941919301</c:v>
                </c:pt>
                <c:pt idx="363" formatCode="0%">
                  <c:v>0.14135859875346068</c:v>
                </c:pt>
                <c:pt idx="364" formatCode="0%">
                  <c:v>0.11221923896464039</c:v>
                </c:pt>
                <c:pt idx="365" formatCode="0%">
                  <c:v>0.20458990696135493</c:v>
                </c:pt>
                <c:pt idx="366" formatCode="0%">
                  <c:v>8.3655055273033685E-2</c:v>
                </c:pt>
                <c:pt idx="367" formatCode="0%">
                  <c:v>0.12608007397611595</c:v>
                </c:pt>
                <c:pt idx="368" formatCode="0%">
                  <c:v>0.19671855291000404</c:v>
                </c:pt>
                <c:pt idx="369" formatCode="0%">
                  <c:v>0.12586453891854293</c:v>
                </c:pt>
                <c:pt idx="370" formatCode="0%">
                  <c:v>7.945525580576468E-2</c:v>
                </c:pt>
                <c:pt idx="371" formatCode="0%">
                  <c:v>0.16033024747726743</c:v>
                </c:pt>
                <c:pt idx="372" formatCode="0%">
                  <c:v>0.14336943681153511</c:v>
                </c:pt>
                <c:pt idx="373" formatCode="0%">
                  <c:v>0.11423007702271479</c:v>
                </c:pt>
                <c:pt idx="374" formatCode="0%">
                  <c:v>0.20660074501942935</c:v>
                </c:pt>
                <c:pt idx="375" formatCode="0%">
                  <c:v>8.5665893331108106E-2</c:v>
                </c:pt>
                <c:pt idx="376" formatCode="0%">
                  <c:v>0.12809091203419037</c:v>
                </c:pt>
                <c:pt idx="377" formatCode="0%">
                  <c:v>0.19872939096807846</c:v>
                </c:pt>
                <c:pt idx="378" formatCode="0%">
                  <c:v>0.12787537697661736</c:v>
                </c:pt>
                <c:pt idx="379" formatCode="0%">
                  <c:v>8.1466093863839101E-2</c:v>
                </c:pt>
                <c:pt idx="380" formatCode="0%">
                  <c:v>0.16234108553534185</c:v>
                </c:pt>
                <c:pt idx="381" formatCode="0%">
                  <c:v>0.14538027486960953</c:v>
                </c:pt>
                <c:pt idx="382" formatCode="0%">
                  <c:v>0.11624091508078921</c:v>
                </c:pt>
                <c:pt idx="383" formatCode="0%">
                  <c:v>0.20861158307750377</c:v>
                </c:pt>
                <c:pt idx="384" formatCode="0%">
                  <c:v>8.7676731389182527E-2</c:v>
                </c:pt>
                <c:pt idx="385" formatCode="0%">
                  <c:v>0.1301017500922648</c:v>
                </c:pt>
                <c:pt idx="386" formatCode="0%">
                  <c:v>0.20074022902615288</c:v>
                </c:pt>
                <c:pt idx="387" formatCode="0%">
                  <c:v>0.12988621503469175</c:v>
                </c:pt>
                <c:pt idx="388" formatCode="0%">
                  <c:v>8.3476931921913522E-2</c:v>
                </c:pt>
                <c:pt idx="389" formatCode="0%">
                  <c:v>0.16435192359341627</c:v>
                </c:pt>
                <c:pt idx="390" formatCode="0%">
                  <c:v>0.14739111292768395</c:v>
                </c:pt>
                <c:pt idx="391" formatCode="0%">
                  <c:v>0.11825175313886363</c:v>
                </c:pt>
                <c:pt idx="392" formatCode="0%">
                  <c:v>0.21062242113557816</c:v>
                </c:pt>
                <c:pt idx="393" formatCode="0%">
                  <c:v>8.9687569447256948E-2</c:v>
                </c:pt>
                <c:pt idx="394" formatCode="0%">
                  <c:v>0.13211258815033922</c:v>
                </c:pt>
                <c:pt idx="395" formatCode="0%">
                  <c:v>0.2027510670842273</c:v>
                </c:pt>
                <c:pt idx="396" formatCode="0%">
                  <c:v>0.13189705309276617</c:v>
                </c:pt>
                <c:pt idx="397" formatCode="0%">
                  <c:v>8.5487769979987915E-2</c:v>
                </c:pt>
                <c:pt idx="398" formatCode="0%">
                  <c:v>0.16636276165149069</c:v>
                </c:pt>
                <c:pt idx="399" formatCode="0%">
                  <c:v>0.14940195098575837</c:v>
                </c:pt>
                <c:pt idx="400" formatCode="0%">
                  <c:v>0.12026259119693805</c:v>
                </c:pt>
                <c:pt idx="401" formatCode="0%">
                  <c:v>0.21263325919365259</c:v>
                </c:pt>
                <c:pt idx="402" formatCode="0%">
                  <c:v>9.1698407505331342E-2</c:v>
                </c:pt>
                <c:pt idx="403" formatCode="0%">
                  <c:v>0.13412342620841364</c:v>
                </c:pt>
                <c:pt idx="404" formatCode="0%">
                  <c:v>0.20476190514230172</c:v>
                </c:pt>
                <c:pt idx="405" formatCode="0%">
                  <c:v>0.13390789115084059</c:v>
                </c:pt>
                <c:pt idx="406" formatCode="0%">
                  <c:v>8.7498608038062337E-2</c:v>
                </c:pt>
                <c:pt idx="407" formatCode="0%">
                  <c:v>0.16837359970956509</c:v>
                </c:pt>
                <c:pt idx="408" formatCode="0%">
                  <c:v>0.15141278904383279</c:v>
                </c:pt>
                <c:pt idx="409" formatCode="0%">
                  <c:v>0.12227342925501247</c:v>
                </c:pt>
                <c:pt idx="410" formatCode="0%">
                  <c:v>0.21464409725172701</c:v>
                </c:pt>
                <c:pt idx="411" formatCode="0%">
                  <c:v>9.3709245563405763E-2</c:v>
                </c:pt>
                <c:pt idx="412" formatCode="0%">
                  <c:v>0.13613426426648806</c:v>
                </c:pt>
                <c:pt idx="413" formatCode="0%">
                  <c:v>0.20677274320037614</c:v>
                </c:pt>
                <c:pt idx="414" formatCode="0%">
                  <c:v>0.13591872920891501</c:v>
                </c:pt>
                <c:pt idx="415" formatCode="0%">
                  <c:v>8.9509446096136758E-2</c:v>
                </c:pt>
                <c:pt idx="416" formatCode="0%">
                  <c:v>0.17038443776763951</c:v>
                </c:pt>
                <c:pt idx="417" formatCode="0%">
                  <c:v>0.15342362710190721</c:v>
                </c:pt>
                <c:pt idx="418" formatCode="0%">
                  <c:v>0.12428426731308689</c:v>
                </c:pt>
                <c:pt idx="419" formatCode="0%">
                  <c:v>0.21665493530980143</c:v>
                </c:pt>
                <c:pt idx="420" formatCode="0%">
                  <c:v>9.5720083621480184E-2</c:v>
                </c:pt>
                <c:pt idx="421" formatCode="0%">
                  <c:v>0.13814510232456245</c:v>
                </c:pt>
                <c:pt idx="422" formatCode="0%">
                  <c:v>0.20878358125845056</c:v>
                </c:pt>
                <c:pt idx="423" formatCode="0%">
                  <c:v>0.13792956726698943</c:v>
                </c:pt>
                <c:pt idx="424" formatCode="0%">
                  <c:v>9.1520284154211179E-2</c:v>
                </c:pt>
                <c:pt idx="425" formatCode="0%">
                  <c:v>0.17239527582571393</c:v>
                </c:pt>
                <c:pt idx="426" formatCode="0%">
                  <c:v>0.15543446515998161</c:v>
                </c:pt>
                <c:pt idx="427" formatCode="0%">
                  <c:v>0.12629510537116131</c:v>
                </c:pt>
                <c:pt idx="428" formatCode="0%">
                  <c:v>0.21866577336787585</c:v>
                </c:pt>
                <c:pt idx="429" formatCode="0%">
                  <c:v>9.7730921679554605E-2</c:v>
                </c:pt>
                <c:pt idx="430" formatCode="0%">
                  <c:v>0.14015594038263687</c:v>
                </c:pt>
                <c:pt idx="431" formatCode="0%">
                  <c:v>0.21079441931652498</c:v>
                </c:pt>
                <c:pt idx="432" formatCode="0%">
                  <c:v>0.13994040532506385</c:v>
                </c:pt>
                <c:pt idx="433" formatCode="0%">
                  <c:v>9.35311222122856E-2</c:v>
                </c:pt>
                <c:pt idx="434" formatCode="0%">
                  <c:v>0.17440611388378835</c:v>
                </c:pt>
                <c:pt idx="435" formatCode="0%">
                  <c:v>0.15744530321805603</c:v>
                </c:pt>
                <c:pt idx="436" formatCode="0%">
                  <c:v>0.12830594342923574</c:v>
                </c:pt>
                <c:pt idx="437" formatCode="0%">
                  <c:v>0.22067661142595027</c:v>
                </c:pt>
                <c:pt idx="438" formatCode="0%">
                  <c:v>9.9741759737629027E-2</c:v>
                </c:pt>
                <c:pt idx="439" formatCode="0%">
                  <c:v>0.14216677844071129</c:v>
                </c:pt>
                <c:pt idx="440" formatCode="0%">
                  <c:v>0.21280525737459938</c:v>
                </c:pt>
                <c:pt idx="441" formatCode="0%">
                  <c:v>0.14195124338313828</c:v>
                </c:pt>
                <c:pt idx="442" formatCode="0%">
                  <c:v>9.5541960270360021E-2</c:v>
                </c:pt>
                <c:pt idx="443" formatCode="0%">
                  <c:v>0.17641695194186277</c:v>
                </c:pt>
                <c:pt idx="444" formatCode="0%">
                  <c:v>0.15945614127613045</c:v>
                </c:pt>
                <c:pt idx="445" formatCode="0%">
                  <c:v>0.13031678148731013</c:v>
                </c:pt>
                <c:pt idx="446" formatCode="0%">
                  <c:v>0.22268744948402469</c:v>
                </c:pt>
                <c:pt idx="447" formatCode="0%">
                  <c:v>0.10175259779570345</c:v>
                </c:pt>
                <c:pt idx="448" formatCode="0%">
                  <c:v>0.14417761649878572</c:v>
                </c:pt>
                <c:pt idx="449" formatCode="0%">
                  <c:v>0.2148160954326738</c:v>
                </c:pt>
                <c:pt idx="450" formatCode="0%">
                  <c:v>0.14396208144121267</c:v>
                </c:pt>
                <c:pt idx="451" formatCode="0%">
                  <c:v>9.7552798328434442E-2</c:v>
                </c:pt>
                <c:pt idx="452" formatCode="0%">
                  <c:v>0.17842778999993719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8D-42CB-BAD2-184256C90D4F}"/>
            </c:ext>
          </c:extLst>
        </c:ser>
        <c:ser>
          <c:idx val="2"/>
          <c:order val="2"/>
          <c:tx>
            <c:strRef>
              <c:f>'MV Forcast'!$D$1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'MV Forcast'!$A$2:$A$454</c:f>
              <c:numCache>
                <c:formatCode>d/m/yyyy</c:formatCode>
                <c:ptCount val="453"/>
                <c:pt idx="0">
                  <c:v>21554</c:v>
                </c:pt>
                <c:pt idx="1">
                  <c:v>21555</c:v>
                </c:pt>
                <c:pt idx="2">
                  <c:v>21556</c:v>
                </c:pt>
                <c:pt idx="3">
                  <c:v>21557</c:v>
                </c:pt>
                <c:pt idx="4">
                  <c:v>21558</c:v>
                </c:pt>
                <c:pt idx="5">
                  <c:v>21559</c:v>
                </c:pt>
                <c:pt idx="6">
                  <c:v>21560</c:v>
                </c:pt>
                <c:pt idx="7">
                  <c:v>21561</c:v>
                </c:pt>
                <c:pt idx="8">
                  <c:v>21562</c:v>
                </c:pt>
                <c:pt idx="9">
                  <c:v>21563</c:v>
                </c:pt>
                <c:pt idx="10">
                  <c:v>21564</c:v>
                </c:pt>
                <c:pt idx="11">
                  <c:v>21565</c:v>
                </c:pt>
                <c:pt idx="12">
                  <c:v>21566</c:v>
                </c:pt>
                <c:pt idx="13">
                  <c:v>21567</c:v>
                </c:pt>
                <c:pt idx="14">
                  <c:v>21568</c:v>
                </c:pt>
                <c:pt idx="15">
                  <c:v>21569</c:v>
                </c:pt>
                <c:pt idx="16">
                  <c:v>21570</c:v>
                </c:pt>
                <c:pt idx="17">
                  <c:v>21571</c:v>
                </c:pt>
                <c:pt idx="18">
                  <c:v>21572</c:v>
                </c:pt>
                <c:pt idx="19">
                  <c:v>21573</c:v>
                </c:pt>
                <c:pt idx="20">
                  <c:v>21574</c:v>
                </c:pt>
                <c:pt idx="21">
                  <c:v>21575</c:v>
                </c:pt>
                <c:pt idx="22">
                  <c:v>21576</c:v>
                </c:pt>
                <c:pt idx="23">
                  <c:v>21577</c:v>
                </c:pt>
                <c:pt idx="24">
                  <c:v>21578</c:v>
                </c:pt>
                <c:pt idx="25">
                  <c:v>21579</c:v>
                </c:pt>
                <c:pt idx="26">
                  <c:v>21580</c:v>
                </c:pt>
                <c:pt idx="27">
                  <c:v>21581</c:v>
                </c:pt>
                <c:pt idx="28">
                  <c:v>21582</c:v>
                </c:pt>
                <c:pt idx="29">
                  <c:v>21583</c:v>
                </c:pt>
                <c:pt idx="30">
                  <c:v>21584</c:v>
                </c:pt>
                <c:pt idx="31">
                  <c:v>21585</c:v>
                </c:pt>
                <c:pt idx="32">
                  <c:v>21586</c:v>
                </c:pt>
                <c:pt idx="33">
                  <c:v>21587</c:v>
                </c:pt>
                <c:pt idx="34">
                  <c:v>21588</c:v>
                </c:pt>
                <c:pt idx="35">
                  <c:v>21589</c:v>
                </c:pt>
                <c:pt idx="36">
                  <c:v>21590</c:v>
                </c:pt>
                <c:pt idx="37">
                  <c:v>21591</c:v>
                </c:pt>
                <c:pt idx="38">
                  <c:v>21592</c:v>
                </c:pt>
                <c:pt idx="39">
                  <c:v>21593</c:v>
                </c:pt>
                <c:pt idx="40">
                  <c:v>21594</c:v>
                </c:pt>
                <c:pt idx="41">
                  <c:v>21595</c:v>
                </c:pt>
                <c:pt idx="42">
                  <c:v>21596</c:v>
                </c:pt>
                <c:pt idx="43">
                  <c:v>21597</c:v>
                </c:pt>
                <c:pt idx="44">
                  <c:v>21598</c:v>
                </c:pt>
                <c:pt idx="45">
                  <c:v>21599</c:v>
                </c:pt>
                <c:pt idx="46">
                  <c:v>21600</c:v>
                </c:pt>
                <c:pt idx="47">
                  <c:v>21601</c:v>
                </c:pt>
                <c:pt idx="48">
                  <c:v>21602</c:v>
                </c:pt>
                <c:pt idx="49">
                  <c:v>21603</c:v>
                </c:pt>
                <c:pt idx="50">
                  <c:v>21604</c:v>
                </c:pt>
                <c:pt idx="51">
                  <c:v>21605</c:v>
                </c:pt>
                <c:pt idx="52">
                  <c:v>21606</c:v>
                </c:pt>
                <c:pt idx="53">
                  <c:v>21607</c:v>
                </c:pt>
                <c:pt idx="54">
                  <c:v>21608</c:v>
                </c:pt>
                <c:pt idx="55">
                  <c:v>21609</c:v>
                </c:pt>
                <c:pt idx="56">
                  <c:v>21610</c:v>
                </c:pt>
                <c:pt idx="57">
                  <c:v>21611</c:v>
                </c:pt>
                <c:pt idx="58">
                  <c:v>21612</c:v>
                </c:pt>
                <c:pt idx="59">
                  <c:v>21613</c:v>
                </c:pt>
                <c:pt idx="60">
                  <c:v>21614</c:v>
                </c:pt>
                <c:pt idx="61">
                  <c:v>21615</c:v>
                </c:pt>
                <c:pt idx="62">
                  <c:v>21616</c:v>
                </c:pt>
                <c:pt idx="63">
                  <c:v>21617</c:v>
                </c:pt>
                <c:pt idx="64">
                  <c:v>21618</c:v>
                </c:pt>
                <c:pt idx="65">
                  <c:v>21619</c:v>
                </c:pt>
                <c:pt idx="66">
                  <c:v>21620</c:v>
                </c:pt>
                <c:pt idx="67">
                  <c:v>21621</c:v>
                </c:pt>
                <c:pt idx="68">
                  <c:v>21622</c:v>
                </c:pt>
                <c:pt idx="69">
                  <c:v>21623</c:v>
                </c:pt>
                <c:pt idx="70">
                  <c:v>21624</c:v>
                </c:pt>
                <c:pt idx="71">
                  <c:v>21625</c:v>
                </c:pt>
                <c:pt idx="72">
                  <c:v>21626</c:v>
                </c:pt>
                <c:pt idx="73">
                  <c:v>21627</c:v>
                </c:pt>
                <c:pt idx="74">
                  <c:v>21628</c:v>
                </c:pt>
                <c:pt idx="75">
                  <c:v>21629</c:v>
                </c:pt>
                <c:pt idx="76">
                  <c:v>21630</c:v>
                </c:pt>
                <c:pt idx="77">
                  <c:v>21631</c:v>
                </c:pt>
                <c:pt idx="78">
                  <c:v>21632</c:v>
                </c:pt>
                <c:pt idx="79">
                  <c:v>21633</c:v>
                </c:pt>
                <c:pt idx="80">
                  <c:v>21634</c:v>
                </c:pt>
                <c:pt idx="81">
                  <c:v>21635</c:v>
                </c:pt>
                <c:pt idx="82">
                  <c:v>21636</c:v>
                </c:pt>
                <c:pt idx="83">
                  <c:v>21637</c:v>
                </c:pt>
                <c:pt idx="84">
                  <c:v>21638</c:v>
                </c:pt>
                <c:pt idx="85">
                  <c:v>21639</c:v>
                </c:pt>
                <c:pt idx="86">
                  <c:v>21640</c:v>
                </c:pt>
                <c:pt idx="87">
                  <c:v>21641</c:v>
                </c:pt>
                <c:pt idx="88">
                  <c:v>21642</c:v>
                </c:pt>
                <c:pt idx="89">
                  <c:v>21643</c:v>
                </c:pt>
                <c:pt idx="90">
                  <c:v>21644</c:v>
                </c:pt>
                <c:pt idx="91">
                  <c:v>21645</c:v>
                </c:pt>
                <c:pt idx="92">
                  <c:v>21646</c:v>
                </c:pt>
                <c:pt idx="93">
                  <c:v>21647</c:v>
                </c:pt>
                <c:pt idx="94">
                  <c:v>21648</c:v>
                </c:pt>
                <c:pt idx="95">
                  <c:v>21649</c:v>
                </c:pt>
                <c:pt idx="96">
                  <c:v>21650</c:v>
                </c:pt>
                <c:pt idx="97">
                  <c:v>21651</c:v>
                </c:pt>
                <c:pt idx="98">
                  <c:v>21652</c:v>
                </c:pt>
                <c:pt idx="99">
                  <c:v>21653</c:v>
                </c:pt>
                <c:pt idx="100">
                  <c:v>21654</c:v>
                </c:pt>
                <c:pt idx="101">
                  <c:v>21655</c:v>
                </c:pt>
                <c:pt idx="102">
                  <c:v>21656</c:v>
                </c:pt>
                <c:pt idx="103">
                  <c:v>21657</c:v>
                </c:pt>
                <c:pt idx="104">
                  <c:v>21658</c:v>
                </c:pt>
                <c:pt idx="105">
                  <c:v>21659</c:v>
                </c:pt>
                <c:pt idx="106">
                  <c:v>21660</c:v>
                </c:pt>
                <c:pt idx="107">
                  <c:v>21661</c:v>
                </c:pt>
                <c:pt idx="108">
                  <c:v>21662</c:v>
                </c:pt>
                <c:pt idx="109">
                  <c:v>21663</c:v>
                </c:pt>
                <c:pt idx="110">
                  <c:v>21664</c:v>
                </c:pt>
                <c:pt idx="111">
                  <c:v>21665</c:v>
                </c:pt>
                <c:pt idx="112">
                  <c:v>21666</c:v>
                </c:pt>
                <c:pt idx="113">
                  <c:v>21667</c:v>
                </c:pt>
                <c:pt idx="114">
                  <c:v>21668</c:v>
                </c:pt>
                <c:pt idx="115">
                  <c:v>21669</c:v>
                </c:pt>
                <c:pt idx="116">
                  <c:v>21670</c:v>
                </c:pt>
                <c:pt idx="117">
                  <c:v>21671</c:v>
                </c:pt>
                <c:pt idx="118">
                  <c:v>21672</c:v>
                </c:pt>
                <c:pt idx="119">
                  <c:v>21673</c:v>
                </c:pt>
                <c:pt idx="120">
                  <c:v>21674</c:v>
                </c:pt>
                <c:pt idx="121">
                  <c:v>21675</c:v>
                </c:pt>
                <c:pt idx="122">
                  <c:v>21676</c:v>
                </c:pt>
                <c:pt idx="123">
                  <c:v>21677</c:v>
                </c:pt>
                <c:pt idx="124">
                  <c:v>21678</c:v>
                </c:pt>
                <c:pt idx="125">
                  <c:v>21679</c:v>
                </c:pt>
                <c:pt idx="126">
                  <c:v>21680</c:v>
                </c:pt>
                <c:pt idx="127">
                  <c:v>21681</c:v>
                </c:pt>
                <c:pt idx="128">
                  <c:v>21682</c:v>
                </c:pt>
                <c:pt idx="129">
                  <c:v>21683</c:v>
                </c:pt>
                <c:pt idx="130">
                  <c:v>21684</c:v>
                </c:pt>
                <c:pt idx="131">
                  <c:v>21685</c:v>
                </c:pt>
                <c:pt idx="132">
                  <c:v>21686</c:v>
                </c:pt>
                <c:pt idx="133">
                  <c:v>21687</c:v>
                </c:pt>
                <c:pt idx="134">
                  <c:v>21688</c:v>
                </c:pt>
                <c:pt idx="135">
                  <c:v>21689</c:v>
                </c:pt>
                <c:pt idx="136">
                  <c:v>21690</c:v>
                </c:pt>
                <c:pt idx="137">
                  <c:v>21691</c:v>
                </c:pt>
                <c:pt idx="138">
                  <c:v>21692</c:v>
                </c:pt>
                <c:pt idx="139">
                  <c:v>21693</c:v>
                </c:pt>
                <c:pt idx="140">
                  <c:v>21694</c:v>
                </c:pt>
                <c:pt idx="141">
                  <c:v>21695</c:v>
                </c:pt>
                <c:pt idx="142">
                  <c:v>21696</c:v>
                </c:pt>
                <c:pt idx="143">
                  <c:v>21697</c:v>
                </c:pt>
                <c:pt idx="144">
                  <c:v>21698</c:v>
                </c:pt>
                <c:pt idx="145">
                  <c:v>21699</c:v>
                </c:pt>
                <c:pt idx="146">
                  <c:v>21700</c:v>
                </c:pt>
                <c:pt idx="147">
                  <c:v>21701</c:v>
                </c:pt>
                <c:pt idx="148">
                  <c:v>21702</c:v>
                </c:pt>
                <c:pt idx="149">
                  <c:v>21703</c:v>
                </c:pt>
                <c:pt idx="150">
                  <c:v>21704</c:v>
                </c:pt>
                <c:pt idx="151">
                  <c:v>21705</c:v>
                </c:pt>
                <c:pt idx="152">
                  <c:v>21706</c:v>
                </c:pt>
                <c:pt idx="153">
                  <c:v>21707</c:v>
                </c:pt>
                <c:pt idx="154">
                  <c:v>21708</c:v>
                </c:pt>
                <c:pt idx="155">
                  <c:v>21709</c:v>
                </c:pt>
                <c:pt idx="156">
                  <c:v>21710</c:v>
                </c:pt>
                <c:pt idx="157">
                  <c:v>21711</c:v>
                </c:pt>
                <c:pt idx="158">
                  <c:v>21712</c:v>
                </c:pt>
                <c:pt idx="159">
                  <c:v>21713</c:v>
                </c:pt>
                <c:pt idx="160">
                  <c:v>21714</c:v>
                </c:pt>
                <c:pt idx="161">
                  <c:v>21715</c:v>
                </c:pt>
                <c:pt idx="162">
                  <c:v>21716</c:v>
                </c:pt>
                <c:pt idx="163">
                  <c:v>21717</c:v>
                </c:pt>
                <c:pt idx="164">
                  <c:v>21718</c:v>
                </c:pt>
                <c:pt idx="165">
                  <c:v>21719</c:v>
                </c:pt>
                <c:pt idx="166">
                  <c:v>21720</c:v>
                </c:pt>
                <c:pt idx="167">
                  <c:v>21721</c:v>
                </c:pt>
                <c:pt idx="168">
                  <c:v>21722</c:v>
                </c:pt>
                <c:pt idx="169">
                  <c:v>21723</c:v>
                </c:pt>
                <c:pt idx="170">
                  <c:v>21724</c:v>
                </c:pt>
                <c:pt idx="171">
                  <c:v>21725</c:v>
                </c:pt>
                <c:pt idx="172">
                  <c:v>21726</c:v>
                </c:pt>
                <c:pt idx="173">
                  <c:v>21727</c:v>
                </c:pt>
                <c:pt idx="174">
                  <c:v>21728</c:v>
                </c:pt>
                <c:pt idx="175">
                  <c:v>21729</c:v>
                </c:pt>
                <c:pt idx="176">
                  <c:v>21730</c:v>
                </c:pt>
                <c:pt idx="177">
                  <c:v>21731</c:v>
                </c:pt>
                <c:pt idx="178">
                  <c:v>21732</c:v>
                </c:pt>
                <c:pt idx="179">
                  <c:v>21733</c:v>
                </c:pt>
                <c:pt idx="180">
                  <c:v>21734</c:v>
                </c:pt>
                <c:pt idx="181">
                  <c:v>21735</c:v>
                </c:pt>
                <c:pt idx="182">
                  <c:v>21736</c:v>
                </c:pt>
                <c:pt idx="183">
                  <c:v>21737</c:v>
                </c:pt>
                <c:pt idx="184">
                  <c:v>21738</c:v>
                </c:pt>
                <c:pt idx="185">
                  <c:v>21739</c:v>
                </c:pt>
                <c:pt idx="186">
                  <c:v>21740</c:v>
                </c:pt>
                <c:pt idx="187">
                  <c:v>21741</c:v>
                </c:pt>
                <c:pt idx="188">
                  <c:v>21742</c:v>
                </c:pt>
                <c:pt idx="189">
                  <c:v>21743</c:v>
                </c:pt>
                <c:pt idx="190">
                  <c:v>21744</c:v>
                </c:pt>
                <c:pt idx="191">
                  <c:v>21745</c:v>
                </c:pt>
                <c:pt idx="192">
                  <c:v>21746</c:v>
                </c:pt>
                <c:pt idx="193">
                  <c:v>21747</c:v>
                </c:pt>
                <c:pt idx="194">
                  <c:v>21748</c:v>
                </c:pt>
                <c:pt idx="195">
                  <c:v>21749</c:v>
                </c:pt>
                <c:pt idx="196">
                  <c:v>21750</c:v>
                </c:pt>
                <c:pt idx="197">
                  <c:v>21751</c:v>
                </c:pt>
                <c:pt idx="198">
                  <c:v>21752</c:v>
                </c:pt>
                <c:pt idx="199">
                  <c:v>21753</c:v>
                </c:pt>
                <c:pt idx="200">
                  <c:v>21754</c:v>
                </c:pt>
                <c:pt idx="201">
                  <c:v>21755</c:v>
                </c:pt>
                <c:pt idx="202">
                  <c:v>21756</c:v>
                </c:pt>
                <c:pt idx="203">
                  <c:v>21757</c:v>
                </c:pt>
                <c:pt idx="204">
                  <c:v>21758</c:v>
                </c:pt>
                <c:pt idx="205">
                  <c:v>21759</c:v>
                </c:pt>
                <c:pt idx="206">
                  <c:v>21760</c:v>
                </c:pt>
                <c:pt idx="207">
                  <c:v>21761</c:v>
                </c:pt>
                <c:pt idx="208">
                  <c:v>21762</c:v>
                </c:pt>
                <c:pt idx="209">
                  <c:v>21763</c:v>
                </c:pt>
                <c:pt idx="210">
                  <c:v>21764</c:v>
                </c:pt>
                <c:pt idx="211">
                  <c:v>21765</c:v>
                </c:pt>
                <c:pt idx="212">
                  <c:v>21766</c:v>
                </c:pt>
                <c:pt idx="213">
                  <c:v>21767</c:v>
                </c:pt>
                <c:pt idx="214">
                  <c:v>21768</c:v>
                </c:pt>
                <c:pt idx="215">
                  <c:v>21769</c:v>
                </c:pt>
                <c:pt idx="216">
                  <c:v>21770</c:v>
                </c:pt>
                <c:pt idx="217">
                  <c:v>21771</c:v>
                </c:pt>
                <c:pt idx="218">
                  <c:v>21772</c:v>
                </c:pt>
                <c:pt idx="219">
                  <c:v>21773</c:v>
                </c:pt>
                <c:pt idx="220">
                  <c:v>21774</c:v>
                </c:pt>
                <c:pt idx="221">
                  <c:v>21775</c:v>
                </c:pt>
                <c:pt idx="222">
                  <c:v>21776</c:v>
                </c:pt>
                <c:pt idx="223">
                  <c:v>21777</c:v>
                </c:pt>
                <c:pt idx="224">
                  <c:v>21778</c:v>
                </c:pt>
                <c:pt idx="225">
                  <c:v>21779</c:v>
                </c:pt>
                <c:pt idx="226">
                  <c:v>21780</c:v>
                </c:pt>
                <c:pt idx="227">
                  <c:v>21781</c:v>
                </c:pt>
                <c:pt idx="228">
                  <c:v>21782</c:v>
                </c:pt>
                <c:pt idx="229">
                  <c:v>21783</c:v>
                </c:pt>
                <c:pt idx="230">
                  <c:v>21784</c:v>
                </c:pt>
                <c:pt idx="231">
                  <c:v>21785</c:v>
                </c:pt>
                <c:pt idx="232">
                  <c:v>21786</c:v>
                </c:pt>
                <c:pt idx="233">
                  <c:v>21787</c:v>
                </c:pt>
                <c:pt idx="234">
                  <c:v>21788</c:v>
                </c:pt>
                <c:pt idx="235">
                  <c:v>21789</c:v>
                </c:pt>
                <c:pt idx="236">
                  <c:v>21790</c:v>
                </c:pt>
                <c:pt idx="237">
                  <c:v>21791</c:v>
                </c:pt>
                <c:pt idx="238">
                  <c:v>21792</c:v>
                </c:pt>
                <c:pt idx="239">
                  <c:v>21793</c:v>
                </c:pt>
                <c:pt idx="240">
                  <c:v>21794</c:v>
                </c:pt>
                <c:pt idx="241">
                  <c:v>21795</c:v>
                </c:pt>
                <c:pt idx="242">
                  <c:v>21796</c:v>
                </c:pt>
                <c:pt idx="243">
                  <c:v>21797</c:v>
                </c:pt>
                <c:pt idx="244">
                  <c:v>21798</c:v>
                </c:pt>
                <c:pt idx="245">
                  <c:v>21799</c:v>
                </c:pt>
                <c:pt idx="246">
                  <c:v>21800</c:v>
                </c:pt>
                <c:pt idx="247">
                  <c:v>21801</c:v>
                </c:pt>
                <c:pt idx="248">
                  <c:v>21802</c:v>
                </c:pt>
                <c:pt idx="249">
                  <c:v>21803</c:v>
                </c:pt>
                <c:pt idx="250">
                  <c:v>21804</c:v>
                </c:pt>
                <c:pt idx="251">
                  <c:v>21805</c:v>
                </c:pt>
                <c:pt idx="252">
                  <c:v>21806</c:v>
                </c:pt>
                <c:pt idx="253">
                  <c:v>21807</c:v>
                </c:pt>
                <c:pt idx="254">
                  <c:v>21808</c:v>
                </c:pt>
                <c:pt idx="255">
                  <c:v>21809</c:v>
                </c:pt>
                <c:pt idx="256">
                  <c:v>21810</c:v>
                </c:pt>
                <c:pt idx="257">
                  <c:v>21811</c:v>
                </c:pt>
                <c:pt idx="258">
                  <c:v>21812</c:v>
                </c:pt>
                <c:pt idx="259">
                  <c:v>21813</c:v>
                </c:pt>
                <c:pt idx="260">
                  <c:v>21814</c:v>
                </c:pt>
                <c:pt idx="261">
                  <c:v>21815</c:v>
                </c:pt>
                <c:pt idx="262">
                  <c:v>21816</c:v>
                </c:pt>
                <c:pt idx="263">
                  <c:v>21817</c:v>
                </c:pt>
                <c:pt idx="264">
                  <c:v>21818</c:v>
                </c:pt>
                <c:pt idx="265">
                  <c:v>21819</c:v>
                </c:pt>
                <c:pt idx="266">
                  <c:v>21820</c:v>
                </c:pt>
                <c:pt idx="267">
                  <c:v>21821</c:v>
                </c:pt>
                <c:pt idx="268">
                  <c:v>21822</c:v>
                </c:pt>
                <c:pt idx="269">
                  <c:v>21823</c:v>
                </c:pt>
                <c:pt idx="270">
                  <c:v>21824</c:v>
                </c:pt>
                <c:pt idx="271">
                  <c:v>21825</c:v>
                </c:pt>
                <c:pt idx="272">
                  <c:v>21826</c:v>
                </c:pt>
                <c:pt idx="273">
                  <c:v>21827</c:v>
                </c:pt>
                <c:pt idx="274">
                  <c:v>21828</c:v>
                </c:pt>
                <c:pt idx="275">
                  <c:v>21829</c:v>
                </c:pt>
                <c:pt idx="276">
                  <c:v>21830</c:v>
                </c:pt>
                <c:pt idx="277">
                  <c:v>21831</c:v>
                </c:pt>
                <c:pt idx="278">
                  <c:v>21832</c:v>
                </c:pt>
                <c:pt idx="279">
                  <c:v>21833</c:v>
                </c:pt>
                <c:pt idx="280">
                  <c:v>21834</c:v>
                </c:pt>
                <c:pt idx="281">
                  <c:v>21835</c:v>
                </c:pt>
                <c:pt idx="282">
                  <c:v>21836</c:v>
                </c:pt>
                <c:pt idx="283">
                  <c:v>21837</c:v>
                </c:pt>
                <c:pt idx="284">
                  <c:v>21838</c:v>
                </c:pt>
                <c:pt idx="285">
                  <c:v>21839</c:v>
                </c:pt>
                <c:pt idx="286">
                  <c:v>21840</c:v>
                </c:pt>
                <c:pt idx="287">
                  <c:v>21841</c:v>
                </c:pt>
                <c:pt idx="288">
                  <c:v>21842</c:v>
                </c:pt>
                <c:pt idx="289">
                  <c:v>21843</c:v>
                </c:pt>
                <c:pt idx="290">
                  <c:v>21844</c:v>
                </c:pt>
                <c:pt idx="291">
                  <c:v>21845</c:v>
                </c:pt>
                <c:pt idx="292">
                  <c:v>21846</c:v>
                </c:pt>
                <c:pt idx="293">
                  <c:v>21847</c:v>
                </c:pt>
                <c:pt idx="294">
                  <c:v>21848</c:v>
                </c:pt>
                <c:pt idx="295">
                  <c:v>21849</c:v>
                </c:pt>
                <c:pt idx="296">
                  <c:v>21850</c:v>
                </c:pt>
                <c:pt idx="297">
                  <c:v>21851</c:v>
                </c:pt>
                <c:pt idx="298">
                  <c:v>21852</c:v>
                </c:pt>
                <c:pt idx="299">
                  <c:v>21853</c:v>
                </c:pt>
                <c:pt idx="300">
                  <c:v>21854</c:v>
                </c:pt>
                <c:pt idx="301">
                  <c:v>21855</c:v>
                </c:pt>
                <c:pt idx="302">
                  <c:v>21856</c:v>
                </c:pt>
                <c:pt idx="303">
                  <c:v>21857</c:v>
                </c:pt>
                <c:pt idx="304">
                  <c:v>21858</c:v>
                </c:pt>
                <c:pt idx="305">
                  <c:v>21859</c:v>
                </c:pt>
                <c:pt idx="306">
                  <c:v>21860</c:v>
                </c:pt>
                <c:pt idx="307">
                  <c:v>21861</c:v>
                </c:pt>
                <c:pt idx="308">
                  <c:v>21862</c:v>
                </c:pt>
                <c:pt idx="309">
                  <c:v>21863</c:v>
                </c:pt>
                <c:pt idx="310">
                  <c:v>21864</c:v>
                </c:pt>
                <c:pt idx="311">
                  <c:v>21865</c:v>
                </c:pt>
                <c:pt idx="312">
                  <c:v>21866</c:v>
                </c:pt>
                <c:pt idx="313">
                  <c:v>21867</c:v>
                </c:pt>
                <c:pt idx="314">
                  <c:v>21868</c:v>
                </c:pt>
                <c:pt idx="315">
                  <c:v>21869</c:v>
                </c:pt>
                <c:pt idx="316">
                  <c:v>21870</c:v>
                </c:pt>
                <c:pt idx="317">
                  <c:v>21871</c:v>
                </c:pt>
                <c:pt idx="318">
                  <c:v>21872</c:v>
                </c:pt>
                <c:pt idx="319">
                  <c:v>21873</c:v>
                </c:pt>
                <c:pt idx="320">
                  <c:v>21874</c:v>
                </c:pt>
                <c:pt idx="321">
                  <c:v>21875</c:v>
                </c:pt>
                <c:pt idx="322">
                  <c:v>21876</c:v>
                </c:pt>
                <c:pt idx="323">
                  <c:v>21877</c:v>
                </c:pt>
                <c:pt idx="324">
                  <c:v>21878</c:v>
                </c:pt>
                <c:pt idx="325">
                  <c:v>21879</c:v>
                </c:pt>
                <c:pt idx="326">
                  <c:v>21880</c:v>
                </c:pt>
                <c:pt idx="327">
                  <c:v>21881</c:v>
                </c:pt>
                <c:pt idx="328">
                  <c:v>21882</c:v>
                </c:pt>
                <c:pt idx="329">
                  <c:v>21883</c:v>
                </c:pt>
                <c:pt idx="330">
                  <c:v>21884</c:v>
                </c:pt>
                <c:pt idx="331">
                  <c:v>21885</c:v>
                </c:pt>
                <c:pt idx="332">
                  <c:v>21886</c:v>
                </c:pt>
                <c:pt idx="333">
                  <c:v>21887</c:v>
                </c:pt>
                <c:pt idx="334">
                  <c:v>21888</c:v>
                </c:pt>
                <c:pt idx="335">
                  <c:v>21889</c:v>
                </c:pt>
                <c:pt idx="336">
                  <c:v>21890</c:v>
                </c:pt>
                <c:pt idx="337">
                  <c:v>21891</c:v>
                </c:pt>
                <c:pt idx="338">
                  <c:v>21892</c:v>
                </c:pt>
                <c:pt idx="339">
                  <c:v>21893</c:v>
                </c:pt>
                <c:pt idx="340">
                  <c:v>21894</c:v>
                </c:pt>
                <c:pt idx="341">
                  <c:v>21895</c:v>
                </c:pt>
                <c:pt idx="342">
                  <c:v>21896</c:v>
                </c:pt>
                <c:pt idx="343">
                  <c:v>21897</c:v>
                </c:pt>
                <c:pt idx="344">
                  <c:v>21898</c:v>
                </c:pt>
                <c:pt idx="345">
                  <c:v>21899</c:v>
                </c:pt>
                <c:pt idx="346">
                  <c:v>21900</c:v>
                </c:pt>
                <c:pt idx="347">
                  <c:v>21901</c:v>
                </c:pt>
                <c:pt idx="348">
                  <c:v>21902</c:v>
                </c:pt>
                <c:pt idx="349">
                  <c:v>21903</c:v>
                </c:pt>
                <c:pt idx="350">
                  <c:v>21904</c:v>
                </c:pt>
                <c:pt idx="351">
                  <c:v>21905</c:v>
                </c:pt>
                <c:pt idx="352">
                  <c:v>21906</c:v>
                </c:pt>
                <c:pt idx="353">
                  <c:v>21907</c:v>
                </c:pt>
                <c:pt idx="354">
                  <c:v>21908</c:v>
                </c:pt>
                <c:pt idx="355">
                  <c:v>21909</c:v>
                </c:pt>
                <c:pt idx="356">
                  <c:v>21910</c:v>
                </c:pt>
                <c:pt idx="357">
                  <c:v>21911</c:v>
                </c:pt>
                <c:pt idx="358">
                  <c:v>21912</c:v>
                </c:pt>
                <c:pt idx="359">
                  <c:v>21913</c:v>
                </c:pt>
                <c:pt idx="360">
                  <c:v>21914</c:v>
                </c:pt>
                <c:pt idx="361">
                  <c:v>21915</c:v>
                </c:pt>
                <c:pt idx="362">
                  <c:v>21916</c:v>
                </c:pt>
                <c:pt idx="363">
                  <c:v>21917</c:v>
                </c:pt>
                <c:pt idx="364">
                  <c:v>21918</c:v>
                </c:pt>
                <c:pt idx="365">
                  <c:v>21919</c:v>
                </c:pt>
                <c:pt idx="366">
                  <c:v>21920</c:v>
                </c:pt>
                <c:pt idx="367">
                  <c:v>21921</c:v>
                </c:pt>
                <c:pt idx="368">
                  <c:v>21922</c:v>
                </c:pt>
                <c:pt idx="369">
                  <c:v>21923</c:v>
                </c:pt>
                <c:pt idx="370">
                  <c:v>21924</c:v>
                </c:pt>
                <c:pt idx="371">
                  <c:v>21925</c:v>
                </c:pt>
                <c:pt idx="372">
                  <c:v>21926</c:v>
                </c:pt>
                <c:pt idx="373">
                  <c:v>21927</c:v>
                </c:pt>
                <c:pt idx="374">
                  <c:v>21928</c:v>
                </c:pt>
                <c:pt idx="375">
                  <c:v>21929</c:v>
                </c:pt>
                <c:pt idx="376">
                  <c:v>21930</c:v>
                </c:pt>
                <c:pt idx="377">
                  <c:v>21931</c:v>
                </c:pt>
                <c:pt idx="378">
                  <c:v>21932</c:v>
                </c:pt>
                <c:pt idx="379">
                  <c:v>21933</c:v>
                </c:pt>
                <c:pt idx="380">
                  <c:v>21934</c:v>
                </c:pt>
                <c:pt idx="381">
                  <c:v>21935</c:v>
                </c:pt>
                <c:pt idx="382">
                  <c:v>21936</c:v>
                </c:pt>
                <c:pt idx="383">
                  <c:v>21937</c:v>
                </c:pt>
                <c:pt idx="384">
                  <c:v>21938</c:v>
                </c:pt>
                <c:pt idx="385">
                  <c:v>21939</c:v>
                </c:pt>
                <c:pt idx="386">
                  <c:v>21940</c:v>
                </c:pt>
                <c:pt idx="387">
                  <c:v>21941</c:v>
                </c:pt>
                <c:pt idx="388">
                  <c:v>21942</c:v>
                </c:pt>
                <c:pt idx="389">
                  <c:v>21943</c:v>
                </c:pt>
                <c:pt idx="390">
                  <c:v>21944</c:v>
                </c:pt>
                <c:pt idx="391">
                  <c:v>21945</c:v>
                </c:pt>
                <c:pt idx="392">
                  <c:v>21946</c:v>
                </c:pt>
                <c:pt idx="393">
                  <c:v>21947</c:v>
                </c:pt>
                <c:pt idx="394">
                  <c:v>21948</c:v>
                </c:pt>
                <c:pt idx="395">
                  <c:v>21949</c:v>
                </c:pt>
                <c:pt idx="396">
                  <c:v>21950</c:v>
                </c:pt>
                <c:pt idx="397">
                  <c:v>21951</c:v>
                </c:pt>
                <c:pt idx="398">
                  <c:v>21952</c:v>
                </c:pt>
                <c:pt idx="399">
                  <c:v>21953</c:v>
                </c:pt>
                <c:pt idx="400">
                  <c:v>21954</c:v>
                </c:pt>
                <c:pt idx="401">
                  <c:v>21955</c:v>
                </c:pt>
                <c:pt idx="402">
                  <c:v>21956</c:v>
                </c:pt>
                <c:pt idx="403">
                  <c:v>21957</c:v>
                </c:pt>
                <c:pt idx="404">
                  <c:v>21958</c:v>
                </c:pt>
                <c:pt idx="405">
                  <c:v>21959</c:v>
                </c:pt>
                <c:pt idx="406">
                  <c:v>21960</c:v>
                </c:pt>
                <c:pt idx="407">
                  <c:v>21961</c:v>
                </c:pt>
                <c:pt idx="408">
                  <c:v>21962</c:v>
                </c:pt>
                <c:pt idx="409">
                  <c:v>21963</c:v>
                </c:pt>
                <c:pt idx="410">
                  <c:v>21964</c:v>
                </c:pt>
                <c:pt idx="411">
                  <c:v>21965</c:v>
                </c:pt>
                <c:pt idx="412">
                  <c:v>21966</c:v>
                </c:pt>
                <c:pt idx="413">
                  <c:v>21967</c:v>
                </c:pt>
                <c:pt idx="414">
                  <c:v>21968</c:v>
                </c:pt>
                <c:pt idx="415">
                  <c:v>21969</c:v>
                </c:pt>
                <c:pt idx="416">
                  <c:v>21970</c:v>
                </c:pt>
                <c:pt idx="417">
                  <c:v>21971</c:v>
                </c:pt>
                <c:pt idx="418">
                  <c:v>21972</c:v>
                </c:pt>
                <c:pt idx="419">
                  <c:v>21973</c:v>
                </c:pt>
                <c:pt idx="420">
                  <c:v>21974</c:v>
                </c:pt>
                <c:pt idx="421">
                  <c:v>21975</c:v>
                </c:pt>
                <c:pt idx="422">
                  <c:v>21976</c:v>
                </c:pt>
                <c:pt idx="423">
                  <c:v>21977</c:v>
                </c:pt>
                <c:pt idx="424">
                  <c:v>21978</c:v>
                </c:pt>
                <c:pt idx="425">
                  <c:v>21979</c:v>
                </c:pt>
                <c:pt idx="426">
                  <c:v>21980</c:v>
                </c:pt>
                <c:pt idx="427">
                  <c:v>21981</c:v>
                </c:pt>
                <c:pt idx="428">
                  <c:v>21982</c:v>
                </c:pt>
                <c:pt idx="429">
                  <c:v>21983</c:v>
                </c:pt>
                <c:pt idx="430">
                  <c:v>21984</c:v>
                </c:pt>
                <c:pt idx="431">
                  <c:v>21985</c:v>
                </c:pt>
                <c:pt idx="432">
                  <c:v>21986</c:v>
                </c:pt>
                <c:pt idx="433">
                  <c:v>21987</c:v>
                </c:pt>
                <c:pt idx="434">
                  <c:v>21988</c:v>
                </c:pt>
                <c:pt idx="435">
                  <c:v>21989</c:v>
                </c:pt>
                <c:pt idx="436">
                  <c:v>21990</c:v>
                </c:pt>
                <c:pt idx="437">
                  <c:v>21991</c:v>
                </c:pt>
                <c:pt idx="438">
                  <c:v>21992</c:v>
                </c:pt>
                <c:pt idx="439">
                  <c:v>21993</c:v>
                </c:pt>
                <c:pt idx="440">
                  <c:v>21994</c:v>
                </c:pt>
                <c:pt idx="441">
                  <c:v>21995</c:v>
                </c:pt>
                <c:pt idx="442">
                  <c:v>21996</c:v>
                </c:pt>
                <c:pt idx="443">
                  <c:v>21997</c:v>
                </c:pt>
                <c:pt idx="444">
                  <c:v>21998</c:v>
                </c:pt>
                <c:pt idx="445">
                  <c:v>21999</c:v>
                </c:pt>
                <c:pt idx="446">
                  <c:v>22000</c:v>
                </c:pt>
                <c:pt idx="447">
                  <c:v>22001</c:v>
                </c:pt>
                <c:pt idx="448">
                  <c:v>22002</c:v>
                </c:pt>
                <c:pt idx="449">
                  <c:v>22003</c:v>
                </c:pt>
                <c:pt idx="450">
                  <c:v>22004</c:v>
                </c:pt>
                <c:pt idx="451">
                  <c:v>22005</c:v>
                </c:pt>
                <c:pt idx="452">
                  <c:v>22006</c:v>
                </c:pt>
              </c:numCache>
            </c:numRef>
          </c:cat>
          <c:val>
            <c:numRef>
              <c:f>'MV Forcast'!$D$2:$D$454</c:f>
              <c:numCache>
                <c:formatCode>General</c:formatCode>
                <c:ptCount val="453"/>
                <c:pt idx="361" formatCode="0%">
                  <c:v>3.3333333333333284E-2</c:v>
                </c:pt>
                <c:pt idx="362" formatCode="0%">
                  <c:v>-0.10814756539922757</c:v>
                </c:pt>
                <c:pt idx="363" formatCode="0%">
                  <c:v>-0.13343901382341272</c:v>
                </c:pt>
                <c:pt idx="364" formatCode="0%">
                  <c:v>-0.17072715955387016</c:v>
                </c:pt>
                <c:pt idx="365" formatCode="0%">
                  <c:v>-8.6338950919944479E-2</c:v>
                </c:pt>
                <c:pt idx="366" formatCode="0%">
                  <c:v>-0.21510350548767709</c:v>
                </c:pt>
                <c:pt idx="367" formatCode="0%">
                  <c:v>-0.1803673738562572</c:v>
                </c:pt>
                <c:pt idx="368" formatCode="0%">
                  <c:v>-0.11728753671710171</c:v>
                </c:pt>
                <c:pt idx="369" formatCode="0%">
                  <c:v>-0.19557935627453943</c:v>
                </c:pt>
                <c:pt idx="370" formatCode="0%">
                  <c:v>-0.2493140259014206</c:v>
                </c:pt>
                <c:pt idx="371" formatCode="0%">
                  <c:v>-0.19541903180947184</c:v>
                </c:pt>
                <c:pt idx="372" formatCode="0%">
                  <c:v>-0.21911429714766931</c:v>
                </c:pt>
                <c:pt idx="373" formatCode="0%">
                  <c:v>-0.25491555885590955</c:v>
                </c:pt>
                <c:pt idx="374" formatCode="0%">
                  <c:v>-0.16913828812992512</c:v>
                </c:pt>
                <c:pt idx="375" formatCode="0%">
                  <c:v>-0.29660176293297869</c:v>
                </c:pt>
                <c:pt idx="376" formatCode="0%">
                  <c:v>-0.26064403941526471</c:v>
                </c:pt>
                <c:pt idx="377" formatCode="0%">
                  <c:v>-0.19641471869272054</c:v>
                </c:pt>
                <c:pt idx="378" formatCode="0%">
                  <c:v>-0.27362271492243684</c:v>
                </c:pt>
                <c:pt idx="379" formatCode="0%">
                  <c:v>-0.32633355753936533</c:v>
                </c:pt>
                <c:pt idx="380" formatCode="0%">
                  <c:v>-0.26827061757393678</c:v>
                </c:pt>
                <c:pt idx="381" formatCode="0%">
                  <c:v>-0.29120039092153027</c:v>
                </c:pt>
                <c:pt idx="382" formatCode="0%">
                  <c:v>-0.32627160468054606</c:v>
                </c:pt>
                <c:pt idx="383" formatCode="0%">
                  <c:v>-0.23979731299018642</c:v>
                </c:pt>
                <c:pt idx="384" formatCode="0%">
                  <c:v>-0.36659460111297704</c:v>
                </c:pt>
                <c:pt idx="385" formatCode="0%">
                  <c:v>-0.32999953064574028</c:v>
                </c:pt>
                <c:pt idx="386" formatCode="0%">
                  <c:v>-0.26515988375805399</c:v>
                </c:pt>
                <c:pt idx="387" formatCode="0%">
                  <c:v>-0.34178291180035703</c:v>
                </c:pt>
                <c:pt idx="388" formatCode="0%">
                  <c:v>-0.39393262066061691</c:v>
                </c:pt>
                <c:pt idx="389" formatCode="0%">
                  <c:v>-0.33335767132269256</c:v>
                </c:pt>
                <c:pt idx="390" formatCode="0%">
                  <c:v>-0.35584035839400463</c:v>
                </c:pt>
                <c:pt idx="391" formatCode="0%">
                  <c:v>-0.39048066983438434</c:v>
                </c:pt>
                <c:pt idx="392" formatCode="0%">
                  <c:v>-0.3035908383665229</c:v>
                </c:pt>
                <c:pt idx="393" formatCode="0%">
                  <c:v>-0.42998718453692431</c:v>
                </c:pt>
                <c:pt idx="394" formatCode="0%">
                  <c:v>-0.39300505698812049</c:v>
                </c:pt>
                <c:pt idx="395" formatCode="0%">
                  <c:v>-0.32779157227551226</c:v>
                </c:pt>
                <c:pt idx="396" formatCode="0%">
                  <c:v>-0.4040533595079972</c:v>
                </c:pt>
                <c:pt idx="397" formatCode="0%">
                  <c:v>-0.45585384213702657</c:v>
                </c:pt>
                <c:pt idx="398" formatCode="0%">
                  <c:v>-0.39357141353470448</c:v>
                </c:pt>
                <c:pt idx="399" formatCode="0%">
                  <c:v>-0.41576677613972246</c:v>
                </c:pt>
                <c:pt idx="400" formatCode="0%">
                  <c:v>-0.4501285635224439</c:v>
                </c:pt>
                <c:pt idx="401" formatCode="0%">
                  <c:v>-0.36296865214365592</c:v>
                </c:pt>
                <c:pt idx="402" formatCode="0%">
                  <c:v>-0.48910302585127841</c:v>
                </c:pt>
                <c:pt idx="403" formatCode="0%">
                  <c:v>-0.45186671479499574</c:v>
                </c:pt>
                <c:pt idx="404" formatCode="0%">
                  <c:v>-0.38640653399900626</c:v>
                </c:pt>
                <c:pt idx="405" formatCode="0%">
                  <c:v>-0.46242882686098352</c:v>
                </c:pt>
                <c:pt idx="406" formatCode="0%">
                  <c:v>-0.51399674589206001</c:v>
                </c:pt>
                <c:pt idx="407" formatCode="0%">
                  <c:v>-0.45046748057041708</c:v>
                </c:pt>
                <c:pt idx="408" formatCode="0%">
                  <c:v>-0.47246823462696974</c:v>
                </c:pt>
                <c:pt idx="409" formatCode="0%">
                  <c:v>-0.50664073700054257</c:v>
                </c:pt>
                <c:pt idx="410" formatCode="0%">
                  <c:v>-0.41929668477177279</c:v>
                </c:pt>
                <c:pt idx="411" formatCode="0%">
                  <c:v>-0.54525189057303081</c:v>
                </c:pt>
                <c:pt idx="412" formatCode="0%">
                  <c:v>-0.50784122103308071</c:v>
                </c:pt>
                <c:pt idx="413" formatCode="0%">
                  <c:v>-0.44221133491249381</c:v>
                </c:pt>
                <c:pt idx="414" formatCode="0%">
                  <c:v>-0.51806842619526638</c:v>
                </c:pt>
                <c:pt idx="415" formatCode="0%">
                  <c:v>-0.56947550444904538</c:v>
                </c:pt>
                <c:pt idx="416" formatCode="0%">
                  <c:v>-0.50499128873670296</c:v>
                </c:pt>
                <c:pt idx="417" formatCode="0%">
                  <c:v>-0.52685643525037684</c:v>
                </c:pt>
                <c:pt idx="418" formatCode="0%">
                  <c:v>-0.5608967893182395</c:v>
                </c:pt>
                <c:pt idx="419" formatCode="0%">
                  <c:v>-0.4734239481214666</c:v>
                </c:pt>
                <c:pt idx="420" formatCode="0%">
                  <c:v>-0.59925362826789685</c:v>
                </c:pt>
                <c:pt idx="421" formatCode="0%">
                  <c:v>-0.56172060404658009</c:v>
                </c:pt>
                <c:pt idx="422" formatCode="0%">
                  <c:v>-0.49597144538434057</c:v>
                </c:pt>
                <c:pt idx="423" formatCode="0%">
                  <c:v>-0.57171226076903103</c:v>
                </c:pt>
                <c:pt idx="424" formatCode="0%">
                  <c:v>-0.62300597745115927</c:v>
                </c:pt>
                <c:pt idx="425" formatCode="0%">
                  <c:v>-0.55776503071437922</c:v>
                </c:pt>
                <c:pt idx="426" formatCode="0%">
                  <c:v>-0.57953458827757121</c:v>
                </c:pt>
                <c:pt idx="427" formatCode="0%">
                  <c:v>-0.61348171888624414</c:v>
                </c:pt>
                <c:pt idx="428" formatCode="0%">
                  <c:v>-0.52591795990089452</c:v>
                </c:pt>
                <c:pt idx="429" formatCode="0%">
                  <c:v>-0.65165897012607354</c:v>
                </c:pt>
                <c:pt idx="430" formatCode="0%">
                  <c:v>-0.61403946797891307</c:v>
                </c:pt>
                <c:pt idx="431" formatCode="0%">
                  <c:v>-0.54820596936409915</c:v>
                </c:pt>
                <c:pt idx="432" formatCode="0%">
                  <c:v>-0.62386453051970325</c:v>
                </c:pt>
                <c:pt idx="433" formatCode="0%">
                  <c:v>-0.67507802814530216</c:v>
                </c:pt>
                <c:pt idx="434" formatCode="0%">
                  <c:v>-0.60922193009257286</c:v>
                </c:pt>
                <c:pt idx="435" formatCode="0%">
                  <c:v>-0.63092434060702329</c:v>
                </c:pt>
                <c:pt idx="436" formatCode="0%">
                  <c:v>-0.66480600410435975</c:v>
                </c:pt>
                <c:pt idx="437" formatCode="0%">
                  <c:v>-0.57717842011954723</c:v>
                </c:pt>
                <c:pt idx="438" formatCode="0%">
                  <c:v>-0.70285721075758767</c:v>
                </c:pt>
                <c:pt idx="439" formatCode="0%">
                  <c:v>-0.66517705881970568</c:v>
                </c:pt>
                <c:pt idx="440" formatCode="0%">
                  <c:v>-0.59928444563790828</c:v>
                </c:pt>
                <c:pt idx="441" formatCode="0%">
                  <c:v>-0.67488539388222335</c:v>
                </c:pt>
                <c:pt idx="442" formatCode="0%">
                  <c:v>-0.72604274765195465</c:v>
                </c:pt>
                <c:pt idx="443" formatCode="0%">
                  <c:v>-0.65967659001831347</c:v>
                </c:pt>
                <c:pt idx="444" formatCode="0%">
                  <c:v>-0.68133280096428495</c:v>
                </c:pt>
                <c:pt idx="445" formatCode="0%">
                  <c:v>-0.71516949278369313</c:v>
                </c:pt>
                <c:pt idx="446" formatCode="0%">
                  <c:v>-0.62749814006541449</c:v>
                </c:pt>
                <c:pt idx="447" formatCode="0%">
                  <c:v>-0.75313434063162421</c:v>
                </c:pt>
                <c:pt idx="448" formatCode="0%">
                  <c:v>-0.71541275364173984</c:v>
                </c:pt>
                <c:pt idx="449" formatCode="0%">
                  <c:v>-0.64947983740564119</c:v>
                </c:pt>
                <c:pt idx="450" formatCode="0%">
                  <c:v>-0.72504159217042952</c:v>
                </c:pt>
                <c:pt idx="451" formatCode="0%">
                  <c:v>-0.77616084019202047</c:v>
                </c:pt>
                <c:pt idx="452" formatCode="0%">
                  <c:v>-0.70936503314539978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8D-42CB-BAD2-184256C90D4F}"/>
            </c:ext>
          </c:extLst>
        </c:ser>
        <c:ser>
          <c:idx val="3"/>
          <c:order val="3"/>
          <c:tx>
            <c:strRef>
              <c:f>'MV Forcast'!$E$1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'MV Forcast'!$A$2:$A$454</c:f>
              <c:numCache>
                <c:formatCode>d/m/yyyy</c:formatCode>
                <c:ptCount val="453"/>
                <c:pt idx="0">
                  <c:v>21554</c:v>
                </c:pt>
                <c:pt idx="1">
                  <c:v>21555</c:v>
                </c:pt>
                <c:pt idx="2">
                  <c:v>21556</c:v>
                </c:pt>
                <c:pt idx="3">
                  <c:v>21557</c:v>
                </c:pt>
                <c:pt idx="4">
                  <c:v>21558</c:v>
                </c:pt>
                <c:pt idx="5">
                  <c:v>21559</c:v>
                </c:pt>
                <c:pt idx="6">
                  <c:v>21560</c:v>
                </c:pt>
                <c:pt idx="7">
                  <c:v>21561</c:v>
                </c:pt>
                <c:pt idx="8">
                  <c:v>21562</c:v>
                </c:pt>
                <c:pt idx="9">
                  <c:v>21563</c:v>
                </c:pt>
                <c:pt idx="10">
                  <c:v>21564</c:v>
                </c:pt>
                <c:pt idx="11">
                  <c:v>21565</c:v>
                </c:pt>
                <c:pt idx="12">
                  <c:v>21566</c:v>
                </c:pt>
                <c:pt idx="13">
                  <c:v>21567</c:v>
                </c:pt>
                <c:pt idx="14">
                  <c:v>21568</c:v>
                </c:pt>
                <c:pt idx="15">
                  <c:v>21569</c:v>
                </c:pt>
                <c:pt idx="16">
                  <c:v>21570</c:v>
                </c:pt>
                <c:pt idx="17">
                  <c:v>21571</c:v>
                </c:pt>
                <c:pt idx="18">
                  <c:v>21572</c:v>
                </c:pt>
                <c:pt idx="19">
                  <c:v>21573</c:v>
                </c:pt>
                <c:pt idx="20">
                  <c:v>21574</c:v>
                </c:pt>
                <c:pt idx="21">
                  <c:v>21575</c:v>
                </c:pt>
                <c:pt idx="22">
                  <c:v>21576</c:v>
                </c:pt>
                <c:pt idx="23">
                  <c:v>21577</c:v>
                </c:pt>
                <c:pt idx="24">
                  <c:v>21578</c:v>
                </c:pt>
                <c:pt idx="25">
                  <c:v>21579</c:v>
                </c:pt>
                <c:pt idx="26">
                  <c:v>21580</c:v>
                </c:pt>
                <c:pt idx="27">
                  <c:v>21581</c:v>
                </c:pt>
                <c:pt idx="28">
                  <c:v>21582</c:v>
                </c:pt>
                <c:pt idx="29">
                  <c:v>21583</c:v>
                </c:pt>
                <c:pt idx="30">
                  <c:v>21584</c:v>
                </c:pt>
                <c:pt idx="31">
                  <c:v>21585</c:v>
                </c:pt>
                <c:pt idx="32">
                  <c:v>21586</c:v>
                </c:pt>
                <c:pt idx="33">
                  <c:v>21587</c:v>
                </c:pt>
                <c:pt idx="34">
                  <c:v>21588</c:v>
                </c:pt>
                <c:pt idx="35">
                  <c:v>21589</c:v>
                </c:pt>
                <c:pt idx="36">
                  <c:v>21590</c:v>
                </c:pt>
                <c:pt idx="37">
                  <c:v>21591</c:v>
                </c:pt>
                <c:pt idx="38">
                  <c:v>21592</c:v>
                </c:pt>
                <c:pt idx="39">
                  <c:v>21593</c:v>
                </c:pt>
                <c:pt idx="40">
                  <c:v>21594</c:v>
                </c:pt>
                <c:pt idx="41">
                  <c:v>21595</c:v>
                </c:pt>
                <c:pt idx="42">
                  <c:v>21596</c:v>
                </c:pt>
                <c:pt idx="43">
                  <c:v>21597</c:v>
                </c:pt>
                <c:pt idx="44">
                  <c:v>21598</c:v>
                </c:pt>
                <c:pt idx="45">
                  <c:v>21599</c:v>
                </c:pt>
                <c:pt idx="46">
                  <c:v>21600</c:v>
                </c:pt>
                <c:pt idx="47">
                  <c:v>21601</c:v>
                </c:pt>
                <c:pt idx="48">
                  <c:v>21602</c:v>
                </c:pt>
                <c:pt idx="49">
                  <c:v>21603</c:v>
                </c:pt>
                <c:pt idx="50">
                  <c:v>21604</c:v>
                </c:pt>
                <c:pt idx="51">
                  <c:v>21605</c:v>
                </c:pt>
                <c:pt idx="52">
                  <c:v>21606</c:v>
                </c:pt>
                <c:pt idx="53">
                  <c:v>21607</c:v>
                </c:pt>
                <c:pt idx="54">
                  <c:v>21608</c:v>
                </c:pt>
                <c:pt idx="55">
                  <c:v>21609</c:v>
                </c:pt>
                <c:pt idx="56">
                  <c:v>21610</c:v>
                </c:pt>
                <c:pt idx="57">
                  <c:v>21611</c:v>
                </c:pt>
                <c:pt idx="58">
                  <c:v>21612</c:v>
                </c:pt>
                <c:pt idx="59">
                  <c:v>21613</c:v>
                </c:pt>
                <c:pt idx="60">
                  <c:v>21614</c:v>
                </c:pt>
                <c:pt idx="61">
                  <c:v>21615</c:v>
                </c:pt>
                <c:pt idx="62">
                  <c:v>21616</c:v>
                </c:pt>
                <c:pt idx="63">
                  <c:v>21617</c:v>
                </c:pt>
                <c:pt idx="64">
                  <c:v>21618</c:v>
                </c:pt>
                <c:pt idx="65">
                  <c:v>21619</c:v>
                </c:pt>
                <c:pt idx="66">
                  <c:v>21620</c:v>
                </c:pt>
                <c:pt idx="67">
                  <c:v>21621</c:v>
                </c:pt>
                <c:pt idx="68">
                  <c:v>21622</c:v>
                </c:pt>
                <c:pt idx="69">
                  <c:v>21623</c:v>
                </c:pt>
                <c:pt idx="70">
                  <c:v>21624</c:v>
                </c:pt>
                <c:pt idx="71">
                  <c:v>21625</c:v>
                </c:pt>
                <c:pt idx="72">
                  <c:v>21626</c:v>
                </c:pt>
                <c:pt idx="73">
                  <c:v>21627</c:v>
                </c:pt>
                <c:pt idx="74">
                  <c:v>21628</c:v>
                </c:pt>
                <c:pt idx="75">
                  <c:v>21629</c:v>
                </c:pt>
                <c:pt idx="76">
                  <c:v>21630</c:v>
                </c:pt>
                <c:pt idx="77">
                  <c:v>21631</c:v>
                </c:pt>
                <c:pt idx="78">
                  <c:v>21632</c:v>
                </c:pt>
                <c:pt idx="79">
                  <c:v>21633</c:v>
                </c:pt>
                <c:pt idx="80">
                  <c:v>21634</c:v>
                </c:pt>
                <c:pt idx="81">
                  <c:v>21635</c:v>
                </c:pt>
                <c:pt idx="82">
                  <c:v>21636</c:v>
                </c:pt>
                <c:pt idx="83">
                  <c:v>21637</c:v>
                </c:pt>
                <c:pt idx="84">
                  <c:v>21638</c:v>
                </c:pt>
                <c:pt idx="85">
                  <c:v>21639</c:v>
                </c:pt>
                <c:pt idx="86">
                  <c:v>21640</c:v>
                </c:pt>
                <c:pt idx="87">
                  <c:v>21641</c:v>
                </c:pt>
                <c:pt idx="88">
                  <c:v>21642</c:v>
                </c:pt>
                <c:pt idx="89">
                  <c:v>21643</c:v>
                </c:pt>
                <c:pt idx="90">
                  <c:v>21644</c:v>
                </c:pt>
                <c:pt idx="91">
                  <c:v>21645</c:v>
                </c:pt>
                <c:pt idx="92">
                  <c:v>21646</c:v>
                </c:pt>
                <c:pt idx="93">
                  <c:v>21647</c:v>
                </c:pt>
                <c:pt idx="94">
                  <c:v>21648</c:v>
                </c:pt>
                <c:pt idx="95">
                  <c:v>21649</c:v>
                </c:pt>
                <c:pt idx="96">
                  <c:v>21650</c:v>
                </c:pt>
                <c:pt idx="97">
                  <c:v>21651</c:v>
                </c:pt>
                <c:pt idx="98">
                  <c:v>21652</c:v>
                </c:pt>
                <c:pt idx="99">
                  <c:v>21653</c:v>
                </c:pt>
                <c:pt idx="100">
                  <c:v>21654</c:v>
                </c:pt>
                <c:pt idx="101">
                  <c:v>21655</c:v>
                </c:pt>
                <c:pt idx="102">
                  <c:v>21656</c:v>
                </c:pt>
                <c:pt idx="103">
                  <c:v>21657</c:v>
                </c:pt>
                <c:pt idx="104">
                  <c:v>21658</c:v>
                </c:pt>
                <c:pt idx="105">
                  <c:v>21659</c:v>
                </c:pt>
                <c:pt idx="106">
                  <c:v>21660</c:v>
                </c:pt>
                <c:pt idx="107">
                  <c:v>21661</c:v>
                </c:pt>
                <c:pt idx="108">
                  <c:v>21662</c:v>
                </c:pt>
                <c:pt idx="109">
                  <c:v>21663</c:v>
                </c:pt>
                <c:pt idx="110">
                  <c:v>21664</c:v>
                </c:pt>
                <c:pt idx="111">
                  <c:v>21665</c:v>
                </c:pt>
                <c:pt idx="112">
                  <c:v>21666</c:v>
                </c:pt>
                <c:pt idx="113">
                  <c:v>21667</c:v>
                </c:pt>
                <c:pt idx="114">
                  <c:v>21668</c:v>
                </c:pt>
                <c:pt idx="115">
                  <c:v>21669</c:v>
                </c:pt>
                <c:pt idx="116">
                  <c:v>21670</c:v>
                </c:pt>
                <c:pt idx="117">
                  <c:v>21671</c:v>
                </c:pt>
                <c:pt idx="118">
                  <c:v>21672</c:v>
                </c:pt>
                <c:pt idx="119">
                  <c:v>21673</c:v>
                </c:pt>
                <c:pt idx="120">
                  <c:v>21674</c:v>
                </c:pt>
                <c:pt idx="121">
                  <c:v>21675</c:v>
                </c:pt>
                <c:pt idx="122">
                  <c:v>21676</c:v>
                </c:pt>
                <c:pt idx="123">
                  <c:v>21677</c:v>
                </c:pt>
                <c:pt idx="124">
                  <c:v>21678</c:v>
                </c:pt>
                <c:pt idx="125">
                  <c:v>21679</c:v>
                </c:pt>
                <c:pt idx="126">
                  <c:v>21680</c:v>
                </c:pt>
                <c:pt idx="127">
                  <c:v>21681</c:v>
                </c:pt>
                <c:pt idx="128">
                  <c:v>21682</c:v>
                </c:pt>
                <c:pt idx="129">
                  <c:v>21683</c:v>
                </c:pt>
                <c:pt idx="130">
                  <c:v>21684</c:v>
                </c:pt>
                <c:pt idx="131">
                  <c:v>21685</c:v>
                </c:pt>
                <c:pt idx="132">
                  <c:v>21686</c:v>
                </c:pt>
                <c:pt idx="133">
                  <c:v>21687</c:v>
                </c:pt>
                <c:pt idx="134">
                  <c:v>21688</c:v>
                </c:pt>
                <c:pt idx="135">
                  <c:v>21689</c:v>
                </c:pt>
                <c:pt idx="136">
                  <c:v>21690</c:v>
                </c:pt>
                <c:pt idx="137">
                  <c:v>21691</c:v>
                </c:pt>
                <c:pt idx="138">
                  <c:v>21692</c:v>
                </c:pt>
                <c:pt idx="139">
                  <c:v>21693</c:v>
                </c:pt>
                <c:pt idx="140">
                  <c:v>21694</c:v>
                </c:pt>
                <c:pt idx="141">
                  <c:v>21695</c:v>
                </c:pt>
                <c:pt idx="142">
                  <c:v>21696</c:v>
                </c:pt>
                <c:pt idx="143">
                  <c:v>21697</c:v>
                </c:pt>
                <c:pt idx="144">
                  <c:v>21698</c:v>
                </c:pt>
                <c:pt idx="145">
                  <c:v>21699</c:v>
                </c:pt>
                <c:pt idx="146">
                  <c:v>21700</c:v>
                </c:pt>
                <c:pt idx="147">
                  <c:v>21701</c:v>
                </c:pt>
                <c:pt idx="148">
                  <c:v>21702</c:v>
                </c:pt>
                <c:pt idx="149">
                  <c:v>21703</c:v>
                </c:pt>
                <c:pt idx="150">
                  <c:v>21704</c:v>
                </c:pt>
                <c:pt idx="151">
                  <c:v>21705</c:v>
                </c:pt>
                <c:pt idx="152">
                  <c:v>21706</c:v>
                </c:pt>
                <c:pt idx="153">
                  <c:v>21707</c:v>
                </c:pt>
                <c:pt idx="154">
                  <c:v>21708</c:v>
                </c:pt>
                <c:pt idx="155">
                  <c:v>21709</c:v>
                </c:pt>
                <c:pt idx="156">
                  <c:v>21710</c:v>
                </c:pt>
                <c:pt idx="157">
                  <c:v>21711</c:v>
                </c:pt>
                <c:pt idx="158">
                  <c:v>21712</c:v>
                </c:pt>
                <c:pt idx="159">
                  <c:v>21713</c:v>
                </c:pt>
                <c:pt idx="160">
                  <c:v>21714</c:v>
                </c:pt>
                <c:pt idx="161">
                  <c:v>21715</c:v>
                </c:pt>
                <c:pt idx="162">
                  <c:v>21716</c:v>
                </c:pt>
                <c:pt idx="163">
                  <c:v>21717</c:v>
                </c:pt>
                <c:pt idx="164">
                  <c:v>21718</c:v>
                </c:pt>
                <c:pt idx="165">
                  <c:v>21719</c:v>
                </c:pt>
                <c:pt idx="166">
                  <c:v>21720</c:v>
                </c:pt>
                <c:pt idx="167">
                  <c:v>21721</c:v>
                </c:pt>
                <c:pt idx="168">
                  <c:v>21722</c:v>
                </c:pt>
                <c:pt idx="169">
                  <c:v>21723</c:v>
                </c:pt>
                <c:pt idx="170">
                  <c:v>21724</c:v>
                </c:pt>
                <c:pt idx="171">
                  <c:v>21725</c:v>
                </c:pt>
                <c:pt idx="172">
                  <c:v>21726</c:v>
                </c:pt>
                <c:pt idx="173">
                  <c:v>21727</c:v>
                </c:pt>
                <c:pt idx="174">
                  <c:v>21728</c:v>
                </c:pt>
                <c:pt idx="175">
                  <c:v>21729</c:v>
                </c:pt>
                <c:pt idx="176">
                  <c:v>21730</c:v>
                </c:pt>
                <c:pt idx="177">
                  <c:v>21731</c:v>
                </c:pt>
                <c:pt idx="178">
                  <c:v>21732</c:v>
                </c:pt>
                <c:pt idx="179">
                  <c:v>21733</c:v>
                </c:pt>
                <c:pt idx="180">
                  <c:v>21734</c:v>
                </c:pt>
                <c:pt idx="181">
                  <c:v>21735</c:v>
                </c:pt>
                <c:pt idx="182">
                  <c:v>21736</c:v>
                </c:pt>
                <c:pt idx="183">
                  <c:v>21737</c:v>
                </c:pt>
                <c:pt idx="184">
                  <c:v>21738</c:v>
                </c:pt>
                <c:pt idx="185">
                  <c:v>21739</c:v>
                </c:pt>
                <c:pt idx="186">
                  <c:v>21740</c:v>
                </c:pt>
                <c:pt idx="187">
                  <c:v>21741</c:v>
                </c:pt>
                <c:pt idx="188">
                  <c:v>21742</c:v>
                </c:pt>
                <c:pt idx="189">
                  <c:v>21743</c:v>
                </c:pt>
                <c:pt idx="190">
                  <c:v>21744</c:v>
                </c:pt>
                <c:pt idx="191">
                  <c:v>21745</c:v>
                </c:pt>
                <c:pt idx="192">
                  <c:v>21746</c:v>
                </c:pt>
                <c:pt idx="193">
                  <c:v>21747</c:v>
                </c:pt>
                <c:pt idx="194">
                  <c:v>21748</c:v>
                </c:pt>
                <c:pt idx="195">
                  <c:v>21749</c:v>
                </c:pt>
                <c:pt idx="196">
                  <c:v>21750</c:v>
                </c:pt>
                <c:pt idx="197">
                  <c:v>21751</c:v>
                </c:pt>
                <c:pt idx="198">
                  <c:v>21752</c:v>
                </c:pt>
                <c:pt idx="199">
                  <c:v>21753</c:v>
                </c:pt>
                <c:pt idx="200">
                  <c:v>21754</c:v>
                </c:pt>
                <c:pt idx="201">
                  <c:v>21755</c:v>
                </c:pt>
                <c:pt idx="202">
                  <c:v>21756</c:v>
                </c:pt>
                <c:pt idx="203">
                  <c:v>21757</c:v>
                </c:pt>
                <c:pt idx="204">
                  <c:v>21758</c:v>
                </c:pt>
                <c:pt idx="205">
                  <c:v>21759</c:v>
                </c:pt>
                <c:pt idx="206">
                  <c:v>21760</c:v>
                </c:pt>
                <c:pt idx="207">
                  <c:v>21761</c:v>
                </c:pt>
                <c:pt idx="208">
                  <c:v>21762</c:v>
                </c:pt>
                <c:pt idx="209">
                  <c:v>21763</c:v>
                </c:pt>
                <c:pt idx="210">
                  <c:v>21764</c:v>
                </c:pt>
                <c:pt idx="211">
                  <c:v>21765</c:v>
                </c:pt>
                <c:pt idx="212">
                  <c:v>21766</c:v>
                </c:pt>
                <c:pt idx="213">
                  <c:v>21767</c:v>
                </c:pt>
                <c:pt idx="214">
                  <c:v>21768</c:v>
                </c:pt>
                <c:pt idx="215">
                  <c:v>21769</c:v>
                </c:pt>
                <c:pt idx="216">
                  <c:v>21770</c:v>
                </c:pt>
                <c:pt idx="217">
                  <c:v>21771</c:v>
                </c:pt>
                <c:pt idx="218">
                  <c:v>21772</c:v>
                </c:pt>
                <c:pt idx="219">
                  <c:v>21773</c:v>
                </c:pt>
                <c:pt idx="220">
                  <c:v>21774</c:v>
                </c:pt>
                <c:pt idx="221">
                  <c:v>21775</c:v>
                </c:pt>
                <c:pt idx="222">
                  <c:v>21776</c:v>
                </c:pt>
                <c:pt idx="223">
                  <c:v>21777</c:v>
                </c:pt>
                <c:pt idx="224">
                  <c:v>21778</c:v>
                </c:pt>
                <c:pt idx="225">
                  <c:v>21779</c:v>
                </c:pt>
                <c:pt idx="226">
                  <c:v>21780</c:v>
                </c:pt>
                <c:pt idx="227">
                  <c:v>21781</c:v>
                </c:pt>
                <c:pt idx="228">
                  <c:v>21782</c:v>
                </c:pt>
                <c:pt idx="229">
                  <c:v>21783</c:v>
                </c:pt>
                <c:pt idx="230">
                  <c:v>21784</c:v>
                </c:pt>
                <c:pt idx="231">
                  <c:v>21785</c:v>
                </c:pt>
                <c:pt idx="232">
                  <c:v>21786</c:v>
                </c:pt>
                <c:pt idx="233">
                  <c:v>21787</c:v>
                </c:pt>
                <c:pt idx="234">
                  <c:v>21788</c:v>
                </c:pt>
                <c:pt idx="235">
                  <c:v>21789</c:v>
                </c:pt>
                <c:pt idx="236">
                  <c:v>21790</c:v>
                </c:pt>
                <c:pt idx="237">
                  <c:v>21791</c:v>
                </c:pt>
                <c:pt idx="238">
                  <c:v>21792</c:v>
                </c:pt>
                <c:pt idx="239">
                  <c:v>21793</c:v>
                </c:pt>
                <c:pt idx="240">
                  <c:v>21794</c:v>
                </c:pt>
                <c:pt idx="241">
                  <c:v>21795</c:v>
                </c:pt>
                <c:pt idx="242">
                  <c:v>21796</c:v>
                </c:pt>
                <c:pt idx="243">
                  <c:v>21797</c:v>
                </c:pt>
                <c:pt idx="244">
                  <c:v>21798</c:v>
                </c:pt>
                <c:pt idx="245">
                  <c:v>21799</c:v>
                </c:pt>
                <c:pt idx="246">
                  <c:v>21800</c:v>
                </c:pt>
                <c:pt idx="247">
                  <c:v>21801</c:v>
                </c:pt>
                <c:pt idx="248">
                  <c:v>21802</c:v>
                </c:pt>
                <c:pt idx="249">
                  <c:v>21803</c:v>
                </c:pt>
                <c:pt idx="250">
                  <c:v>21804</c:v>
                </c:pt>
                <c:pt idx="251">
                  <c:v>21805</c:v>
                </c:pt>
                <c:pt idx="252">
                  <c:v>21806</c:v>
                </c:pt>
                <c:pt idx="253">
                  <c:v>21807</c:v>
                </c:pt>
                <c:pt idx="254">
                  <c:v>21808</c:v>
                </c:pt>
                <c:pt idx="255">
                  <c:v>21809</c:v>
                </c:pt>
                <c:pt idx="256">
                  <c:v>21810</c:v>
                </c:pt>
                <c:pt idx="257">
                  <c:v>21811</c:v>
                </c:pt>
                <c:pt idx="258">
                  <c:v>21812</c:v>
                </c:pt>
                <c:pt idx="259">
                  <c:v>21813</c:v>
                </c:pt>
                <c:pt idx="260">
                  <c:v>21814</c:v>
                </c:pt>
                <c:pt idx="261">
                  <c:v>21815</c:v>
                </c:pt>
                <c:pt idx="262">
                  <c:v>21816</c:v>
                </c:pt>
                <c:pt idx="263">
                  <c:v>21817</c:v>
                </c:pt>
                <c:pt idx="264">
                  <c:v>21818</c:v>
                </c:pt>
                <c:pt idx="265">
                  <c:v>21819</c:v>
                </c:pt>
                <c:pt idx="266">
                  <c:v>21820</c:v>
                </c:pt>
                <c:pt idx="267">
                  <c:v>21821</c:v>
                </c:pt>
                <c:pt idx="268">
                  <c:v>21822</c:v>
                </c:pt>
                <c:pt idx="269">
                  <c:v>21823</c:v>
                </c:pt>
                <c:pt idx="270">
                  <c:v>21824</c:v>
                </c:pt>
                <c:pt idx="271">
                  <c:v>21825</c:v>
                </c:pt>
                <c:pt idx="272">
                  <c:v>21826</c:v>
                </c:pt>
                <c:pt idx="273">
                  <c:v>21827</c:v>
                </c:pt>
                <c:pt idx="274">
                  <c:v>21828</c:v>
                </c:pt>
                <c:pt idx="275">
                  <c:v>21829</c:v>
                </c:pt>
                <c:pt idx="276">
                  <c:v>21830</c:v>
                </c:pt>
                <c:pt idx="277">
                  <c:v>21831</c:v>
                </c:pt>
                <c:pt idx="278">
                  <c:v>21832</c:v>
                </c:pt>
                <c:pt idx="279">
                  <c:v>21833</c:v>
                </c:pt>
                <c:pt idx="280">
                  <c:v>21834</c:v>
                </c:pt>
                <c:pt idx="281">
                  <c:v>21835</c:v>
                </c:pt>
                <c:pt idx="282">
                  <c:v>21836</c:v>
                </c:pt>
                <c:pt idx="283">
                  <c:v>21837</c:v>
                </c:pt>
                <c:pt idx="284">
                  <c:v>21838</c:v>
                </c:pt>
                <c:pt idx="285">
                  <c:v>21839</c:v>
                </c:pt>
                <c:pt idx="286">
                  <c:v>21840</c:v>
                </c:pt>
                <c:pt idx="287">
                  <c:v>21841</c:v>
                </c:pt>
                <c:pt idx="288">
                  <c:v>21842</c:v>
                </c:pt>
                <c:pt idx="289">
                  <c:v>21843</c:v>
                </c:pt>
                <c:pt idx="290">
                  <c:v>21844</c:v>
                </c:pt>
                <c:pt idx="291">
                  <c:v>21845</c:v>
                </c:pt>
                <c:pt idx="292">
                  <c:v>21846</c:v>
                </c:pt>
                <c:pt idx="293">
                  <c:v>21847</c:v>
                </c:pt>
                <c:pt idx="294">
                  <c:v>21848</c:v>
                </c:pt>
                <c:pt idx="295">
                  <c:v>21849</c:v>
                </c:pt>
                <c:pt idx="296">
                  <c:v>21850</c:v>
                </c:pt>
                <c:pt idx="297">
                  <c:v>21851</c:v>
                </c:pt>
                <c:pt idx="298">
                  <c:v>21852</c:v>
                </c:pt>
                <c:pt idx="299">
                  <c:v>21853</c:v>
                </c:pt>
                <c:pt idx="300">
                  <c:v>21854</c:v>
                </c:pt>
                <c:pt idx="301">
                  <c:v>21855</c:v>
                </c:pt>
                <c:pt idx="302">
                  <c:v>21856</c:v>
                </c:pt>
                <c:pt idx="303">
                  <c:v>21857</c:v>
                </c:pt>
                <c:pt idx="304">
                  <c:v>21858</c:v>
                </c:pt>
                <c:pt idx="305">
                  <c:v>21859</c:v>
                </c:pt>
                <c:pt idx="306">
                  <c:v>21860</c:v>
                </c:pt>
                <c:pt idx="307">
                  <c:v>21861</c:v>
                </c:pt>
                <c:pt idx="308">
                  <c:v>21862</c:v>
                </c:pt>
                <c:pt idx="309">
                  <c:v>21863</c:v>
                </c:pt>
                <c:pt idx="310">
                  <c:v>21864</c:v>
                </c:pt>
                <c:pt idx="311">
                  <c:v>21865</c:v>
                </c:pt>
                <c:pt idx="312">
                  <c:v>21866</c:v>
                </c:pt>
                <c:pt idx="313">
                  <c:v>21867</c:v>
                </c:pt>
                <c:pt idx="314">
                  <c:v>21868</c:v>
                </c:pt>
                <c:pt idx="315">
                  <c:v>21869</c:v>
                </c:pt>
                <c:pt idx="316">
                  <c:v>21870</c:v>
                </c:pt>
                <c:pt idx="317">
                  <c:v>21871</c:v>
                </c:pt>
                <c:pt idx="318">
                  <c:v>21872</c:v>
                </c:pt>
                <c:pt idx="319">
                  <c:v>21873</c:v>
                </c:pt>
                <c:pt idx="320">
                  <c:v>21874</c:v>
                </c:pt>
                <c:pt idx="321">
                  <c:v>21875</c:v>
                </c:pt>
                <c:pt idx="322">
                  <c:v>21876</c:v>
                </c:pt>
                <c:pt idx="323">
                  <c:v>21877</c:v>
                </c:pt>
                <c:pt idx="324">
                  <c:v>21878</c:v>
                </c:pt>
                <c:pt idx="325">
                  <c:v>21879</c:v>
                </c:pt>
                <c:pt idx="326">
                  <c:v>21880</c:v>
                </c:pt>
                <c:pt idx="327">
                  <c:v>21881</c:v>
                </c:pt>
                <c:pt idx="328">
                  <c:v>21882</c:v>
                </c:pt>
                <c:pt idx="329">
                  <c:v>21883</c:v>
                </c:pt>
                <c:pt idx="330">
                  <c:v>21884</c:v>
                </c:pt>
                <c:pt idx="331">
                  <c:v>21885</c:v>
                </c:pt>
                <c:pt idx="332">
                  <c:v>21886</c:v>
                </c:pt>
                <c:pt idx="333">
                  <c:v>21887</c:v>
                </c:pt>
                <c:pt idx="334">
                  <c:v>21888</c:v>
                </c:pt>
                <c:pt idx="335">
                  <c:v>21889</c:v>
                </c:pt>
                <c:pt idx="336">
                  <c:v>21890</c:v>
                </c:pt>
                <c:pt idx="337">
                  <c:v>21891</c:v>
                </c:pt>
                <c:pt idx="338">
                  <c:v>21892</c:v>
                </c:pt>
                <c:pt idx="339">
                  <c:v>21893</c:v>
                </c:pt>
                <c:pt idx="340">
                  <c:v>21894</c:v>
                </c:pt>
                <c:pt idx="341">
                  <c:v>21895</c:v>
                </c:pt>
                <c:pt idx="342">
                  <c:v>21896</c:v>
                </c:pt>
                <c:pt idx="343">
                  <c:v>21897</c:v>
                </c:pt>
                <c:pt idx="344">
                  <c:v>21898</c:v>
                </c:pt>
                <c:pt idx="345">
                  <c:v>21899</c:v>
                </c:pt>
                <c:pt idx="346">
                  <c:v>21900</c:v>
                </c:pt>
                <c:pt idx="347">
                  <c:v>21901</c:v>
                </c:pt>
                <c:pt idx="348">
                  <c:v>21902</c:v>
                </c:pt>
                <c:pt idx="349">
                  <c:v>21903</c:v>
                </c:pt>
                <c:pt idx="350">
                  <c:v>21904</c:v>
                </c:pt>
                <c:pt idx="351">
                  <c:v>21905</c:v>
                </c:pt>
                <c:pt idx="352">
                  <c:v>21906</c:v>
                </c:pt>
                <c:pt idx="353">
                  <c:v>21907</c:v>
                </c:pt>
                <c:pt idx="354">
                  <c:v>21908</c:v>
                </c:pt>
                <c:pt idx="355">
                  <c:v>21909</c:v>
                </c:pt>
                <c:pt idx="356">
                  <c:v>21910</c:v>
                </c:pt>
                <c:pt idx="357">
                  <c:v>21911</c:v>
                </c:pt>
                <c:pt idx="358">
                  <c:v>21912</c:v>
                </c:pt>
                <c:pt idx="359">
                  <c:v>21913</c:v>
                </c:pt>
                <c:pt idx="360">
                  <c:v>21914</c:v>
                </c:pt>
                <c:pt idx="361">
                  <c:v>21915</c:v>
                </c:pt>
                <c:pt idx="362">
                  <c:v>21916</c:v>
                </c:pt>
                <c:pt idx="363">
                  <c:v>21917</c:v>
                </c:pt>
                <c:pt idx="364">
                  <c:v>21918</c:v>
                </c:pt>
                <c:pt idx="365">
                  <c:v>21919</c:v>
                </c:pt>
                <c:pt idx="366">
                  <c:v>21920</c:v>
                </c:pt>
                <c:pt idx="367">
                  <c:v>21921</c:v>
                </c:pt>
                <c:pt idx="368">
                  <c:v>21922</c:v>
                </c:pt>
                <c:pt idx="369">
                  <c:v>21923</c:v>
                </c:pt>
                <c:pt idx="370">
                  <c:v>21924</c:v>
                </c:pt>
                <c:pt idx="371">
                  <c:v>21925</c:v>
                </c:pt>
                <c:pt idx="372">
                  <c:v>21926</c:v>
                </c:pt>
                <c:pt idx="373">
                  <c:v>21927</c:v>
                </c:pt>
                <c:pt idx="374">
                  <c:v>21928</c:v>
                </c:pt>
                <c:pt idx="375">
                  <c:v>21929</c:v>
                </c:pt>
                <c:pt idx="376">
                  <c:v>21930</c:v>
                </c:pt>
                <c:pt idx="377">
                  <c:v>21931</c:v>
                </c:pt>
                <c:pt idx="378">
                  <c:v>21932</c:v>
                </c:pt>
                <c:pt idx="379">
                  <c:v>21933</c:v>
                </c:pt>
                <c:pt idx="380">
                  <c:v>21934</c:v>
                </c:pt>
                <c:pt idx="381">
                  <c:v>21935</c:v>
                </c:pt>
                <c:pt idx="382">
                  <c:v>21936</c:v>
                </c:pt>
                <c:pt idx="383">
                  <c:v>21937</c:v>
                </c:pt>
                <c:pt idx="384">
                  <c:v>21938</c:v>
                </c:pt>
                <c:pt idx="385">
                  <c:v>21939</c:v>
                </c:pt>
                <c:pt idx="386">
                  <c:v>21940</c:v>
                </c:pt>
                <c:pt idx="387">
                  <c:v>21941</c:v>
                </c:pt>
                <c:pt idx="388">
                  <c:v>21942</c:v>
                </c:pt>
                <c:pt idx="389">
                  <c:v>21943</c:v>
                </c:pt>
                <c:pt idx="390">
                  <c:v>21944</c:v>
                </c:pt>
                <c:pt idx="391">
                  <c:v>21945</c:v>
                </c:pt>
                <c:pt idx="392">
                  <c:v>21946</c:v>
                </c:pt>
                <c:pt idx="393">
                  <c:v>21947</c:v>
                </c:pt>
                <c:pt idx="394">
                  <c:v>21948</c:v>
                </c:pt>
                <c:pt idx="395">
                  <c:v>21949</c:v>
                </c:pt>
                <c:pt idx="396">
                  <c:v>21950</c:v>
                </c:pt>
                <c:pt idx="397">
                  <c:v>21951</c:v>
                </c:pt>
                <c:pt idx="398">
                  <c:v>21952</c:v>
                </c:pt>
                <c:pt idx="399">
                  <c:v>21953</c:v>
                </c:pt>
                <c:pt idx="400">
                  <c:v>21954</c:v>
                </c:pt>
                <c:pt idx="401">
                  <c:v>21955</c:v>
                </c:pt>
                <c:pt idx="402">
                  <c:v>21956</c:v>
                </c:pt>
                <c:pt idx="403">
                  <c:v>21957</c:v>
                </c:pt>
                <c:pt idx="404">
                  <c:v>21958</c:v>
                </c:pt>
                <c:pt idx="405">
                  <c:v>21959</c:v>
                </c:pt>
                <c:pt idx="406">
                  <c:v>21960</c:v>
                </c:pt>
                <c:pt idx="407">
                  <c:v>21961</c:v>
                </c:pt>
                <c:pt idx="408">
                  <c:v>21962</c:v>
                </c:pt>
                <c:pt idx="409">
                  <c:v>21963</c:v>
                </c:pt>
                <c:pt idx="410">
                  <c:v>21964</c:v>
                </c:pt>
                <c:pt idx="411">
                  <c:v>21965</c:v>
                </c:pt>
                <c:pt idx="412">
                  <c:v>21966</c:v>
                </c:pt>
                <c:pt idx="413">
                  <c:v>21967</c:v>
                </c:pt>
                <c:pt idx="414">
                  <c:v>21968</c:v>
                </c:pt>
                <c:pt idx="415">
                  <c:v>21969</c:v>
                </c:pt>
                <c:pt idx="416">
                  <c:v>21970</c:v>
                </c:pt>
                <c:pt idx="417">
                  <c:v>21971</c:v>
                </c:pt>
                <c:pt idx="418">
                  <c:v>21972</c:v>
                </c:pt>
                <c:pt idx="419">
                  <c:v>21973</c:v>
                </c:pt>
                <c:pt idx="420">
                  <c:v>21974</c:v>
                </c:pt>
                <c:pt idx="421">
                  <c:v>21975</c:v>
                </c:pt>
                <c:pt idx="422">
                  <c:v>21976</c:v>
                </c:pt>
                <c:pt idx="423">
                  <c:v>21977</c:v>
                </c:pt>
                <c:pt idx="424">
                  <c:v>21978</c:v>
                </c:pt>
                <c:pt idx="425">
                  <c:v>21979</c:v>
                </c:pt>
                <c:pt idx="426">
                  <c:v>21980</c:v>
                </c:pt>
                <c:pt idx="427">
                  <c:v>21981</c:v>
                </c:pt>
                <c:pt idx="428">
                  <c:v>21982</c:v>
                </c:pt>
                <c:pt idx="429">
                  <c:v>21983</c:v>
                </c:pt>
                <c:pt idx="430">
                  <c:v>21984</c:v>
                </c:pt>
                <c:pt idx="431">
                  <c:v>21985</c:v>
                </c:pt>
                <c:pt idx="432">
                  <c:v>21986</c:v>
                </c:pt>
                <c:pt idx="433">
                  <c:v>21987</c:v>
                </c:pt>
                <c:pt idx="434">
                  <c:v>21988</c:v>
                </c:pt>
                <c:pt idx="435">
                  <c:v>21989</c:v>
                </c:pt>
                <c:pt idx="436">
                  <c:v>21990</c:v>
                </c:pt>
                <c:pt idx="437">
                  <c:v>21991</c:v>
                </c:pt>
                <c:pt idx="438">
                  <c:v>21992</c:v>
                </c:pt>
                <c:pt idx="439">
                  <c:v>21993</c:v>
                </c:pt>
                <c:pt idx="440">
                  <c:v>21994</c:v>
                </c:pt>
                <c:pt idx="441">
                  <c:v>21995</c:v>
                </c:pt>
                <c:pt idx="442">
                  <c:v>21996</c:v>
                </c:pt>
                <c:pt idx="443">
                  <c:v>21997</c:v>
                </c:pt>
                <c:pt idx="444">
                  <c:v>21998</c:v>
                </c:pt>
                <c:pt idx="445">
                  <c:v>21999</c:v>
                </c:pt>
                <c:pt idx="446">
                  <c:v>22000</c:v>
                </c:pt>
                <c:pt idx="447">
                  <c:v>22001</c:v>
                </c:pt>
                <c:pt idx="448">
                  <c:v>22002</c:v>
                </c:pt>
                <c:pt idx="449">
                  <c:v>22003</c:v>
                </c:pt>
                <c:pt idx="450">
                  <c:v>22004</c:v>
                </c:pt>
                <c:pt idx="451">
                  <c:v>22005</c:v>
                </c:pt>
                <c:pt idx="452">
                  <c:v>22006</c:v>
                </c:pt>
              </c:numCache>
            </c:numRef>
          </c:cat>
          <c:val>
            <c:numRef>
              <c:f>'MV Forcast'!$E$2:$E$454</c:f>
              <c:numCache>
                <c:formatCode>General</c:formatCode>
                <c:ptCount val="453"/>
                <c:pt idx="361" formatCode="0%">
                  <c:v>3.3333333333333284E-2</c:v>
                </c:pt>
                <c:pt idx="362" formatCode="0%">
                  <c:v>0.42478638423761361</c:v>
                </c:pt>
                <c:pt idx="363" formatCode="0%">
                  <c:v>0.41615621133033409</c:v>
                </c:pt>
                <c:pt idx="364" formatCode="0%">
                  <c:v>0.39516563748315092</c:v>
                </c:pt>
                <c:pt idx="365" formatCode="0%">
                  <c:v>0.49551876484265434</c:v>
                </c:pt>
                <c:pt idx="366" formatCode="0%">
                  <c:v>0.38241361603374446</c:v>
                </c:pt>
                <c:pt idx="367" formatCode="0%">
                  <c:v>0.43252752180848908</c:v>
                </c:pt>
                <c:pt idx="368" formatCode="0%">
                  <c:v>0.51072464253710981</c:v>
                </c:pt>
                <c:pt idx="369" formatCode="0%">
                  <c:v>0.4473084341116253</c:v>
                </c:pt>
                <c:pt idx="370" formatCode="0%">
                  <c:v>0.40822453751294996</c:v>
                </c:pt>
                <c:pt idx="371" formatCode="0%">
                  <c:v>0.5160795267640067</c:v>
                </c:pt>
                <c:pt idx="372" formatCode="0%">
                  <c:v>0.50585317077073955</c:v>
                </c:pt>
                <c:pt idx="373" formatCode="0%">
                  <c:v>0.48337571290133918</c:v>
                </c:pt>
                <c:pt idx="374" formatCode="0%">
                  <c:v>0.58233977816878379</c:v>
                </c:pt>
                <c:pt idx="375" formatCode="0%">
                  <c:v>0.46793354959519495</c:v>
                </c:pt>
                <c:pt idx="376" formatCode="0%">
                  <c:v>0.51682586348364545</c:v>
                </c:pt>
                <c:pt idx="377" formatCode="0%">
                  <c:v>0.59387350062887745</c:v>
                </c:pt>
                <c:pt idx="378" formatCode="0%">
                  <c:v>0.5293734688756716</c:v>
                </c:pt>
                <c:pt idx="379" formatCode="0%">
                  <c:v>0.48926574526704347</c:v>
                </c:pt>
                <c:pt idx="380" formatCode="0%">
                  <c:v>0.59295278864462042</c:v>
                </c:pt>
                <c:pt idx="381" formatCode="0%">
                  <c:v>0.58196094066074933</c:v>
                </c:pt>
                <c:pt idx="382" formatCode="0%">
                  <c:v>0.55875343484212447</c:v>
                </c:pt>
                <c:pt idx="383" formatCode="0%">
                  <c:v>0.6570204791451939</c:v>
                </c:pt>
                <c:pt idx="384" formatCode="0%">
                  <c:v>0.54194806389134209</c:v>
                </c:pt>
                <c:pt idx="385" formatCode="0%">
                  <c:v>0.59020303083026981</c:v>
                </c:pt>
                <c:pt idx="386" formatCode="0%">
                  <c:v>0.66664034181035969</c:v>
                </c:pt>
                <c:pt idx="387" formatCode="0%">
                  <c:v>0.60155534186974047</c:v>
                </c:pt>
                <c:pt idx="388" formatCode="0%">
                  <c:v>0.56088648450444389</c:v>
                </c:pt>
                <c:pt idx="389" formatCode="0%">
                  <c:v>0.6620615185095251</c:v>
                </c:pt>
                <c:pt idx="390" formatCode="0%">
                  <c:v>0.65062258424937247</c:v>
                </c:pt>
                <c:pt idx="391" formatCode="0%">
                  <c:v>0.62698417611211155</c:v>
                </c:pt>
                <c:pt idx="392" formatCode="0%">
                  <c:v>0.72483568063767922</c:v>
                </c:pt>
                <c:pt idx="393" formatCode="0%">
                  <c:v>0.60936232343143826</c:v>
                </c:pt>
                <c:pt idx="394" formatCode="0%">
                  <c:v>0.65723023328879893</c:v>
                </c:pt>
                <c:pt idx="395" formatCode="0%">
                  <c:v>0.73329370644396685</c:v>
                </c:pt>
                <c:pt idx="396" formatCode="0%">
                  <c:v>0.6678474656935296</c:v>
                </c:pt>
                <c:pt idx="397" formatCode="0%">
                  <c:v>0.62682938209700234</c:v>
                </c:pt>
                <c:pt idx="398" formatCode="0%">
                  <c:v>0.72629693683768581</c:v>
                </c:pt>
                <c:pt idx="399" formatCode="0%">
                  <c:v>0.7145706781112392</c:v>
                </c:pt>
                <c:pt idx="400" formatCode="0%">
                  <c:v>0.69065374591632001</c:v>
                </c:pt>
                <c:pt idx="401" formatCode="0%">
                  <c:v>0.78823517053096115</c:v>
                </c:pt>
                <c:pt idx="402" formatCode="0%">
                  <c:v>0.67249984086194103</c:v>
                </c:pt>
                <c:pt idx="403" formatCode="0%">
                  <c:v>0.72011356721182307</c:v>
                </c:pt>
                <c:pt idx="404" formatCode="0%">
                  <c:v>0.79593034428360976</c:v>
                </c:pt>
                <c:pt idx="405" formatCode="0%">
                  <c:v>0.73024460916266465</c:v>
                </c:pt>
                <c:pt idx="406" formatCode="0%">
                  <c:v>0.68899396196818463</c:v>
                </c:pt>
                <c:pt idx="407" formatCode="0%">
                  <c:v>0.78721467998954731</c:v>
                </c:pt>
                <c:pt idx="408" formatCode="0%">
                  <c:v>0.77529381271463538</c:v>
                </c:pt>
                <c:pt idx="409" formatCode="0%">
                  <c:v>0.75118759551056757</c:v>
                </c:pt>
                <c:pt idx="410" formatCode="0%">
                  <c:v>0.84858487927522686</c:v>
                </c:pt>
                <c:pt idx="411" formatCode="0%">
                  <c:v>0.73267038169984233</c:v>
                </c:pt>
                <c:pt idx="412" formatCode="0%">
                  <c:v>0.78010974956605672</c:v>
                </c:pt>
                <c:pt idx="413" formatCode="0%">
                  <c:v>0.85575682131324604</c:v>
                </c:pt>
                <c:pt idx="414" formatCode="0%">
                  <c:v>0.78990588461309641</c:v>
                </c:pt>
                <c:pt idx="415" formatCode="0%">
                  <c:v>0.74849439664131889</c:v>
                </c:pt>
                <c:pt idx="416" formatCode="0%">
                  <c:v>0.84576016427198186</c:v>
                </c:pt>
                <c:pt idx="417" formatCode="0%">
                  <c:v>0.83370368945419138</c:v>
                </c:pt>
                <c:pt idx="418" formatCode="0%">
                  <c:v>0.80946532394441317</c:v>
                </c:pt>
                <c:pt idx="419" formatCode="0%">
                  <c:v>0.9067338187410694</c:v>
                </c:pt>
                <c:pt idx="420" formatCode="0%">
                  <c:v>0.79069379551085728</c:v>
                </c:pt>
                <c:pt idx="421" formatCode="0%">
                  <c:v>0.83801080869570499</c:v>
                </c:pt>
                <c:pt idx="422" formatCode="0%">
                  <c:v>0.91353860790124164</c:v>
                </c:pt>
                <c:pt idx="423" formatCode="0%">
                  <c:v>0.84757139530300996</c:v>
                </c:pt>
                <c:pt idx="424" formatCode="0%">
                  <c:v>0.80604654575958168</c:v>
                </c:pt>
                <c:pt idx="425" formatCode="0%">
                  <c:v>0.90255558236580702</c:v>
                </c:pt>
                <c:pt idx="426" formatCode="0%">
                  <c:v>0.89040351859753442</c:v>
                </c:pt>
                <c:pt idx="427" formatCode="0%">
                  <c:v>0.86607192962856672</c:v>
                </c:pt>
                <c:pt idx="428" formatCode="0%">
                  <c:v>0.96324950663664621</c:v>
                </c:pt>
                <c:pt idx="429" formatCode="0%">
                  <c:v>0.84712081348518287</c:v>
                </c:pt>
                <c:pt idx="430" formatCode="0%">
                  <c:v>0.89435134874418687</c:v>
                </c:pt>
                <c:pt idx="431" formatCode="0%">
                  <c:v>0.96979480799714912</c:v>
                </c:pt>
                <c:pt idx="432" formatCode="0%">
                  <c:v>0.90374534116983085</c:v>
                </c:pt>
                <c:pt idx="433" formatCode="0%">
                  <c:v>0.86214027256987347</c:v>
                </c:pt>
                <c:pt idx="434" formatCode="0%">
                  <c:v>0.95803415786014956</c:v>
                </c:pt>
                <c:pt idx="435" formatCode="0%">
                  <c:v>0.9458149470431354</c:v>
                </c:pt>
                <c:pt idx="436" formatCode="0%">
                  <c:v>0.92141789096283122</c:v>
                </c:pt>
                <c:pt idx="437" formatCode="0%">
                  <c:v>1.0185316429714477</c:v>
                </c:pt>
                <c:pt idx="438" formatCode="0%">
                  <c:v>0.90234073023284567</c:v>
                </c:pt>
                <c:pt idx="439" formatCode="0%">
                  <c:v>0.94951061570112816</c:v>
                </c:pt>
                <c:pt idx="440" formatCode="0%">
                  <c:v>1.0248949603871069</c:v>
                </c:pt>
                <c:pt idx="441" formatCode="0%">
                  <c:v>0.95878788064849985</c:v>
                </c:pt>
                <c:pt idx="442" formatCode="0%">
                  <c:v>0.91712666819267463</c:v>
                </c:pt>
                <c:pt idx="443" formatCode="0%">
                  <c:v>1.0125104939020391</c:v>
                </c:pt>
                <c:pt idx="444" formatCode="0%">
                  <c:v>1.000245083516546</c:v>
                </c:pt>
                <c:pt idx="445" formatCode="0%">
                  <c:v>0.9758030557583135</c:v>
                </c:pt>
                <c:pt idx="446" formatCode="0%">
                  <c:v>1.0728730390334638</c:v>
                </c:pt>
                <c:pt idx="447" formatCode="0%">
                  <c:v>0.95663953622303111</c:v>
                </c:pt>
                <c:pt idx="448" formatCode="0%">
                  <c:v>1.0037679866393112</c:v>
                </c:pt>
                <c:pt idx="449" formatCode="0%">
                  <c:v>1.0791120282709887</c:v>
                </c:pt>
                <c:pt idx="450" formatCode="0%">
                  <c:v>1.0129657550528548</c:v>
                </c:pt>
                <c:pt idx="451" formatCode="0%">
                  <c:v>0.97126643684888936</c:v>
                </c:pt>
                <c:pt idx="452" formatCode="0%">
                  <c:v>1.0662206131452741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8D-42CB-BAD2-184256C90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777584"/>
        <c:axId val="808188512"/>
      </c:lineChart>
      <c:catAx>
        <c:axId val="80477758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88512"/>
        <c:crosses val="autoZero"/>
        <c:auto val="1"/>
        <c:lblAlgn val="ctr"/>
        <c:lblOffset val="100"/>
        <c:noMultiLvlLbl val="0"/>
      </c:catAx>
      <c:valAx>
        <c:axId val="80818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7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layout>
        <c:manualLayout>
          <c:xMode val="edge"/>
          <c:yMode val="edge"/>
          <c:x val="0.3296717868072398"/>
          <c:y val="3.125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'Exponential smoothing '!$B$2:$B$366</c:f>
              <c:numCache>
                <c:formatCode>General</c:formatCode>
                <c:ptCount val="365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E-4299-8D15-7D1BA6704EE6}"/>
            </c:ext>
          </c:extLst>
        </c:ser>
        <c:ser>
          <c:idx val="1"/>
          <c:order val="1"/>
          <c:tx>
            <c:v>Forecast</c:v>
          </c:tx>
          <c:val>
            <c:numRef>
              <c:f>'Exponential smoothing '!$C$2:$C$366</c:f>
              <c:numCache>
                <c:formatCode>General</c:formatCode>
                <c:ptCount val="365"/>
                <c:pt idx="0">
                  <c:v>#N/A</c:v>
                </c:pt>
                <c:pt idx="1">
                  <c:v>35</c:v>
                </c:pt>
                <c:pt idx="2">
                  <c:v>32.9</c:v>
                </c:pt>
                <c:pt idx="3">
                  <c:v>30.869999999999997</c:v>
                </c:pt>
                <c:pt idx="4">
                  <c:v>30.960999999999999</c:v>
                </c:pt>
                <c:pt idx="5">
                  <c:v>40.088299999999997</c:v>
                </c:pt>
                <c:pt idx="6">
                  <c:v>32.326489999999993</c:v>
                </c:pt>
                <c:pt idx="7">
                  <c:v>41.197946999999992</c:v>
                </c:pt>
                <c:pt idx="8">
                  <c:v>42.459384099999994</c:v>
                </c:pt>
                <c:pt idx="9">
                  <c:v>39.337815229999997</c:v>
                </c:pt>
                <c:pt idx="10">
                  <c:v>30.701344569</c:v>
                </c:pt>
                <c:pt idx="11">
                  <c:v>35.810403370700001</c:v>
                </c:pt>
                <c:pt idx="12">
                  <c:v>33.843121011210002</c:v>
                </c:pt>
                <c:pt idx="13">
                  <c:v>48.652936303362999</c:v>
                </c:pt>
                <c:pt idx="14">
                  <c:v>47.495880891008895</c:v>
                </c:pt>
                <c:pt idx="15">
                  <c:v>45.748764267302661</c:v>
                </c:pt>
                <c:pt idx="16">
                  <c:v>39.624629280190796</c:v>
                </c:pt>
                <c:pt idx="17">
                  <c:v>46.887388784057237</c:v>
                </c:pt>
                <c:pt idx="18">
                  <c:v>44.166216635217168</c:v>
                </c:pt>
                <c:pt idx="19">
                  <c:v>41.949864990565146</c:v>
                </c:pt>
                <c:pt idx="20">
                  <c:v>48.984959497169541</c:v>
                </c:pt>
                <c:pt idx="21">
                  <c:v>38.495487849150862</c:v>
                </c:pt>
                <c:pt idx="22">
                  <c:v>48.648646354745253</c:v>
                </c:pt>
                <c:pt idx="23">
                  <c:v>41.894593906423573</c:v>
                </c:pt>
                <c:pt idx="24">
                  <c:v>34.968378171927071</c:v>
                </c:pt>
                <c:pt idx="25">
                  <c:v>36.390513451578116</c:v>
                </c:pt>
                <c:pt idx="26">
                  <c:v>41.017154035473432</c:v>
                </c:pt>
                <c:pt idx="27">
                  <c:v>39.605146210642026</c:v>
                </c:pt>
                <c:pt idx="28">
                  <c:v>36.381543863192604</c:v>
                </c:pt>
                <c:pt idx="29">
                  <c:v>41.714463158957777</c:v>
                </c:pt>
                <c:pt idx="30">
                  <c:v>39.11433894768733</c:v>
                </c:pt>
                <c:pt idx="31">
                  <c:v>28.534301684306193</c:v>
                </c:pt>
                <c:pt idx="32">
                  <c:v>24.660290505291854</c:v>
                </c:pt>
                <c:pt idx="33">
                  <c:v>29.098087151587556</c:v>
                </c:pt>
                <c:pt idx="34">
                  <c:v>39.529426145476265</c:v>
                </c:pt>
                <c:pt idx="35">
                  <c:v>38.458827843642879</c:v>
                </c:pt>
                <c:pt idx="36">
                  <c:v>46.537648353092862</c:v>
                </c:pt>
                <c:pt idx="37">
                  <c:v>40.561294505927854</c:v>
                </c:pt>
                <c:pt idx="38">
                  <c:v>47.86838835177835</c:v>
                </c:pt>
                <c:pt idx="39">
                  <c:v>36.060516505533506</c:v>
                </c:pt>
                <c:pt idx="40">
                  <c:v>32.518154951660051</c:v>
                </c:pt>
                <c:pt idx="41">
                  <c:v>45.455446485498008</c:v>
                </c:pt>
                <c:pt idx="42">
                  <c:v>38.836633945649403</c:v>
                </c:pt>
                <c:pt idx="43">
                  <c:v>43.150990183694816</c:v>
                </c:pt>
                <c:pt idx="44">
                  <c:v>48.645297055108443</c:v>
                </c:pt>
                <c:pt idx="45">
                  <c:v>38.393589116532532</c:v>
                </c:pt>
                <c:pt idx="46">
                  <c:v>47.918076734959755</c:v>
                </c:pt>
                <c:pt idx="47">
                  <c:v>47.275423020487921</c:v>
                </c:pt>
                <c:pt idx="48">
                  <c:v>45.682626906146375</c:v>
                </c:pt>
                <c:pt idx="49">
                  <c:v>45.90478807184391</c:v>
                </c:pt>
                <c:pt idx="50">
                  <c:v>41.071436421553173</c:v>
                </c:pt>
                <c:pt idx="51">
                  <c:v>45.921430926465945</c:v>
                </c:pt>
                <c:pt idx="52">
                  <c:v>39.676429277939782</c:v>
                </c:pt>
                <c:pt idx="53">
                  <c:v>36.402928783381938</c:v>
                </c:pt>
                <c:pt idx="54">
                  <c:v>47.32087863501458</c:v>
                </c:pt>
                <c:pt idx="55">
                  <c:v>43.596263590504371</c:v>
                </c:pt>
                <c:pt idx="56">
                  <c:v>44.578879077151306</c:v>
                </c:pt>
                <c:pt idx="57">
                  <c:v>40.673663723145388</c:v>
                </c:pt>
                <c:pt idx="58">
                  <c:v>38.102099116943613</c:v>
                </c:pt>
                <c:pt idx="59">
                  <c:v>32.430629735083087</c:v>
                </c:pt>
                <c:pt idx="60">
                  <c:v>34.229188920524926</c:v>
                </c:pt>
                <c:pt idx="61">
                  <c:v>29.868756676157474</c:v>
                </c:pt>
                <c:pt idx="62">
                  <c:v>40.460627002847239</c:v>
                </c:pt>
                <c:pt idx="63">
                  <c:v>35.93818810085417</c:v>
                </c:pt>
                <c:pt idx="64">
                  <c:v>35.981456430256252</c:v>
                </c:pt>
                <c:pt idx="65">
                  <c:v>45.794436929076873</c:v>
                </c:pt>
                <c:pt idx="66">
                  <c:v>44.538331078723061</c:v>
                </c:pt>
                <c:pt idx="67">
                  <c:v>40.661499323616916</c:v>
                </c:pt>
                <c:pt idx="68">
                  <c:v>34.598449797085074</c:v>
                </c:pt>
                <c:pt idx="69">
                  <c:v>37.679534939125517</c:v>
                </c:pt>
                <c:pt idx="70">
                  <c:v>42.803860481737651</c:v>
                </c:pt>
                <c:pt idx="71">
                  <c:v>42.941158144521296</c:v>
                </c:pt>
                <c:pt idx="72">
                  <c:v>40.182347443356385</c:v>
                </c:pt>
                <c:pt idx="73">
                  <c:v>33.754704233006912</c:v>
                </c:pt>
                <c:pt idx="74">
                  <c:v>29.02641126990207</c:v>
                </c:pt>
                <c:pt idx="75">
                  <c:v>29.70792338097062</c:v>
                </c:pt>
                <c:pt idx="76">
                  <c:v>38.312377014291187</c:v>
                </c:pt>
                <c:pt idx="77">
                  <c:v>43.693713104287355</c:v>
                </c:pt>
                <c:pt idx="78">
                  <c:v>41.808113931286208</c:v>
                </c:pt>
                <c:pt idx="79">
                  <c:v>37.74243417938586</c:v>
                </c:pt>
                <c:pt idx="80">
                  <c:v>42.822730253815756</c:v>
                </c:pt>
                <c:pt idx="81">
                  <c:v>45.046819076144722</c:v>
                </c:pt>
                <c:pt idx="82">
                  <c:v>43.614045722843414</c:v>
                </c:pt>
                <c:pt idx="83">
                  <c:v>39.684213716853023</c:v>
                </c:pt>
                <c:pt idx="84">
                  <c:v>35.705264115055904</c:v>
                </c:pt>
                <c:pt idx="85">
                  <c:v>35.211579234516769</c:v>
                </c:pt>
                <c:pt idx="86">
                  <c:v>49.763473770355027</c:v>
                </c:pt>
                <c:pt idx="87">
                  <c:v>40.129042131106509</c:v>
                </c:pt>
                <c:pt idx="88">
                  <c:v>34.438712639331953</c:v>
                </c:pt>
                <c:pt idx="89">
                  <c:v>45.331613791799583</c:v>
                </c:pt>
                <c:pt idx="90">
                  <c:v>42.299484137539878</c:v>
                </c:pt>
                <c:pt idx="91">
                  <c:v>39.98984524126196</c:v>
                </c:pt>
                <c:pt idx="92">
                  <c:v>40.69695357237859</c:v>
                </c:pt>
                <c:pt idx="93">
                  <c:v>45.109086071713577</c:v>
                </c:pt>
                <c:pt idx="94">
                  <c:v>37.332725821514067</c:v>
                </c:pt>
                <c:pt idx="95">
                  <c:v>36.399817746454218</c:v>
                </c:pt>
                <c:pt idx="96">
                  <c:v>34.019945323936263</c:v>
                </c:pt>
                <c:pt idx="97">
                  <c:v>34.705983597180875</c:v>
                </c:pt>
                <c:pt idx="98">
                  <c:v>37.011795079154261</c:v>
                </c:pt>
                <c:pt idx="99">
                  <c:v>37.703538523746275</c:v>
                </c:pt>
                <c:pt idx="100">
                  <c:v>35.111061557123875</c:v>
                </c:pt>
                <c:pt idx="101">
                  <c:v>47.633318467137158</c:v>
                </c:pt>
                <c:pt idx="102">
                  <c:v>38.089995540141146</c:v>
                </c:pt>
                <c:pt idx="103">
                  <c:v>35.226998662042341</c:v>
                </c:pt>
                <c:pt idx="104">
                  <c:v>37.168099598612699</c:v>
                </c:pt>
                <c:pt idx="105">
                  <c:v>35.650429879583811</c:v>
                </c:pt>
                <c:pt idx="106">
                  <c:v>33.09512896387514</c:v>
                </c:pt>
                <c:pt idx="107">
                  <c:v>39.328538689162542</c:v>
                </c:pt>
                <c:pt idx="108">
                  <c:v>35.59856160674876</c:v>
                </c:pt>
                <c:pt idx="109">
                  <c:v>42.879568482024624</c:v>
                </c:pt>
                <c:pt idx="110">
                  <c:v>33.863870544607387</c:v>
                </c:pt>
                <c:pt idx="111">
                  <c:v>42.359161163382211</c:v>
                </c:pt>
                <c:pt idx="112">
                  <c:v>44.207748349014658</c:v>
                </c:pt>
                <c:pt idx="113">
                  <c:v>51.062324504704392</c:v>
                </c:pt>
                <c:pt idx="114">
                  <c:v>39.118697351411313</c:v>
                </c:pt>
                <c:pt idx="115">
                  <c:v>37.635609205423393</c:v>
                </c:pt>
                <c:pt idx="116">
                  <c:v>35.790682761627018</c:v>
                </c:pt>
                <c:pt idx="117">
                  <c:v>38.737204828488103</c:v>
                </c:pt>
                <c:pt idx="118">
                  <c:v>41.02116144854643</c:v>
                </c:pt>
                <c:pt idx="119">
                  <c:v>52.906348434563924</c:v>
                </c:pt>
                <c:pt idx="120">
                  <c:v>51.571904530369174</c:v>
                </c:pt>
                <c:pt idx="121">
                  <c:v>37.871571359110746</c:v>
                </c:pt>
                <c:pt idx="122">
                  <c:v>35.86147140773322</c:v>
                </c:pt>
                <c:pt idx="123">
                  <c:v>37.358441422319963</c:v>
                </c:pt>
                <c:pt idx="124">
                  <c:v>34.307532426695985</c:v>
                </c:pt>
                <c:pt idx="125">
                  <c:v>37.592259728008791</c:v>
                </c:pt>
                <c:pt idx="126">
                  <c:v>44.177677918402637</c:v>
                </c:pt>
                <c:pt idx="127">
                  <c:v>39.853303375520788</c:v>
                </c:pt>
                <c:pt idx="128">
                  <c:v>48.355991012656233</c:v>
                </c:pt>
                <c:pt idx="129">
                  <c:v>35.506797303796873</c:v>
                </c:pt>
                <c:pt idx="130">
                  <c:v>34.452039191139058</c:v>
                </c:pt>
                <c:pt idx="131">
                  <c:v>38.335611757341717</c:v>
                </c:pt>
                <c:pt idx="132">
                  <c:v>36.000683527202511</c:v>
                </c:pt>
                <c:pt idx="133">
                  <c:v>40.200205058160748</c:v>
                </c:pt>
                <c:pt idx="134">
                  <c:v>40.760061517448221</c:v>
                </c:pt>
                <c:pt idx="135">
                  <c:v>41.628018455234468</c:v>
                </c:pt>
                <c:pt idx="136">
                  <c:v>39.088405536570335</c:v>
                </c:pt>
                <c:pt idx="137">
                  <c:v>28.526521660971099</c:v>
                </c:pt>
                <c:pt idx="138">
                  <c:v>32.35795649829133</c:v>
                </c:pt>
                <c:pt idx="139">
                  <c:v>39.807386949487395</c:v>
                </c:pt>
                <c:pt idx="140">
                  <c:v>37.142216084846218</c:v>
                </c:pt>
                <c:pt idx="141">
                  <c:v>49.642664825453863</c:v>
                </c:pt>
                <c:pt idx="142">
                  <c:v>43.592799447636153</c:v>
                </c:pt>
                <c:pt idx="143">
                  <c:v>44.577839834290842</c:v>
                </c:pt>
                <c:pt idx="144">
                  <c:v>42.073351950287254</c:v>
                </c:pt>
                <c:pt idx="145">
                  <c:v>38.522005585086177</c:v>
                </c:pt>
                <c:pt idx="146">
                  <c:v>41.656601675525849</c:v>
                </c:pt>
                <c:pt idx="147">
                  <c:v>39.796980502657753</c:v>
                </c:pt>
                <c:pt idx="148">
                  <c:v>35.039094150797325</c:v>
                </c:pt>
                <c:pt idx="149">
                  <c:v>40.611728245239192</c:v>
                </c:pt>
                <c:pt idx="150">
                  <c:v>40.183518473571759</c:v>
                </c:pt>
                <c:pt idx="151">
                  <c:v>38.655055542071523</c:v>
                </c:pt>
                <c:pt idx="152">
                  <c:v>43.096516662621454</c:v>
                </c:pt>
                <c:pt idx="153">
                  <c:v>45.128954998786433</c:v>
                </c:pt>
                <c:pt idx="154">
                  <c:v>37.338686499635926</c:v>
                </c:pt>
                <c:pt idx="155">
                  <c:v>35.701605949890777</c:v>
                </c:pt>
                <c:pt idx="156">
                  <c:v>44.310481784967223</c:v>
                </c:pt>
                <c:pt idx="157">
                  <c:v>48.99314453549016</c:v>
                </c:pt>
                <c:pt idx="158">
                  <c:v>39.897943360647048</c:v>
                </c:pt>
                <c:pt idx="159">
                  <c:v>35.069383008194109</c:v>
                </c:pt>
                <c:pt idx="160">
                  <c:v>42.72081490245823</c:v>
                </c:pt>
                <c:pt idx="161">
                  <c:v>42.216244470737465</c:v>
                </c:pt>
                <c:pt idx="162">
                  <c:v>46.264873341221232</c:v>
                </c:pt>
                <c:pt idx="163">
                  <c:v>37.679462002366364</c:v>
                </c:pt>
                <c:pt idx="164">
                  <c:v>40.003838600709912</c:v>
                </c:pt>
                <c:pt idx="165">
                  <c:v>36.501151580212976</c:v>
                </c:pt>
                <c:pt idx="166">
                  <c:v>38.950345474063894</c:v>
                </c:pt>
                <c:pt idx="167">
                  <c:v>35.485103642219165</c:v>
                </c:pt>
                <c:pt idx="168">
                  <c:v>31.645531092665749</c:v>
                </c:pt>
                <c:pt idx="169">
                  <c:v>34.693659327799722</c:v>
                </c:pt>
                <c:pt idx="170">
                  <c:v>38.408097798339917</c:v>
                </c:pt>
                <c:pt idx="171">
                  <c:v>38.822429339501973</c:v>
                </c:pt>
                <c:pt idx="172">
                  <c:v>43.146728801850585</c:v>
                </c:pt>
                <c:pt idx="173">
                  <c:v>39.544018640555173</c:v>
                </c:pt>
                <c:pt idx="174">
                  <c:v>44.76320559216655</c:v>
                </c:pt>
                <c:pt idx="175">
                  <c:v>36.52896167764996</c:v>
                </c:pt>
                <c:pt idx="176">
                  <c:v>31.958688503294987</c:v>
                </c:pt>
                <c:pt idx="177">
                  <c:v>38.987606550988495</c:v>
                </c:pt>
                <c:pt idx="178">
                  <c:v>41.796281965296544</c:v>
                </c:pt>
                <c:pt idx="179">
                  <c:v>41.238884589588963</c:v>
                </c:pt>
                <c:pt idx="180">
                  <c:v>41.071665376876688</c:v>
                </c:pt>
                <c:pt idx="181">
                  <c:v>53.621499613063001</c:v>
                </c:pt>
                <c:pt idx="182">
                  <c:v>46.186449883918897</c:v>
                </c:pt>
                <c:pt idx="183">
                  <c:v>45.355934965175663</c:v>
                </c:pt>
                <c:pt idx="184">
                  <c:v>40.206780489552699</c:v>
                </c:pt>
                <c:pt idx="185">
                  <c:v>37.962034146865804</c:v>
                </c:pt>
                <c:pt idx="186">
                  <c:v>42.888610244059734</c:v>
                </c:pt>
                <c:pt idx="187">
                  <c:v>42.266583073217916</c:v>
                </c:pt>
                <c:pt idx="188">
                  <c:v>52.579974921965373</c:v>
                </c:pt>
                <c:pt idx="189">
                  <c:v>47.973992476589608</c:v>
                </c:pt>
                <c:pt idx="190">
                  <c:v>50.092197742976879</c:v>
                </c:pt>
                <c:pt idx="191">
                  <c:v>43.727659322893061</c:v>
                </c:pt>
                <c:pt idx="192">
                  <c:v>46.018297796867913</c:v>
                </c:pt>
                <c:pt idx="193">
                  <c:v>32.005489339060375</c:v>
                </c:pt>
                <c:pt idx="194">
                  <c:v>34.101646801718111</c:v>
                </c:pt>
                <c:pt idx="195">
                  <c:v>41.030494040515428</c:v>
                </c:pt>
                <c:pt idx="196">
                  <c:v>41.009148212154628</c:v>
                </c:pt>
                <c:pt idx="197">
                  <c:v>41.702744463646383</c:v>
                </c:pt>
                <c:pt idx="198">
                  <c:v>37.710823339093913</c:v>
                </c:pt>
                <c:pt idx="199">
                  <c:v>42.813247001728172</c:v>
                </c:pt>
                <c:pt idx="200">
                  <c:v>44.343974100518452</c:v>
                </c:pt>
                <c:pt idx="201">
                  <c:v>44.803192230155531</c:v>
                </c:pt>
                <c:pt idx="202">
                  <c:v>46.340957669046659</c:v>
                </c:pt>
                <c:pt idx="203">
                  <c:v>40.502287300713995</c:v>
                </c:pt>
                <c:pt idx="204">
                  <c:v>41.550686190214194</c:v>
                </c:pt>
                <c:pt idx="205">
                  <c:v>36.965205857064255</c:v>
                </c:pt>
                <c:pt idx="206">
                  <c:v>36.289561757119273</c:v>
                </c:pt>
                <c:pt idx="207">
                  <c:v>38.186868527135779</c:v>
                </c:pt>
                <c:pt idx="208">
                  <c:v>42.956060558140727</c:v>
                </c:pt>
                <c:pt idx="209">
                  <c:v>42.986818167442216</c:v>
                </c:pt>
                <c:pt idx="210">
                  <c:v>45.796045450232661</c:v>
                </c:pt>
                <c:pt idx="211">
                  <c:v>38.938813635069799</c:v>
                </c:pt>
                <c:pt idx="212">
                  <c:v>40.381644090520936</c:v>
                </c:pt>
                <c:pt idx="213">
                  <c:v>47.114493227156281</c:v>
                </c:pt>
                <c:pt idx="214">
                  <c:v>41.434347968146881</c:v>
                </c:pt>
                <c:pt idx="215">
                  <c:v>41.130304390444067</c:v>
                </c:pt>
                <c:pt idx="216">
                  <c:v>44.539091317133213</c:v>
                </c:pt>
                <c:pt idx="217">
                  <c:v>58.161727395139962</c:v>
                </c:pt>
                <c:pt idx="218">
                  <c:v>48.948518218541984</c:v>
                </c:pt>
                <c:pt idx="219">
                  <c:v>38.484555465562593</c:v>
                </c:pt>
                <c:pt idx="220">
                  <c:v>38.145366639668779</c:v>
                </c:pt>
                <c:pt idx="221">
                  <c:v>42.243609991900627</c:v>
                </c:pt>
                <c:pt idx="222">
                  <c:v>46.273082997570185</c:v>
                </c:pt>
                <c:pt idx="223">
                  <c:v>46.081924899271051</c:v>
                </c:pt>
                <c:pt idx="224">
                  <c:v>44.624577469781315</c:v>
                </c:pt>
                <c:pt idx="225">
                  <c:v>39.287373240934393</c:v>
                </c:pt>
                <c:pt idx="226">
                  <c:v>39.086211972280317</c:v>
                </c:pt>
                <c:pt idx="227">
                  <c:v>42.525863591684093</c:v>
                </c:pt>
                <c:pt idx="228">
                  <c:v>44.257759077505227</c:v>
                </c:pt>
                <c:pt idx="229">
                  <c:v>36.377327723251568</c:v>
                </c:pt>
                <c:pt idx="230">
                  <c:v>41.713198316975465</c:v>
                </c:pt>
                <c:pt idx="231">
                  <c:v>39.113959495092637</c:v>
                </c:pt>
                <c:pt idx="232">
                  <c:v>43.934187848527785</c:v>
                </c:pt>
                <c:pt idx="233">
                  <c:v>45.380256354558327</c:v>
                </c:pt>
                <c:pt idx="234">
                  <c:v>41.614076906367501</c:v>
                </c:pt>
                <c:pt idx="235">
                  <c:v>39.784223071910247</c:v>
                </c:pt>
                <c:pt idx="236">
                  <c:v>42.735266921573071</c:v>
                </c:pt>
                <c:pt idx="237">
                  <c:v>46.420580076471914</c:v>
                </c:pt>
                <c:pt idx="238">
                  <c:v>48.926174022941574</c:v>
                </c:pt>
                <c:pt idx="239">
                  <c:v>43.377852206882473</c:v>
                </c:pt>
                <c:pt idx="240">
                  <c:v>42.413355662064738</c:v>
                </c:pt>
                <c:pt idx="241">
                  <c:v>48.424006698619415</c:v>
                </c:pt>
                <c:pt idx="242">
                  <c:v>43.227202009585824</c:v>
                </c:pt>
                <c:pt idx="243">
                  <c:v>43.768160602875746</c:v>
                </c:pt>
                <c:pt idx="244">
                  <c:v>39.730448180862723</c:v>
                </c:pt>
                <c:pt idx="245">
                  <c:v>59.519134454258811</c:v>
                </c:pt>
                <c:pt idx="246">
                  <c:v>45.855740336277641</c:v>
                </c:pt>
                <c:pt idx="247">
                  <c:v>43.156722100883293</c:v>
                </c:pt>
                <c:pt idx="248">
                  <c:v>48.647016630264986</c:v>
                </c:pt>
                <c:pt idx="249">
                  <c:v>45.394104989079494</c:v>
                </c:pt>
                <c:pt idx="250">
                  <c:v>45.118231496723844</c:v>
                </c:pt>
                <c:pt idx="251">
                  <c:v>38.735469449017152</c:v>
                </c:pt>
                <c:pt idx="252">
                  <c:v>51.520640834705148</c:v>
                </c:pt>
                <c:pt idx="253">
                  <c:v>46.256192250411544</c:v>
                </c:pt>
                <c:pt idx="254">
                  <c:v>43.276857675123459</c:v>
                </c:pt>
                <c:pt idx="255">
                  <c:v>50.083057302537028</c:v>
                </c:pt>
                <c:pt idx="256">
                  <c:v>44.424917190761107</c:v>
                </c:pt>
                <c:pt idx="257">
                  <c:v>37.127475157228332</c:v>
                </c:pt>
                <c:pt idx="258">
                  <c:v>39.138242547168502</c:v>
                </c:pt>
                <c:pt idx="259">
                  <c:v>50.941472764150546</c:v>
                </c:pt>
                <c:pt idx="260">
                  <c:v>46.082441829245163</c:v>
                </c:pt>
                <c:pt idx="261">
                  <c:v>50.924732548773541</c:v>
                </c:pt>
                <c:pt idx="262">
                  <c:v>53.777419764632057</c:v>
                </c:pt>
                <c:pt idx="263">
                  <c:v>43.433225929389614</c:v>
                </c:pt>
                <c:pt idx="264">
                  <c:v>54.329967778816879</c:v>
                </c:pt>
                <c:pt idx="265">
                  <c:v>54.798990333645065</c:v>
                </c:pt>
                <c:pt idx="266">
                  <c:v>67.53969710009352</c:v>
                </c:pt>
                <c:pt idx="267">
                  <c:v>58.761909130028059</c:v>
                </c:pt>
                <c:pt idx="268">
                  <c:v>48.428572739008416</c:v>
                </c:pt>
                <c:pt idx="269">
                  <c:v>44.628571821702522</c:v>
                </c:pt>
                <c:pt idx="270">
                  <c:v>41.388571546510754</c:v>
                </c:pt>
                <c:pt idx="271">
                  <c:v>45.316571463953224</c:v>
                </c:pt>
                <c:pt idx="272">
                  <c:v>49.294971439185964</c:v>
                </c:pt>
                <c:pt idx="273">
                  <c:v>53.988491431755783</c:v>
                </c:pt>
                <c:pt idx="274">
                  <c:v>50.496547429526728</c:v>
                </c:pt>
                <c:pt idx="275">
                  <c:v>52.948964228858017</c:v>
                </c:pt>
                <c:pt idx="276">
                  <c:v>55.084689268657399</c:v>
                </c:pt>
                <c:pt idx="277">
                  <c:v>49.425406780597214</c:v>
                </c:pt>
                <c:pt idx="278">
                  <c:v>45.627622034179161</c:v>
                </c:pt>
                <c:pt idx="279">
                  <c:v>43.788286610253749</c:v>
                </c:pt>
                <c:pt idx="280">
                  <c:v>42.536485983076119</c:v>
                </c:pt>
                <c:pt idx="281">
                  <c:v>44.260945794922833</c:v>
                </c:pt>
                <c:pt idx="282">
                  <c:v>48.278283738476851</c:v>
                </c:pt>
                <c:pt idx="283">
                  <c:v>48.083485121543049</c:v>
                </c:pt>
                <c:pt idx="284">
                  <c:v>44.525045536462912</c:v>
                </c:pt>
                <c:pt idx="285">
                  <c:v>41.357513660938871</c:v>
                </c:pt>
                <c:pt idx="286">
                  <c:v>53.707254098281659</c:v>
                </c:pt>
                <c:pt idx="287">
                  <c:v>44.812176229484493</c:v>
                </c:pt>
                <c:pt idx="288">
                  <c:v>42.843652868845346</c:v>
                </c:pt>
                <c:pt idx="289">
                  <c:v>48.553095860653599</c:v>
                </c:pt>
                <c:pt idx="290">
                  <c:v>48.865928758196077</c:v>
                </c:pt>
                <c:pt idx="291">
                  <c:v>46.15977862745882</c:v>
                </c:pt>
                <c:pt idx="292">
                  <c:v>43.947933588237646</c:v>
                </c:pt>
                <c:pt idx="293">
                  <c:v>42.584380076471291</c:v>
                </c:pt>
                <c:pt idx="294">
                  <c:v>39.375314022941382</c:v>
                </c:pt>
                <c:pt idx="295">
                  <c:v>44.712594206882414</c:v>
                </c:pt>
                <c:pt idx="296">
                  <c:v>40.013778262064719</c:v>
                </c:pt>
                <c:pt idx="297">
                  <c:v>37.204133478619411</c:v>
                </c:pt>
                <c:pt idx="298">
                  <c:v>40.561240043585819</c:v>
                </c:pt>
                <c:pt idx="299">
                  <c:v>36.668372013075746</c:v>
                </c:pt>
                <c:pt idx="300">
                  <c:v>30.600511603922719</c:v>
                </c:pt>
                <c:pt idx="301">
                  <c:v>39.980153481176814</c:v>
                </c:pt>
                <c:pt idx="302">
                  <c:v>37.194046044353044</c:v>
                </c:pt>
                <c:pt idx="303">
                  <c:v>42.658213813305906</c:v>
                </c:pt>
                <c:pt idx="304">
                  <c:v>44.997464143991763</c:v>
                </c:pt>
                <c:pt idx="305">
                  <c:v>47.099239243197523</c:v>
                </c:pt>
                <c:pt idx="306">
                  <c:v>48.429771772959256</c:v>
                </c:pt>
                <c:pt idx="307">
                  <c:v>44.628931531887773</c:v>
                </c:pt>
                <c:pt idx="308">
                  <c:v>42.788679459566332</c:v>
                </c:pt>
                <c:pt idx="309">
                  <c:v>54.136603837869899</c:v>
                </c:pt>
                <c:pt idx="310">
                  <c:v>47.74098115136097</c:v>
                </c:pt>
                <c:pt idx="311">
                  <c:v>50.722294345408287</c:v>
                </c:pt>
                <c:pt idx="312">
                  <c:v>47.416688303622479</c:v>
                </c:pt>
                <c:pt idx="313">
                  <c:v>43.625006491086744</c:v>
                </c:pt>
                <c:pt idx="314">
                  <c:v>41.087501947326025</c:v>
                </c:pt>
                <c:pt idx="315">
                  <c:v>40.326250584197808</c:v>
                </c:pt>
                <c:pt idx="316">
                  <c:v>43.59787517525934</c:v>
                </c:pt>
                <c:pt idx="317">
                  <c:v>37.579362552577805</c:v>
                </c:pt>
                <c:pt idx="318">
                  <c:v>35.773808765773339</c:v>
                </c:pt>
                <c:pt idx="319">
                  <c:v>38.732142629732003</c:v>
                </c:pt>
                <c:pt idx="320">
                  <c:v>38.919642788919596</c:v>
                </c:pt>
                <c:pt idx="321">
                  <c:v>34.775892836675879</c:v>
                </c:pt>
                <c:pt idx="322">
                  <c:v>39.832767851002764</c:v>
                </c:pt>
                <c:pt idx="323">
                  <c:v>44.849830355300824</c:v>
                </c:pt>
                <c:pt idx="324">
                  <c:v>49.154949106590244</c:v>
                </c:pt>
                <c:pt idx="325">
                  <c:v>45.546484731977074</c:v>
                </c:pt>
                <c:pt idx="326">
                  <c:v>41.663945419593119</c:v>
                </c:pt>
                <c:pt idx="327">
                  <c:v>52.399183625877932</c:v>
                </c:pt>
                <c:pt idx="328">
                  <c:v>50.019755087763372</c:v>
                </c:pt>
                <c:pt idx="329">
                  <c:v>46.505926526329006</c:v>
                </c:pt>
                <c:pt idx="330">
                  <c:v>48.251777957898696</c:v>
                </c:pt>
                <c:pt idx="331">
                  <c:v>50.175533387369605</c:v>
                </c:pt>
                <c:pt idx="332">
                  <c:v>47.252660016210875</c:v>
                </c:pt>
                <c:pt idx="333">
                  <c:v>44.975798004863258</c:v>
                </c:pt>
                <c:pt idx="334">
                  <c:v>49.892739401458975</c:v>
                </c:pt>
                <c:pt idx="335">
                  <c:v>46.467821820437692</c:v>
                </c:pt>
                <c:pt idx="336">
                  <c:v>36.340346546131308</c:v>
                </c:pt>
                <c:pt idx="337">
                  <c:v>43.10210396383939</c:v>
                </c:pt>
                <c:pt idx="338">
                  <c:v>41.630631189151813</c:v>
                </c:pt>
                <c:pt idx="339">
                  <c:v>36.289189356745538</c:v>
                </c:pt>
                <c:pt idx="340">
                  <c:v>33.98675680702366</c:v>
                </c:pt>
                <c:pt idx="341">
                  <c:v>35.396027042107093</c:v>
                </c:pt>
                <c:pt idx="342">
                  <c:v>44.918808112632121</c:v>
                </c:pt>
                <c:pt idx="343">
                  <c:v>43.575642433789632</c:v>
                </c:pt>
                <c:pt idx="344">
                  <c:v>43.172692730136887</c:v>
                </c:pt>
                <c:pt idx="345">
                  <c:v>36.751807819041062</c:v>
                </c:pt>
                <c:pt idx="346">
                  <c:v>38.325542345712314</c:v>
                </c:pt>
                <c:pt idx="347">
                  <c:v>35.997662703713694</c:v>
                </c:pt>
                <c:pt idx="348">
                  <c:v>47.199298811114105</c:v>
                </c:pt>
                <c:pt idx="349">
                  <c:v>47.059789643334227</c:v>
                </c:pt>
                <c:pt idx="350">
                  <c:v>50.517936893000268</c:v>
                </c:pt>
                <c:pt idx="351">
                  <c:v>42.455381067900078</c:v>
                </c:pt>
                <c:pt idx="352">
                  <c:v>40.736614320370023</c:v>
                </c:pt>
                <c:pt idx="353">
                  <c:v>41.620984296111004</c:v>
                </c:pt>
                <c:pt idx="354">
                  <c:v>41.886295288833296</c:v>
                </c:pt>
                <c:pt idx="355">
                  <c:v>49.665888586649984</c:v>
                </c:pt>
                <c:pt idx="356">
                  <c:v>42.199766575994992</c:v>
                </c:pt>
                <c:pt idx="357">
                  <c:v>40.659929972798494</c:v>
                </c:pt>
                <c:pt idx="358">
                  <c:v>38.797978991839543</c:v>
                </c:pt>
                <c:pt idx="359">
                  <c:v>42.439393697551857</c:v>
                </c:pt>
                <c:pt idx="360">
                  <c:v>36.531818109265558</c:v>
                </c:pt>
                <c:pt idx="361">
                  <c:v>36.859545432779669</c:v>
                </c:pt>
                <c:pt idx="362">
                  <c:v>47.457863629833895</c:v>
                </c:pt>
                <c:pt idx="363">
                  <c:v>47.837359088950166</c:v>
                </c:pt>
                <c:pt idx="364">
                  <c:v>52.851207726685047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E-4299-8D15-7D1BA6704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092888"/>
        <c:axId val="386082088"/>
      </c:lineChart>
      <c:catAx>
        <c:axId val="386092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386082088"/>
        <c:crosses val="autoZero"/>
        <c:auto val="1"/>
        <c:lblAlgn val="ctr"/>
        <c:lblOffset val="100"/>
        <c:noMultiLvlLbl val="0"/>
      </c:catAx>
      <c:valAx>
        <c:axId val="386082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60928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'EX-S Forcast'!$B$1</c:f>
              <c:strCache>
                <c:ptCount val="1"/>
                <c:pt idx="0">
                  <c:v>Daily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'EX-S Forcast'!$B$2:$B$458</c:f>
              <c:numCache>
                <c:formatCode>General</c:formatCode>
                <c:ptCount val="457"/>
                <c:pt idx="0">
                  <c:v>35</c:v>
                </c:pt>
                <c:pt idx="1">
                  <c:v>32</c:v>
                </c:pt>
                <c:pt idx="2">
                  <c:v>30</c:v>
                </c:pt>
                <c:pt idx="3">
                  <c:v>31</c:v>
                </c:pt>
                <c:pt idx="4">
                  <c:v>44</c:v>
                </c:pt>
                <c:pt idx="5">
                  <c:v>29</c:v>
                </c:pt>
                <c:pt idx="6">
                  <c:v>45</c:v>
                </c:pt>
                <c:pt idx="7">
                  <c:v>43</c:v>
                </c:pt>
                <c:pt idx="8">
                  <c:v>38</c:v>
                </c:pt>
                <c:pt idx="9">
                  <c:v>27</c:v>
                </c:pt>
                <c:pt idx="10">
                  <c:v>38</c:v>
                </c:pt>
                <c:pt idx="11">
                  <c:v>33</c:v>
                </c:pt>
                <c:pt idx="12">
                  <c:v>55</c:v>
                </c:pt>
                <c:pt idx="13">
                  <c:v>47</c:v>
                </c:pt>
                <c:pt idx="14">
                  <c:v>45</c:v>
                </c:pt>
                <c:pt idx="15">
                  <c:v>37</c:v>
                </c:pt>
                <c:pt idx="16">
                  <c:v>50</c:v>
                </c:pt>
                <c:pt idx="17">
                  <c:v>43</c:v>
                </c:pt>
                <c:pt idx="18">
                  <c:v>41</c:v>
                </c:pt>
                <c:pt idx="19">
                  <c:v>52</c:v>
                </c:pt>
                <c:pt idx="20">
                  <c:v>34</c:v>
                </c:pt>
                <c:pt idx="21">
                  <c:v>53</c:v>
                </c:pt>
                <c:pt idx="22">
                  <c:v>39</c:v>
                </c:pt>
                <c:pt idx="23">
                  <c:v>32</c:v>
                </c:pt>
                <c:pt idx="24">
                  <c:v>37</c:v>
                </c:pt>
                <c:pt idx="25">
                  <c:v>43</c:v>
                </c:pt>
                <c:pt idx="26">
                  <c:v>39</c:v>
                </c:pt>
                <c:pt idx="27">
                  <c:v>35</c:v>
                </c:pt>
                <c:pt idx="28">
                  <c:v>44</c:v>
                </c:pt>
                <c:pt idx="29">
                  <c:v>38</c:v>
                </c:pt>
                <c:pt idx="30">
                  <c:v>24</c:v>
                </c:pt>
                <c:pt idx="31">
                  <c:v>23</c:v>
                </c:pt>
                <c:pt idx="32">
                  <c:v>31</c:v>
                </c:pt>
                <c:pt idx="33">
                  <c:v>44</c:v>
                </c:pt>
                <c:pt idx="34">
                  <c:v>38</c:v>
                </c:pt>
                <c:pt idx="35">
                  <c:v>50</c:v>
                </c:pt>
                <c:pt idx="36">
                  <c:v>38</c:v>
                </c:pt>
                <c:pt idx="37">
                  <c:v>51</c:v>
                </c:pt>
                <c:pt idx="38">
                  <c:v>31</c:v>
                </c:pt>
                <c:pt idx="39">
                  <c:v>31</c:v>
                </c:pt>
                <c:pt idx="40">
                  <c:v>51</c:v>
                </c:pt>
                <c:pt idx="41">
                  <c:v>36</c:v>
                </c:pt>
                <c:pt idx="42">
                  <c:v>45</c:v>
                </c:pt>
                <c:pt idx="43">
                  <c:v>51</c:v>
                </c:pt>
                <c:pt idx="44">
                  <c:v>34</c:v>
                </c:pt>
                <c:pt idx="45">
                  <c:v>52</c:v>
                </c:pt>
                <c:pt idx="46">
                  <c:v>47</c:v>
                </c:pt>
                <c:pt idx="47">
                  <c:v>45</c:v>
                </c:pt>
                <c:pt idx="48">
                  <c:v>46</c:v>
                </c:pt>
                <c:pt idx="49">
                  <c:v>39</c:v>
                </c:pt>
                <c:pt idx="50">
                  <c:v>48</c:v>
                </c:pt>
                <c:pt idx="51">
                  <c:v>37</c:v>
                </c:pt>
                <c:pt idx="52">
                  <c:v>35</c:v>
                </c:pt>
                <c:pt idx="53">
                  <c:v>52</c:v>
                </c:pt>
                <c:pt idx="54">
                  <c:v>42</c:v>
                </c:pt>
                <c:pt idx="55">
                  <c:v>45</c:v>
                </c:pt>
                <c:pt idx="56">
                  <c:v>39</c:v>
                </c:pt>
                <c:pt idx="57">
                  <c:v>37</c:v>
                </c:pt>
                <c:pt idx="58">
                  <c:v>30</c:v>
                </c:pt>
                <c:pt idx="59">
                  <c:v>35</c:v>
                </c:pt>
                <c:pt idx="60">
                  <c:v>28</c:v>
                </c:pt>
                <c:pt idx="61">
                  <c:v>45</c:v>
                </c:pt>
                <c:pt idx="62">
                  <c:v>34</c:v>
                </c:pt>
                <c:pt idx="63">
                  <c:v>36</c:v>
                </c:pt>
                <c:pt idx="64">
                  <c:v>50</c:v>
                </c:pt>
                <c:pt idx="65">
                  <c:v>44</c:v>
                </c:pt>
                <c:pt idx="66">
                  <c:v>39</c:v>
                </c:pt>
                <c:pt idx="67">
                  <c:v>32</c:v>
                </c:pt>
                <c:pt idx="68">
                  <c:v>39</c:v>
                </c:pt>
                <c:pt idx="69">
                  <c:v>45</c:v>
                </c:pt>
                <c:pt idx="70">
                  <c:v>43</c:v>
                </c:pt>
                <c:pt idx="71">
                  <c:v>39</c:v>
                </c:pt>
                <c:pt idx="72">
                  <c:v>31</c:v>
                </c:pt>
                <c:pt idx="73">
                  <c:v>27</c:v>
                </c:pt>
                <c:pt idx="74">
                  <c:v>30</c:v>
                </c:pt>
                <c:pt idx="75">
                  <c:v>42</c:v>
                </c:pt>
                <c:pt idx="76">
                  <c:v>46</c:v>
                </c:pt>
                <c:pt idx="77">
                  <c:v>41</c:v>
                </c:pt>
                <c:pt idx="78">
                  <c:v>36</c:v>
                </c:pt>
                <c:pt idx="79">
                  <c:v>45</c:v>
                </c:pt>
                <c:pt idx="80">
                  <c:v>46</c:v>
                </c:pt>
                <c:pt idx="81">
                  <c:v>43</c:v>
                </c:pt>
                <c:pt idx="82">
                  <c:v>38</c:v>
                </c:pt>
                <c:pt idx="83">
                  <c:v>34</c:v>
                </c:pt>
                <c:pt idx="84">
                  <c:v>35</c:v>
                </c:pt>
                <c:pt idx="85">
                  <c:v>56</c:v>
                </c:pt>
                <c:pt idx="86">
                  <c:v>36</c:v>
                </c:pt>
                <c:pt idx="87">
                  <c:v>32</c:v>
                </c:pt>
                <c:pt idx="88">
                  <c:v>50</c:v>
                </c:pt>
                <c:pt idx="89">
                  <c:v>41</c:v>
                </c:pt>
                <c:pt idx="90">
                  <c:v>39</c:v>
                </c:pt>
                <c:pt idx="91">
                  <c:v>41</c:v>
                </c:pt>
                <c:pt idx="92">
                  <c:v>47</c:v>
                </c:pt>
                <c:pt idx="93">
                  <c:v>34</c:v>
                </c:pt>
                <c:pt idx="94">
                  <c:v>36</c:v>
                </c:pt>
                <c:pt idx="95">
                  <c:v>33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53</c:v>
                </c:pt>
                <c:pt idx="101">
                  <c:v>34</c:v>
                </c:pt>
                <c:pt idx="102">
                  <c:v>34</c:v>
                </c:pt>
                <c:pt idx="103">
                  <c:v>38</c:v>
                </c:pt>
                <c:pt idx="104">
                  <c:v>35</c:v>
                </c:pt>
                <c:pt idx="105">
                  <c:v>32</c:v>
                </c:pt>
                <c:pt idx="106">
                  <c:v>42</c:v>
                </c:pt>
                <c:pt idx="107">
                  <c:v>34</c:v>
                </c:pt>
                <c:pt idx="108">
                  <c:v>46</c:v>
                </c:pt>
                <c:pt idx="109">
                  <c:v>30</c:v>
                </c:pt>
                <c:pt idx="110">
                  <c:v>46</c:v>
                </c:pt>
                <c:pt idx="111">
                  <c:v>45</c:v>
                </c:pt>
                <c:pt idx="112">
                  <c:v>54</c:v>
                </c:pt>
                <c:pt idx="113">
                  <c:v>34</c:v>
                </c:pt>
                <c:pt idx="114">
                  <c:v>37</c:v>
                </c:pt>
                <c:pt idx="115">
                  <c:v>35</c:v>
                </c:pt>
                <c:pt idx="116">
                  <c:v>40</c:v>
                </c:pt>
                <c:pt idx="117">
                  <c:v>42</c:v>
                </c:pt>
                <c:pt idx="118">
                  <c:v>58</c:v>
                </c:pt>
                <c:pt idx="119">
                  <c:v>51</c:v>
                </c:pt>
                <c:pt idx="120">
                  <c:v>32</c:v>
                </c:pt>
                <c:pt idx="121">
                  <c:v>35</c:v>
                </c:pt>
                <c:pt idx="122">
                  <c:v>38</c:v>
                </c:pt>
                <c:pt idx="123">
                  <c:v>33</c:v>
                </c:pt>
                <c:pt idx="124">
                  <c:v>39</c:v>
                </c:pt>
                <c:pt idx="125">
                  <c:v>47</c:v>
                </c:pt>
                <c:pt idx="126">
                  <c:v>38</c:v>
                </c:pt>
                <c:pt idx="127">
                  <c:v>52</c:v>
                </c:pt>
                <c:pt idx="128">
                  <c:v>30</c:v>
                </c:pt>
                <c:pt idx="129">
                  <c:v>34</c:v>
                </c:pt>
                <c:pt idx="130">
                  <c:v>40</c:v>
                </c:pt>
                <c:pt idx="131">
                  <c:v>35</c:v>
                </c:pt>
                <c:pt idx="132">
                  <c:v>42</c:v>
                </c:pt>
                <c:pt idx="133">
                  <c:v>41</c:v>
                </c:pt>
                <c:pt idx="134">
                  <c:v>42</c:v>
                </c:pt>
                <c:pt idx="135">
                  <c:v>38</c:v>
                </c:pt>
                <c:pt idx="136">
                  <c:v>24</c:v>
                </c:pt>
                <c:pt idx="137">
                  <c:v>34</c:v>
                </c:pt>
                <c:pt idx="138">
                  <c:v>43</c:v>
                </c:pt>
                <c:pt idx="139">
                  <c:v>36</c:v>
                </c:pt>
                <c:pt idx="140">
                  <c:v>55</c:v>
                </c:pt>
                <c:pt idx="141">
                  <c:v>41</c:v>
                </c:pt>
                <c:pt idx="142">
                  <c:v>45</c:v>
                </c:pt>
                <c:pt idx="143">
                  <c:v>41</c:v>
                </c:pt>
                <c:pt idx="144">
                  <c:v>37</c:v>
                </c:pt>
                <c:pt idx="145">
                  <c:v>43</c:v>
                </c:pt>
                <c:pt idx="146">
                  <c:v>39</c:v>
                </c:pt>
                <c:pt idx="147">
                  <c:v>33</c:v>
                </c:pt>
                <c:pt idx="148">
                  <c:v>43</c:v>
                </c:pt>
                <c:pt idx="149">
                  <c:v>40</c:v>
                </c:pt>
                <c:pt idx="150">
                  <c:v>38</c:v>
                </c:pt>
                <c:pt idx="151">
                  <c:v>45</c:v>
                </c:pt>
                <c:pt idx="152">
                  <c:v>46</c:v>
                </c:pt>
                <c:pt idx="153">
                  <c:v>34</c:v>
                </c:pt>
                <c:pt idx="154">
                  <c:v>35</c:v>
                </c:pt>
                <c:pt idx="155">
                  <c:v>48</c:v>
                </c:pt>
                <c:pt idx="156">
                  <c:v>51</c:v>
                </c:pt>
                <c:pt idx="157">
                  <c:v>36</c:v>
                </c:pt>
                <c:pt idx="158">
                  <c:v>33</c:v>
                </c:pt>
                <c:pt idx="159">
                  <c:v>46</c:v>
                </c:pt>
                <c:pt idx="160">
                  <c:v>42</c:v>
                </c:pt>
                <c:pt idx="161">
                  <c:v>48</c:v>
                </c:pt>
                <c:pt idx="162">
                  <c:v>34</c:v>
                </c:pt>
                <c:pt idx="163">
                  <c:v>41</c:v>
                </c:pt>
                <c:pt idx="164">
                  <c:v>35</c:v>
                </c:pt>
                <c:pt idx="165">
                  <c:v>40</c:v>
                </c:pt>
                <c:pt idx="166">
                  <c:v>34</c:v>
                </c:pt>
                <c:pt idx="167">
                  <c:v>30</c:v>
                </c:pt>
                <c:pt idx="168">
                  <c:v>36</c:v>
                </c:pt>
                <c:pt idx="169">
                  <c:v>40</c:v>
                </c:pt>
                <c:pt idx="170">
                  <c:v>39</c:v>
                </c:pt>
                <c:pt idx="171">
                  <c:v>45</c:v>
                </c:pt>
                <c:pt idx="172">
                  <c:v>38</c:v>
                </c:pt>
                <c:pt idx="173">
                  <c:v>47</c:v>
                </c:pt>
                <c:pt idx="174">
                  <c:v>33</c:v>
                </c:pt>
                <c:pt idx="175">
                  <c:v>30</c:v>
                </c:pt>
                <c:pt idx="176">
                  <c:v>42</c:v>
                </c:pt>
                <c:pt idx="177">
                  <c:v>43</c:v>
                </c:pt>
                <c:pt idx="178">
                  <c:v>41</c:v>
                </c:pt>
                <c:pt idx="179">
                  <c:v>41</c:v>
                </c:pt>
                <c:pt idx="180">
                  <c:v>59</c:v>
                </c:pt>
                <c:pt idx="181">
                  <c:v>43</c:v>
                </c:pt>
                <c:pt idx="182">
                  <c:v>45</c:v>
                </c:pt>
                <c:pt idx="183">
                  <c:v>38</c:v>
                </c:pt>
                <c:pt idx="184">
                  <c:v>37</c:v>
                </c:pt>
                <c:pt idx="185">
                  <c:v>45</c:v>
                </c:pt>
                <c:pt idx="186">
                  <c:v>42</c:v>
                </c:pt>
                <c:pt idx="187">
                  <c:v>57</c:v>
                </c:pt>
                <c:pt idx="188">
                  <c:v>46</c:v>
                </c:pt>
                <c:pt idx="189">
                  <c:v>51</c:v>
                </c:pt>
                <c:pt idx="190">
                  <c:v>41</c:v>
                </c:pt>
                <c:pt idx="191">
                  <c:v>47</c:v>
                </c:pt>
                <c:pt idx="192">
                  <c:v>26</c:v>
                </c:pt>
                <c:pt idx="193">
                  <c:v>35</c:v>
                </c:pt>
                <c:pt idx="194">
                  <c:v>44</c:v>
                </c:pt>
                <c:pt idx="195">
                  <c:v>41</c:v>
                </c:pt>
                <c:pt idx="196">
                  <c:v>42</c:v>
                </c:pt>
                <c:pt idx="197">
                  <c:v>36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47</c:v>
                </c:pt>
                <c:pt idx="202">
                  <c:v>38</c:v>
                </c:pt>
                <c:pt idx="203">
                  <c:v>42</c:v>
                </c:pt>
                <c:pt idx="204">
                  <c:v>35</c:v>
                </c:pt>
                <c:pt idx="205">
                  <c:v>36</c:v>
                </c:pt>
                <c:pt idx="206">
                  <c:v>39</c:v>
                </c:pt>
                <c:pt idx="207">
                  <c:v>45</c:v>
                </c:pt>
                <c:pt idx="208">
                  <c:v>43</c:v>
                </c:pt>
                <c:pt idx="209">
                  <c:v>47</c:v>
                </c:pt>
                <c:pt idx="210">
                  <c:v>36</c:v>
                </c:pt>
                <c:pt idx="211">
                  <c:v>41</c:v>
                </c:pt>
                <c:pt idx="212">
                  <c:v>50</c:v>
                </c:pt>
                <c:pt idx="213">
                  <c:v>39</c:v>
                </c:pt>
                <c:pt idx="214">
                  <c:v>41</c:v>
                </c:pt>
                <c:pt idx="215">
                  <c:v>46</c:v>
                </c:pt>
                <c:pt idx="216">
                  <c:v>64</c:v>
                </c:pt>
                <c:pt idx="217">
                  <c:v>45</c:v>
                </c:pt>
                <c:pt idx="218">
                  <c:v>34</c:v>
                </c:pt>
                <c:pt idx="219">
                  <c:v>38</c:v>
                </c:pt>
                <c:pt idx="220">
                  <c:v>44</c:v>
                </c:pt>
                <c:pt idx="221">
                  <c:v>48</c:v>
                </c:pt>
                <c:pt idx="222">
                  <c:v>46</c:v>
                </c:pt>
                <c:pt idx="223">
                  <c:v>44</c:v>
                </c:pt>
                <c:pt idx="224">
                  <c:v>37</c:v>
                </c:pt>
                <c:pt idx="225">
                  <c:v>39</c:v>
                </c:pt>
                <c:pt idx="226">
                  <c:v>44</c:v>
                </c:pt>
                <c:pt idx="227">
                  <c:v>45</c:v>
                </c:pt>
                <c:pt idx="228">
                  <c:v>33</c:v>
                </c:pt>
                <c:pt idx="229">
                  <c:v>44</c:v>
                </c:pt>
                <c:pt idx="230">
                  <c:v>38</c:v>
                </c:pt>
                <c:pt idx="231">
                  <c:v>46</c:v>
                </c:pt>
                <c:pt idx="232">
                  <c:v>46</c:v>
                </c:pt>
                <c:pt idx="233">
                  <c:v>40</c:v>
                </c:pt>
                <c:pt idx="234">
                  <c:v>39</c:v>
                </c:pt>
                <c:pt idx="235">
                  <c:v>44</c:v>
                </c:pt>
                <c:pt idx="236">
                  <c:v>48</c:v>
                </c:pt>
                <c:pt idx="237">
                  <c:v>50</c:v>
                </c:pt>
                <c:pt idx="238">
                  <c:v>41</c:v>
                </c:pt>
                <c:pt idx="239">
                  <c:v>42</c:v>
                </c:pt>
                <c:pt idx="240">
                  <c:v>51</c:v>
                </c:pt>
                <c:pt idx="241">
                  <c:v>41</c:v>
                </c:pt>
                <c:pt idx="242">
                  <c:v>44</c:v>
                </c:pt>
                <c:pt idx="243">
                  <c:v>38</c:v>
                </c:pt>
                <c:pt idx="244">
                  <c:v>68</c:v>
                </c:pt>
                <c:pt idx="245">
                  <c:v>40</c:v>
                </c:pt>
                <c:pt idx="246">
                  <c:v>42</c:v>
                </c:pt>
                <c:pt idx="247">
                  <c:v>51</c:v>
                </c:pt>
                <c:pt idx="248">
                  <c:v>44</c:v>
                </c:pt>
                <c:pt idx="249">
                  <c:v>45</c:v>
                </c:pt>
                <c:pt idx="250">
                  <c:v>36</c:v>
                </c:pt>
                <c:pt idx="251">
                  <c:v>57</c:v>
                </c:pt>
                <c:pt idx="252">
                  <c:v>44</c:v>
                </c:pt>
                <c:pt idx="253">
                  <c:v>42</c:v>
                </c:pt>
                <c:pt idx="254">
                  <c:v>53</c:v>
                </c:pt>
                <c:pt idx="255">
                  <c:v>42</c:v>
                </c:pt>
                <c:pt idx="256">
                  <c:v>34</c:v>
                </c:pt>
                <c:pt idx="257">
                  <c:v>40</c:v>
                </c:pt>
                <c:pt idx="258">
                  <c:v>56</c:v>
                </c:pt>
                <c:pt idx="259">
                  <c:v>44</c:v>
                </c:pt>
                <c:pt idx="260">
                  <c:v>53</c:v>
                </c:pt>
                <c:pt idx="261">
                  <c:v>55</c:v>
                </c:pt>
                <c:pt idx="262">
                  <c:v>39</c:v>
                </c:pt>
                <c:pt idx="263">
                  <c:v>59</c:v>
                </c:pt>
                <c:pt idx="264">
                  <c:v>55</c:v>
                </c:pt>
                <c:pt idx="265">
                  <c:v>73</c:v>
                </c:pt>
                <c:pt idx="266">
                  <c:v>55</c:v>
                </c:pt>
                <c:pt idx="267">
                  <c:v>44</c:v>
                </c:pt>
                <c:pt idx="268">
                  <c:v>43</c:v>
                </c:pt>
                <c:pt idx="269">
                  <c:v>40</c:v>
                </c:pt>
                <c:pt idx="270">
                  <c:v>47</c:v>
                </c:pt>
                <c:pt idx="271">
                  <c:v>51</c:v>
                </c:pt>
                <c:pt idx="272">
                  <c:v>56</c:v>
                </c:pt>
                <c:pt idx="273">
                  <c:v>49</c:v>
                </c:pt>
                <c:pt idx="274">
                  <c:v>54</c:v>
                </c:pt>
                <c:pt idx="275">
                  <c:v>56</c:v>
                </c:pt>
                <c:pt idx="276">
                  <c:v>47</c:v>
                </c:pt>
                <c:pt idx="277">
                  <c:v>44</c:v>
                </c:pt>
                <c:pt idx="278">
                  <c:v>43</c:v>
                </c:pt>
                <c:pt idx="279">
                  <c:v>42</c:v>
                </c:pt>
                <c:pt idx="280">
                  <c:v>45</c:v>
                </c:pt>
                <c:pt idx="281">
                  <c:v>50</c:v>
                </c:pt>
                <c:pt idx="282">
                  <c:v>48</c:v>
                </c:pt>
                <c:pt idx="283">
                  <c:v>43</c:v>
                </c:pt>
                <c:pt idx="284">
                  <c:v>40</c:v>
                </c:pt>
                <c:pt idx="285">
                  <c:v>59</c:v>
                </c:pt>
                <c:pt idx="286">
                  <c:v>41</c:v>
                </c:pt>
                <c:pt idx="287">
                  <c:v>42</c:v>
                </c:pt>
                <c:pt idx="288">
                  <c:v>51</c:v>
                </c:pt>
                <c:pt idx="289">
                  <c:v>49</c:v>
                </c:pt>
                <c:pt idx="290">
                  <c:v>45</c:v>
                </c:pt>
                <c:pt idx="291">
                  <c:v>43</c:v>
                </c:pt>
                <c:pt idx="292">
                  <c:v>42</c:v>
                </c:pt>
                <c:pt idx="293">
                  <c:v>38</c:v>
                </c:pt>
                <c:pt idx="294">
                  <c:v>47</c:v>
                </c:pt>
                <c:pt idx="295">
                  <c:v>38</c:v>
                </c:pt>
                <c:pt idx="296">
                  <c:v>36</c:v>
                </c:pt>
                <c:pt idx="297">
                  <c:v>42</c:v>
                </c:pt>
                <c:pt idx="298">
                  <c:v>35</c:v>
                </c:pt>
                <c:pt idx="299">
                  <c:v>28</c:v>
                </c:pt>
                <c:pt idx="300">
                  <c:v>44</c:v>
                </c:pt>
                <c:pt idx="301">
                  <c:v>36</c:v>
                </c:pt>
                <c:pt idx="302">
                  <c:v>45</c:v>
                </c:pt>
                <c:pt idx="303">
                  <c:v>46</c:v>
                </c:pt>
                <c:pt idx="304">
                  <c:v>48</c:v>
                </c:pt>
                <c:pt idx="305">
                  <c:v>49</c:v>
                </c:pt>
                <c:pt idx="306">
                  <c:v>43</c:v>
                </c:pt>
                <c:pt idx="307">
                  <c:v>42</c:v>
                </c:pt>
                <c:pt idx="308">
                  <c:v>59</c:v>
                </c:pt>
                <c:pt idx="309">
                  <c:v>45</c:v>
                </c:pt>
                <c:pt idx="310">
                  <c:v>52</c:v>
                </c:pt>
                <c:pt idx="311">
                  <c:v>46</c:v>
                </c:pt>
                <c:pt idx="312">
                  <c:v>42</c:v>
                </c:pt>
                <c:pt idx="313">
                  <c:v>40</c:v>
                </c:pt>
                <c:pt idx="314">
                  <c:v>40</c:v>
                </c:pt>
                <c:pt idx="315">
                  <c:v>45</c:v>
                </c:pt>
                <c:pt idx="316">
                  <c:v>35</c:v>
                </c:pt>
                <c:pt idx="317">
                  <c:v>35</c:v>
                </c:pt>
                <c:pt idx="318">
                  <c:v>40</c:v>
                </c:pt>
                <c:pt idx="319">
                  <c:v>39</c:v>
                </c:pt>
                <c:pt idx="320">
                  <c:v>33</c:v>
                </c:pt>
                <c:pt idx="321">
                  <c:v>42</c:v>
                </c:pt>
                <c:pt idx="322">
                  <c:v>47</c:v>
                </c:pt>
                <c:pt idx="323">
                  <c:v>51</c:v>
                </c:pt>
                <c:pt idx="324">
                  <c:v>44</c:v>
                </c:pt>
                <c:pt idx="325">
                  <c:v>40</c:v>
                </c:pt>
                <c:pt idx="326">
                  <c:v>57</c:v>
                </c:pt>
                <c:pt idx="327">
                  <c:v>49</c:v>
                </c:pt>
                <c:pt idx="328">
                  <c:v>45</c:v>
                </c:pt>
                <c:pt idx="329">
                  <c:v>49</c:v>
                </c:pt>
                <c:pt idx="330">
                  <c:v>51</c:v>
                </c:pt>
                <c:pt idx="331">
                  <c:v>46</c:v>
                </c:pt>
                <c:pt idx="332">
                  <c:v>44</c:v>
                </c:pt>
                <c:pt idx="333">
                  <c:v>52</c:v>
                </c:pt>
                <c:pt idx="334">
                  <c:v>45</c:v>
                </c:pt>
                <c:pt idx="335">
                  <c:v>32</c:v>
                </c:pt>
                <c:pt idx="336">
                  <c:v>46</c:v>
                </c:pt>
                <c:pt idx="337">
                  <c:v>41</c:v>
                </c:pt>
                <c:pt idx="338">
                  <c:v>34</c:v>
                </c:pt>
                <c:pt idx="339">
                  <c:v>33</c:v>
                </c:pt>
                <c:pt idx="340">
                  <c:v>36</c:v>
                </c:pt>
                <c:pt idx="341">
                  <c:v>49</c:v>
                </c:pt>
                <c:pt idx="342">
                  <c:v>43</c:v>
                </c:pt>
                <c:pt idx="343">
                  <c:v>43</c:v>
                </c:pt>
                <c:pt idx="344">
                  <c:v>34</c:v>
                </c:pt>
                <c:pt idx="345">
                  <c:v>39</c:v>
                </c:pt>
                <c:pt idx="346">
                  <c:v>35</c:v>
                </c:pt>
                <c:pt idx="347">
                  <c:v>52</c:v>
                </c:pt>
                <c:pt idx="348">
                  <c:v>47</c:v>
                </c:pt>
                <c:pt idx="349">
                  <c:v>52</c:v>
                </c:pt>
                <c:pt idx="350">
                  <c:v>39</c:v>
                </c:pt>
                <c:pt idx="351">
                  <c:v>40</c:v>
                </c:pt>
                <c:pt idx="352">
                  <c:v>42</c:v>
                </c:pt>
                <c:pt idx="353">
                  <c:v>42</c:v>
                </c:pt>
                <c:pt idx="354">
                  <c:v>53</c:v>
                </c:pt>
                <c:pt idx="355">
                  <c:v>39</c:v>
                </c:pt>
                <c:pt idx="356">
                  <c:v>40</c:v>
                </c:pt>
                <c:pt idx="357">
                  <c:v>38</c:v>
                </c:pt>
                <c:pt idx="358">
                  <c:v>44</c:v>
                </c:pt>
                <c:pt idx="359">
                  <c:v>34</c:v>
                </c:pt>
                <c:pt idx="360">
                  <c:v>37</c:v>
                </c:pt>
                <c:pt idx="361">
                  <c:v>52</c:v>
                </c:pt>
                <c:pt idx="362">
                  <c:v>48</c:v>
                </c:pt>
                <c:pt idx="363">
                  <c:v>55</c:v>
                </c:pt>
                <c:pt idx="36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5-471C-9392-6F52D7950A35}"/>
            </c:ext>
          </c:extLst>
        </c:ser>
        <c:ser>
          <c:idx val="1"/>
          <c:order val="1"/>
          <c:tx>
            <c:strRef>
              <c:f>'EX-S Forcast'!$C$1</c:f>
              <c:strCache>
                <c:ptCount val="1"/>
                <c:pt idx="0">
                  <c:v>Forecast(Daily 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'EX-S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'EX-S Forcast'!$C$2:$C$458</c:f>
              <c:numCache>
                <c:formatCode>General</c:formatCode>
                <c:ptCount val="457"/>
                <c:pt idx="364">
                  <c:v>50</c:v>
                </c:pt>
                <c:pt idx="365">
                  <c:v>47.07848099046906</c:v>
                </c:pt>
                <c:pt idx="366">
                  <c:v>44.540814102244376</c:v>
                </c:pt>
                <c:pt idx="367">
                  <c:v>44.781489063466779</c:v>
                </c:pt>
                <c:pt idx="368">
                  <c:v>54.908684154817522</c:v>
                </c:pt>
                <c:pt idx="369">
                  <c:v>49.366808680756009</c:v>
                </c:pt>
                <c:pt idx="370">
                  <c:v>50.330835805359378</c:v>
                </c:pt>
                <c:pt idx="371">
                  <c:v>48.075340586273391</c:v>
                </c:pt>
                <c:pt idx="372">
                  <c:v>47.349610477405825</c:v>
                </c:pt>
                <c:pt idx="373">
                  <c:v>44.811943589181141</c:v>
                </c:pt>
                <c:pt idx="374">
                  <c:v>45.052618550403551</c:v>
                </c:pt>
                <c:pt idx="375">
                  <c:v>55.179813641754293</c:v>
                </c:pt>
                <c:pt idx="376">
                  <c:v>49.637938167692774</c:v>
                </c:pt>
                <c:pt idx="377">
                  <c:v>50.601965292296143</c:v>
                </c:pt>
                <c:pt idx="378">
                  <c:v>48.346470073210163</c:v>
                </c:pt>
                <c:pt idx="379">
                  <c:v>47.620739964342597</c:v>
                </c:pt>
                <c:pt idx="380">
                  <c:v>45.083073076117905</c:v>
                </c:pt>
                <c:pt idx="381">
                  <c:v>45.323748037340316</c:v>
                </c:pt>
                <c:pt idx="382">
                  <c:v>55.450943128691058</c:v>
                </c:pt>
                <c:pt idx="383">
                  <c:v>49.909067654629546</c:v>
                </c:pt>
                <c:pt idx="384">
                  <c:v>50.873094779232915</c:v>
                </c:pt>
                <c:pt idx="385">
                  <c:v>48.617599560146928</c:v>
                </c:pt>
                <c:pt idx="386">
                  <c:v>47.891869451279362</c:v>
                </c:pt>
                <c:pt idx="387">
                  <c:v>45.354202563054677</c:v>
                </c:pt>
                <c:pt idx="388">
                  <c:v>45.594877524277088</c:v>
                </c:pt>
                <c:pt idx="389">
                  <c:v>55.722072615627823</c:v>
                </c:pt>
                <c:pt idx="390">
                  <c:v>50.18019714156631</c:v>
                </c:pt>
                <c:pt idx="391">
                  <c:v>51.14422426616968</c:v>
                </c:pt>
                <c:pt idx="392">
                  <c:v>48.8887290470837</c:v>
                </c:pt>
                <c:pt idx="393">
                  <c:v>48.162998938216134</c:v>
                </c:pt>
                <c:pt idx="394">
                  <c:v>45.625332049991442</c:v>
                </c:pt>
                <c:pt idx="395">
                  <c:v>45.866007011213853</c:v>
                </c:pt>
                <c:pt idx="396">
                  <c:v>55.993202102564595</c:v>
                </c:pt>
                <c:pt idx="397">
                  <c:v>50.451326628503082</c:v>
                </c:pt>
                <c:pt idx="398">
                  <c:v>51.415353753106444</c:v>
                </c:pt>
                <c:pt idx="399">
                  <c:v>49.159858534020465</c:v>
                </c:pt>
                <c:pt idx="400">
                  <c:v>48.434128425152899</c:v>
                </c:pt>
                <c:pt idx="401">
                  <c:v>45.896461536928214</c:v>
                </c:pt>
                <c:pt idx="402">
                  <c:v>46.137136498150625</c:v>
                </c:pt>
                <c:pt idx="403">
                  <c:v>56.26433158950136</c:v>
                </c:pt>
                <c:pt idx="404">
                  <c:v>50.722456115439847</c:v>
                </c:pt>
                <c:pt idx="405">
                  <c:v>51.686483240043216</c:v>
                </c:pt>
                <c:pt idx="406">
                  <c:v>49.430988020957237</c:v>
                </c:pt>
                <c:pt idx="407">
                  <c:v>48.705257912089664</c:v>
                </c:pt>
                <c:pt idx="408">
                  <c:v>46.167591023864979</c:v>
                </c:pt>
                <c:pt idx="409">
                  <c:v>46.40826598508739</c:v>
                </c:pt>
                <c:pt idx="410">
                  <c:v>56.535461076438132</c:v>
                </c:pt>
                <c:pt idx="411">
                  <c:v>50.993585602376619</c:v>
                </c:pt>
                <c:pt idx="412">
                  <c:v>51.957612726979981</c:v>
                </c:pt>
                <c:pt idx="413">
                  <c:v>49.702117507894002</c:v>
                </c:pt>
                <c:pt idx="414">
                  <c:v>48.976387399026436</c:v>
                </c:pt>
                <c:pt idx="415">
                  <c:v>46.438720510801751</c:v>
                </c:pt>
                <c:pt idx="416">
                  <c:v>46.679395472024154</c:v>
                </c:pt>
                <c:pt idx="417">
                  <c:v>56.806590563374897</c:v>
                </c:pt>
                <c:pt idx="418">
                  <c:v>51.264715089313384</c:v>
                </c:pt>
                <c:pt idx="419">
                  <c:v>52.228742213916753</c:v>
                </c:pt>
                <c:pt idx="420">
                  <c:v>49.973246994830774</c:v>
                </c:pt>
                <c:pt idx="421">
                  <c:v>49.247516885963201</c:v>
                </c:pt>
                <c:pt idx="422">
                  <c:v>46.709849997738516</c:v>
                </c:pt>
                <c:pt idx="423">
                  <c:v>46.950524958960926</c:v>
                </c:pt>
                <c:pt idx="424">
                  <c:v>57.077720050311669</c:v>
                </c:pt>
                <c:pt idx="425">
                  <c:v>51.535844576250149</c:v>
                </c:pt>
                <c:pt idx="426">
                  <c:v>52.499871700853518</c:v>
                </c:pt>
                <c:pt idx="427">
                  <c:v>50.244376481767539</c:v>
                </c:pt>
                <c:pt idx="428">
                  <c:v>49.518646372899973</c:v>
                </c:pt>
                <c:pt idx="429">
                  <c:v>46.980979484675281</c:v>
                </c:pt>
                <c:pt idx="430">
                  <c:v>47.221654445897691</c:v>
                </c:pt>
                <c:pt idx="431">
                  <c:v>57.348849537248434</c:v>
                </c:pt>
                <c:pt idx="432">
                  <c:v>51.806974063186921</c:v>
                </c:pt>
                <c:pt idx="433">
                  <c:v>52.77100118779029</c:v>
                </c:pt>
                <c:pt idx="434">
                  <c:v>50.515505968704304</c:v>
                </c:pt>
                <c:pt idx="435">
                  <c:v>49.789775859836737</c:v>
                </c:pt>
                <c:pt idx="436">
                  <c:v>47.252108971612053</c:v>
                </c:pt>
                <c:pt idx="437">
                  <c:v>47.492783932834463</c:v>
                </c:pt>
                <c:pt idx="438">
                  <c:v>57.619979024185206</c:v>
                </c:pt>
                <c:pt idx="439">
                  <c:v>52.078103550123686</c:v>
                </c:pt>
                <c:pt idx="440">
                  <c:v>53.042130674727055</c:v>
                </c:pt>
                <c:pt idx="441">
                  <c:v>50.786635455641076</c:v>
                </c:pt>
                <c:pt idx="442">
                  <c:v>50.060905346773509</c:v>
                </c:pt>
                <c:pt idx="443">
                  <c:v>47.523238458548818</c:v>
                </c:pt>
                <c:pt idx="444">
                  <c:v>47.763913419771228</c:v>
                </c:pt>
                <c:pt idx="445">
                  <c:v>57.891108511121971</c:v>
                </c:pt>
                <c:pt idx="446">
                  <c:v>52.349233037060458</c:v>
                </c:pt>
                <c:pt idx="447">
                  <c:v>53.31326016166382</c:v>
                </c:pt>
                <c:pt idx="448">
                  <c:v>51.05776494257784</c:v>
                </c:pt>
                <c:pt idx="449">
                  <c:v>50.332034833710274</c:v>
                </c:pt>
                <c:pt idx="450">
                  <c:v>47.79436794548559</c:v>
                </c:pt>
                <c:pt idx="451">
                  <c:v>48.035042906708</c:v>
                </c:pt>
                <c:pt idx="452">
                  <c:v>58.162237998058735</c:v>
                </c:pt>
                <c:pt idx="453">
                  <c:v>52.620362523997223</c:v>
                </c:pt>
                <c:pt idx="454">
                  <c:v>53.584389648600592</c:v>
                </c:pt>
                <c:pt idx="455">
                  <c:v>51.328894429514612</c:v>
                </c:pt>
                <c:pt idx="456">
                  <c:v>50.603164320647046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75-471C-9392-6F52D7950A35}"/>
            </c:ext>
          </c:extLst>
        </c:ser>
        <c:ser>
          <c:idx val="2"/>
          <c:order val="2"/>
          <c:tx>
            <c:strRef>
              <c:f>'EX-S Forcast'!$D$1</c:f>
              <c:strCache>
                <c:ptCount val="1"/>
                <c:pt idx="0">
                  <c:v>Lower Confidence Bound(Daily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'EX-S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'EX-S Forcast'!$D$2:$D$458</c:f>
              <c:numCache>
                <c:formatCode>General</c:formatCode>
                <c:ptCount val="457"/>
                <c:pt idx="364" formatCode="0.00">
                  <c:v>50</c:v>
                </c:pt>
                <c:pt idx="365" formatCode="0.00">
                  <c:v>32.414654408906244</c:v>
                </c:pt>
                <c:pt idx="366" formatCode="0.00">
                  <c:v>29.41854786793655</c:v>
                </c:pt>
                <c:pt idx="367" formatCode="0.00">
                  <c:v>29.210790583550015</c:v>
                </c:pt>
                <c:pt idx="368" formatCode="0.00">
                  <c:v>38.898706473903815</c:v>
                </c:pt>
                <c:pt idx="369" formatCode="0.00">
                  <c:v>32.925958073517805</c:v>
                </c:pt>
                <c:pt idx="370" formatCode="0.00">
                  <c:v>33.46686144441432</c:v>
                </c:pt>
                <c:pt idx="371" formatCode="0.00">
                  <c:v>30.795409942019152</c:v>
                </c:pt>
                <c:pt idx="372" formatCode="0.00">
                  <c:v>28.53241249700163</c:v>
                </c:pt>
                <c:pt idx="373" formatCode="0.00">
                  <c:v>25.615297518648745</c:v>
                </c:pt>
                <c:pt idx="374" formatCode="0.00">
                  <c:v>25.481029439801333</c:v>
                </c:pt>
                <c:pt idx="375" formatCode="0.00">
                  <c:v>35.237521653113248</c:v>
                </c:pt>
                <c:pt idx="376" formatCode="0.00">
                  <c:v>29.328940685029377</c:v>
                </c:pt>
                <c:pt idx="377" formatCode="0.00">
                  <c:v>29.93003656414654</c:v>
                </c:pt>
                <c:pt idx="378" formatCode="0.00">
                  <c:v>27.315178729394805</c:v>
                </c:pt>
                <c:pt idx="379" formatCode="0.00">
                  <c:v>25.274689608643374</c:v>
                </c:pt>
                <c:pt idx="380" formatCode="0.00">
                  <c:v>22.399147617220663</c:v>
                </c:pt>
                <c:pt idx="381" formatCode="0.00">
                  <c:v>22.304417209253565</c:v>
                </c:pt>
                <c:pt idx="382" formatCode="0.00">
                  <c:v>32.098561040360948</c:v>
                </c:pt>
                <c:pt idx="383" formatCode="0.00">
                  <c:v>26.225880019520226</c:v>
                </c:pt>
                <c:pt idx="384" formatCode="0.00">
                  <c:v>26.861245539538224</c:v>
                </c:pt>
                <c:pt idx="385" formatCode="0.00">
                  <c:v>24.27913696890926</c:v>
                </c:pt>
                <c:pt idx="386" formatCode="0.00">
                  <c:v>22.378100637382609</c:v>
                </c:pt>
                <c:pt idx="387" formatCode="0.00">
                  <c:v>19.528281345380467</c:v>
                </c:pt>
                <c:pt idx="388" formatCode="0.00">
                  <c:v>19.458281827703725</c:v>
                </c:pt>
                <c:pt idx="389" formatCode="0.00">
                  <c:v>29.276220148020414</c:v>
                </c:pt>
                <c:pt idx="390" formatCode="0.00">
                  <c:v>23.426448409956848</c:v>
                </c:pt>
                <c:pt idx="391" formatCode="0.00">
                  <c:v>24.08388539119122</c:v>
                </c:pt>
                <c:pt idx="392" formatCode="0.00">
                  <c:v>21.52305439254971</c:v>
                </c:pt>
                <c:pt idx="393" formatCode="0.00">
                  <c:v>19.719128830933382</c:v>
                </c:pt>
                <c:pt idx="394" formatCode="0.00">
                  <c:v>16.886648590495909</c:v>
                </c:pt>
                <c:pt idx="395" formatCode="0.00">
                  <c:v>16.833426383725545</c:v>
                </c:pt>
                <c:pt idx="396" formatCode="0.00">
                  <c:v>26.667605613231686</c:v>
                </c:pt>
                <c:pt idx="397" formatCode="0.00">
                  <c:v>20.833562166420574</c:v>
                </c:pt>
                <c:pt idx="398" formatCode="0.00">
                  <c:v>21.506237170099535</c:v>
                </c:pt>
                <c:pt idx="399" formatCode="0.00">
                  <c:v>18.960174948851929</c:v>
                </c:pt>
                <c:pt idx="400" formatCode="0.00">
                  <c:v>17.228399490386408</c:v>
                </c:pt>
                <c:pt idx="401" formatCode="0.00">
                  <c:v>14.408223351326622</c:v>
                </c:pt>
                <c:pt idx="402" formatCode="0.00">
                  <c:v>14.366955341805426</c:v>
                </c:pt>
                <c:pt idx="403" formatCode="0.00">
                  <c:v>24.212752089776494</c:v>
                </c:pt>
                <c:pt idx="404" formatCode="0.00">
                  <c:v>18.390002029036616</c:v>
                </c:pt>
                <c:pt idx="405" formatCode="0.00">
                  <c:v>19.073658197904024</c:v>
                </c:pt>
                <c:pt idx="406" formatCode="0.00">
                  <c:v>16.5382762382199</c:v>
                </c:pt>
                <c:pt idx="407" formatCode="0.00">
                  <c:v>14.862515363988024</c:v>
                </c:pt>
                <c:pt idx="408" formatCode="0.00">
                  <c:v>12.051357835491565</c:v>
                </c:pt>
                <c:pt idx="409" formatCode="0.00">
                  <c:v>12.018875729807299</c:v>
                </c:pt>
                <c:pt idx="410" formatCode="0.00">
                  <c:v>21.873233237879447</c:v>
                </c:pt>
                <c:pt idx="411" formatCode="0.00">
                  <c:v>16.058826023617669</c:v>
                </c:pt>
                <c:pt idx="412" formatCode="0.00">
                  <c:v>16.75061404111942</c:v>
                </c:pt>
                <c:pt idx="413" formatCode="0.00">
                  <c:v>14.223159550968859</c:v>
                </c:pt>
                <c:pt idx="414" formatCode="0.00">
                  <c:v>12.592292381580393</c:v>
                </c:pt>
                <c:pt idx="415" formatCode="0.00">
                  <c:v>9.7878800722301733</c:v>
                </c:pt>
                <c:pt idx="416" formatCode="0.00">
                  <c:v>9.761980865389468</c:v>
                </c:pt>
                <c:pt idx="417" formatCode="0.00">
                  <c:v>19.622763575721336</c:v>
                </c:pt>
                <c:pt idx="418" formatCode="0.00">
                  <c:v>13.814628313205368</c:v>
                </c:pt>
                <c:pt idx="419" formatCode="0.00">
                  <c:v>14.512539309003508</c:v>
                </c:pt>
                <c:pt idx="420" formatCode="0.00">
                  <c:v>11.991062939894285</c:v>
                </c:pt>
                <c:pt idx="421" formatCode="0.00">
                  <c:v>10.397053972219801</c:v>
                </c:pt>
                <c:pt idx="422" formatCode="0.00">
                  <c:v>7.5977436011081636</c:v>
                </c:pt>
                <c:pt idx="423" formatCode="0.00">
                  <c:v>7.5768289537686542</c:v>
                </c:pt>
                <c:pt idx="424" formatCode="0.00">
                  <c:v>17.442481819014844</c:v>
                </c:pt>
                <c:pt idx="425" formatCode="0.00">
                  <c:v>11.639105179852955</c:v>
                </c:pt>
                <c:pt idx="426" formatCode="0.00">
                  <c:v>12.341666043702332</c:v>
                </c:pt>
                <c:pt idx="427" formatCode="0.00">
                  <c:v>9.8247334709574901</c:v>
                </c:pt>
                <c:pt idx="428" formatCode="0.00">
                  <c:v>8.2615618009675345</c:v>
                </c:pt>
                <c:pt idx="429" formatCode="0.00">
                  <c:v>5.4661247718831447</c:v>
                </c:pt>
                <c:pt idx="430" formatCode="0.00">
                  <c:v>5.448996177348242</c:v>
                </c:pt>
                <c:pt idx="431" formatCode="0.00">
                  <c:v>15.318349796922668</c:v>
                </c:pt>
                <c:pt idx="432" formatCode="0.00">
                  <c:v>9.5185905438160816</c:v>
                </c:pt>
                <c:pt idx="433" formatCode="0.00">
                  <c:v>10.224687297439644</c:v>
                </c:pt>
                <c:pt idx="434" formatCode="0.00">
                  <c:v>7.7112109341906105</c:v>
                </c:pt>
                <c:pt idx="435" formatCode="0.00">
                  <c:v>6.1742332676997407</c:v>
                </c:pt>
                <c:pt idx="436" formatCode="0.00">
                  <c:v>3.3817260343726829</c:v>
                </c:pt>
                <c:pt idx="437" formatCode="0.00">
                  <c:v>3.3674608694166821</c:v>
                </c:pt>
                <c:pt idx="438" formatCode="0.00">
                  <c:v>13.239612927959335</c:v>
                </c:pt>
                <c:pt idx="439" formatCode="0.00">
                  <c:v>7.4425884610404296</c:v>
                </c:pt>
                <c:pt idx="440" formatCode="0.00">
                  <c:v>8.1513576494733826</c:v>
                </c:pt>
                <c:pt idx="441" formatCode="0.00">
                  <c:v>5.640492635884641</c:v>
                </c:pt>
                <c:pt idx="442" formatCode="0.00">
                  <c:v>4.1260431788882954</c:v>
                </c:pt>
                <c:pt idx="443" formatCode="0.00">
                  <c:v>1.3357251290097025</c:v>
                </c:pt>
                <c:pt idx="444" formatCode="0.00">
                  <c:v>1.3235977869410149</c:v>
                </c:pt>
                <c:pt idx="445" formatCode="0.00">
                  <c:v>11.197837283140366</c:v>
                </c:pt>
                <c:pt idx="446" formatCode="0.00">
                  <c:v>5.4028508196749101</c:v>
                </c:pt>
                <c:pt idx="447" formatCode="0.00">
                  <c:v>6.113609504847382</c:v>
                </c:pt>
                <c:pt idx="448" formatCode="0.00">
                  <c:v>3.6046863859715259</c:v>
                </c:pt>
                <c:pt idx="449" formatCode="0.00">
                  <c:v>2.1098142628827361</c:v>
                </c:pt>
                <c:pt idx="450" formatCode="0.00">
                  <c:v>-0.67890650983567014</c:v>
                </c:pt>
                <c:pt idx="451" formatCode="0.00">
                  <c:v>-0.68947689365941756</c:v>
                </c:pt>
                <c:pt idx="452" formatCode="0.00">
                  <c:v>9.1862799481782531</c:v>
                </c:pt>
                <c:pt idx="453" formatCode="0.00">
                  <c:v>3.3927719079789682</c:v>
                </c:pt>
                <c:pt idx="454" formatCode="0.00">
                  <c:v>4.1049707686670445</c:v>
                </c:pt>
                <c:pt idx="455" formatCode="0.00">
                  <c:v>1.5974502370102144</c:v>
                </c:pt>
                <c:pt idx="456" formatCode="0.00">
                  <c:v>0.11974082460254465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75-471C-9392-6F52D7950A35}"/>
            </c:ext>
          </c:extLst>
        </c:ser>
        <c:ser>
          <c:idx val="3"/>
          <c:order val="3"/>
          <c:tx>
            <c:strRef>
              <c:f>'EX-S Forcast'!$E$1</c:f>
              <c:strCache>
                <c:ptCount val="1"/>
                <c:pt idx="0">
                  <c:v>Upper Confidence Bound(Daily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'EX-S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'EX-S Forcast'!$E$2:$E$458</c:f>
              <c:numCache>
                <c:formatCode>General</c:formatCode>
                <c:ptCount val="457"/>
                <c:pt idx="364" formatCode="0.00">
                  <c:v>50</c:v>
                </c:pt>
                <c:pt idx="365" formatCode="0.00">
                  <c:v>61.742307572031876</c:v>
                </c:pt>
                <c:pt idx="366" formatCode="0.00">
                  <c:v>59.663080336552198</c:v>
                </c:pt>
                <c:pt idx="367" formatCode="0.00">
                  <c:v>60.352187543383543</c:v>
                </c:pt>
                <c:pt idx="368" formatCode="0.00">
                  <c:v>70.918661835731228</c:v>
                </c:pt>
                <c:pt idx="369" formatCode="0.00">
                  <c:v>65.807659287994213</c:v>
                </c:pt>
                <c:pt idx="370" formatCode="0.00">
                  <c:v>67.194810166304435</c:v>
                </c:pt>
                <c:pt idx="371" formatCode="0.00">
                  <c:v>65.355271230527634</c:v>
                </c:pt>
                <c:pt idx="372" formatCode="0.00">
                  <c:v>66.166808457810021</c:v>
                </c:pt>
                <c:pt idx="373" formatCode="0.00">
                  <c:v>64.008589659713536</c:v>
                </c:pt>
                <c:pt idx="374" formatCode="0.00">
                  <c:v>64.624207661005769</c:v>
                </c:pt>
                <c:pt idx="375" formatCode="0.00">
                  <c:v>75.122105630395339</c:v>
                </c:pt>
                <c:pt idx="376" formatCode="0.00">
                  <c:v>69.946935650356167</c:v>
                </c:pt>
                <c:pt idx="377" formatCode="0.00">
                  <c:v>71.273894020445738</c:v>
                </c:pt>
                <c:pt idx="378" formatCode="0.00">
                  <c:v>69.377761417025525</c:v>
                </c:pt>
                <c:pt idx="379" formatCode="0.00">
                  <c:v>69.966790320041824</c:v>
                </c:pt>
                <c:pt idx="380" formatCode="0.00">
                  <c:v>67.766998535015148</c:v>
                </c:pt>
                <c:pt idx="381" formatCode="0.00">
                  <c:v>68.34307886542706</c:v>
                </c:pt>
                <c:pt idx="382" formatCode="0.00">
                  <c:v>78.803325217021168</c:v>
                </c:pt>
                <c:pt idx="383" formatCode="0.00">
                  <c:v>73.592255289738858</c:v>
                </c:pt>
                <c:pt idx="384" formatCode="0.00">
                  <c:v>74.884944018927598</c:v>
                </c:pt>
                <c:pt idx="385" formatCode="0.00">
                  <c:v>72.9560621513846</c:v>
                </c:pt>
                <c:pt idx="386" formatCode="0.00">
                  <c:v>73.405638265176123</c:v>
                </c:pt>
                <c:pt idx="387" formatCode="0.00">
                  <c:v>71.180123780728891</c:v>
                </c:pt>
                <c:pt idx="388" formatCode="0.00">
                  <c:v>71.731473220850447</c:v>
                </c:pt>
                <c:pt idx="389" formatCode="0.00">
                  <c:v>82.167925083235232</c:v>
                </c:pt>
                <c:pt idx="390" formatCode="0.00">
                  <c:v>76.933945873175773</c:v>
                </c:pt>
                <c:pt idx="391" formatCode="0.00">
                  <c:v>78.204563141148142</c:v>
                </c:pt>
                <c:pt idx="392" formatCode="0.00">
                  <c:v>76.25440370161769</c:v>
                </c:pt>
                <c:pt idx="393" formatCode="0.00">
                  <c:v>76.606869045498883</c:v>
                </c:pt>
                <c:pt idx="394" formatCode="0.00">
                  <c:v>74.364015509486975</c:v>
                </c:pt>
                <c:pt idx="395" formatCode="0.00">
                  <c:v>74.898587638702168</c:v>
                </c:pt>
                <c:pt idx="396" formatCode="0.00">
                  <c:v>85.318798591897504</c:v>
                </c:pt>
                <c:pt idx="397" formatCode="0.00">
                  <c:v>80.069091090585587</c:v>
                </c:pt>
                <c:pt idx="398" formatCode="0.00">
                  <c:v>81.32447033611335</c:v>
                </c:pt>
                <c:pt idx="399" formatCode="0.00">
                  <c:v>79.359542119189001</c:v>
                </c:pt>
                <c:pt idx="400" formatCode="0.00">
                  <c:v>79.63985735991939</c:v>
                </c:pt>
                <c:pt idx="401" formatCode="0.00">
                  <c:v>77.384699722529803</c:v>
                </c:pt>
                <c:pt idx="402" formatCode="0.00">
                  <c:v>77.907317654495827</c:v>
                </c:pt>
                <c:pt idx="403" formatCode="0.00">
                  <c:v>88.315911089226233</c:v>
                </c:pt>
                <c:pt idx="404" formatCode="0.00">
                  <c:v>83.054910201843086</c:v>
                </c:pt>
                <c:pt idx="405" formatCode="0.00">
                  <c:v>84.299308282182409</c:v>
                </c:pt>
                <c:pt idx="406" formatCode="0.00">
                  <c:v>82.323699803694581</c:v>
                </c:pt>
                <c:pt idx="407" formatCode="0.00">
                  <c:v>82.548000460191304</c:v>
                </c:pt>
                <c:pt idx="408" formatCode="0.00">
                  <c:v>80.283824212238386</c:v>
                </c:pt>
                <c:pt idx="409" formatCode="0.00">
                  <c:v>80.797656240367473</c:v>
                </c:pt>
                <c:pt idx="410" formatCode="0.00">
                  <c:v>91.197688914996817</c:v>
                </c:pt>
                <c:pt idx="411" formatCode="0.00">
                  <c:v>85.928345181135569</c:v>
                </c:pt>
                <c:pt idx="412" formatCode="0.00">
                  <c:v>87.164611412840543</c:v>
                </c:pt>
                <c:pt idx="413" formatCode="0.00">
                  <c:v>85.181075464819145</c:v>
                </c:pt>
                <c:pt idx="414" formatCode="0.00">
                  <c:v>85.360482416472479</c:v>
                </c:pt>
                <c:pt idx="415" formatCode="0.00">
                  <c:v>83.089560949373322</c:v>
                </c:pt>
                <c:pt idx="416" formatCode="0.00">
                  <c:v>83.596810078658848</c:v>
                </c:pt>
                <c:pt idx="417" formatCode="0.00">
                  <c:v>93.990417551028457</c:v>
                </c:pt>
                <c:pt idx="418" formatCode="0.00">
                  <c:v>88.714801865421407</c:v>
                </c:pt>
                <c:pt idx="419" formatCode="0.00">
                  <c:v>89.944945118829992</c:v>
                </c:pt>
                <c:pt idx="420" formatCode="0.00">
                  <c:v>87.95543104976727</c:v>
                </c:pt>
                <c:pt idx="421" formatCode="0.00">
                  <c:v>88.097979799706593</c:v>
                </c:pt>
                <c:pt idx="422" formatCode="0.00">
                  <c:v>85.821956394368868</c:v>
                </c:pt>
                <c:pt idx="423" formatCode="0.00">
                  <c:v>86.324220964153199</c:v>
                </c:pt>
                <c:pt idx="424" formatCode="0.00">
                  <c:v>96.712958281608493</c:v>
                </c:pt>
                <c:pt idx="425" formatCode="0.00">
                  <c:v>91.432583972647336</c:v>
                </c:pt>
                <c:pt idx="426" formatCode="0.00">
                  <c:v>92.658077358004704</c:v>
                </c:pt>
                <c:pt idx="427" formatCode="0.00">
                  <c:v>90.66401949257758</c:v>
                </c:pt>
                <c:pt idx="428" formatCode="0.00">
                  <c:v>90.775730944832418</c:v>
                </c:pt>
                <c:pt idx="429" formatCode="0.00">
                  <c:v>88.495834197467417</c:v>
                </c:pt>
                <c:pt idx="430" formatCode="0.00">
                  <c:v>88.994312714447148</c:v>
                </c:pt>
                <c:pt idx="431" formatCode="0.00">
                  <c:v>99.379349277574192</c:v>
                </c:pt>
                <c:pt idx="432" formatCode="0.00">
                  <c:v>94.095357582557767</c:v>
                </c:pt>
                <c:pt idx="433" formatCode="0.00">
                  <c:v>95.317315078140936</c:v>
                </c:pt>
                <c:pt idx="434" formatCode="0.00">
                  <c:v>93.319801003218004</c:v>
                </c:pt>
                <c:pt idx="435" formatCode="0.00">
                  <c:v>93.405318451973727</c:v>
                </c:pt>
                <c:pt idx="436" formatCode="0.00">
                  <c:v>91.12249190885143</c:v>
                </c:pt>
                <c:pt idx="437" formatCode="0.00">
                  <c:v>91.618106996252237</c:v>
                </c:pt>
                <c:pt idx="438" formatCode="0.00">
                  <c:v>102.00034512041108</c:v>
                </c:pt>
                <c:pt idx="439" formatCode="0.00">
                  <c:v>96.713618639206942</c:v>
                </c:pt>
                <c:pt idx="440" formatCode="0.00">
                  <c:v>97.932903699980727</c:v>
                </c:pt>
                <c:pt idx="441" formatCode="0.00">
                  <c:v>95.93277827539751</c:v>
                </c:pt>
                <c:pt idx="442" formatCode="0.00">
                  <c:v>95.995767514658723</c:v>
                </c:pt>
                <c:pt idx="443" formatCode="0.00">
                  <c:v>93.710751788087933</c:v>
                </c:pt>
                <c:pt idx="444" formatCode="0.00">
                  <c:v>94.204229052601448</c:v>
                </c:pt>
                <c:pt idx="445" formatCode="0.00">
                  <c:v>104.58437973910358</c:v>
                </c:pt>
                <c:pt idx="446" formatCode="0.00">
                  <c:v>99.295615254446005</c:v>
                </c:pt>
                <c:pt idx="447" formatCode="0.00">
                  <c:v>100.51291081848026</c:v>
                </c:pt>
                <c:pt idx="448" formatCode="0.00">
                  <c:v>98.510843499184148</c:v>
                </c:pt>
                <c:pt idx="449" formatCode="0.00">
                  <c:v>98.554255404537813</c:v>
                </c:pt>
                <c:pt idx="450" formatCode="0.00">
                  <c:v>96.267642400806849</c:v>
                </c:pt>
                <c:pt idx="451" formatCode="0.00">
                  <c:v>96.759562707075418</c:v>
                </c:pt>
                <c:pt idx="452" formatCode="0.00">
                  <c:v>107.13819604793922</c:v>
                </c:pt>
                <c:pt idx="453" formatCode="0.00">
                  <c:v>101.84795314001548</c:v>
                </c:pt>
                <c:pt idx="454" formatCode="0.00">
                  <c:v>103.06380852853414</c:v>
                </c:pt>
                <c:pt idx="455" formatCode="0.00">
                  <c:v>101.060338622019</c:v>
                </c:pt>
                <c:pt idx="456" formatCode="0.00">
                  <c:v>101.08658781669155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75-471C-9392-6F52D7950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794912"/>
        <c:axId val="807794552"/>
      </c:lineChart>
      <c:catAx>
        <c:axId val="80779491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94552"/>
        <c:crosses val="autoZero"/>
        <c:auto val="1"/>
        <c:lblAlgn val="ctr"/>
        <c:lblOffset val="100"/>
        <c:noMultiLvlLbl val="0"/>
      </c:catAx>
      <c:valAx>
        <c:axId val="80779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79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'LF Forcast'!$B$1</c:f>
              <c:strCache>
                <c:ptCount val="1"/>
                <c:pt idx="0">
                  <c:v>Absolute Squared Error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'LF Forcast'!$B$2:$B$458</c:f>
              <c:numCache>
                <c:formatCode>_(* #,##0.00_);_(* \(#,##0.00\);_(* "-"??_);_(@_)</c:formatCode>
                <c:ptCount val="457"/>
                <c:pt idx="0">
                  <c:v>1824067.8246203251</c:v>
                </c:pt>
                <c:pt idx="1">
                  <c:v>1832180.3079260604</c:v>
                </c:pt>
                <c:pt idx="2">
                  <c:v>1837598.630129884</c:v>
                </c:pt>
                <c:pt idx="3">
                  <c:v>1834888.4690279723</c:v>
                </c:pt>
                <c:pt idx="4">
                  <c:v>1799838.374703119</c:v>
                </c:pt>
                <c:pt idx="5">
                  <c:v>1840310.7912317959</c:v>
                </c:pt>
                <c:pt idx="6">
                  <c:v>1797156.2136012074</c:v>
                </c:pt>
                <c:pt idx="7">
                  <c:v>1802522.535805031</c:v>
                </c:pt>
                <c:pt idx="8">
                  <c:v>1815973.3413145898</c:v>
                </c:pt>
                <c:pt idx="9">
                  <c:v>1845741.1134356195</c:v>
                </c:pt>
                <c:pt idx="10">
                  <c:v>1815973.3413145898</c:v>
                </c:pt>
                <c:pt idx="11">
                  <c:v>1829474.1468241487</c:v>
                </c:pt>
                <c:pt idx="12">
                  <c:v>1770444.6025820894</c:v>
                </c:pt>
                <c:pt idx="13">
                  <c:v>1791797.8913973838</c:v>
                </c:pt>
                <c:pt idx="14">
                  <c:v>1797156.2136012074</c:v>
                </c:pt>
                <c:pt idx="15">
                  <c:v>1818669.5024165015</c:v>
                </c:pt>
                <c:pt idx="16">
                  <c:v>1783775.4080916482</c:v>
                </c:pt>
                <c:pt idx="17">
                  <c:v>1802522.535805031</c:v>
                </c:pt>
                <c:pt idx="18">
                  <c:v>1807896.8580088543</c:v>
                </c:pt>
                <c:pt idx="19">
                  <c:v>1778437.0858878247</c:v>
                </c:pt>
                <c:pt idx="20">
                  <c:v>1826769.985722237</c:v>
                </c:pt>
                <c:pt idx="21">
                  <c:v>1775770.924785913</c:v>
                </c:pt>
                <c:pt idx="22">
                  <c:v>1813279.1802126779</c:v>
                </c:pt>
                <c:pt idx="23">
                  <c:v>1832180.3079260604</c:v>
                </c:pt>
                <c:pt idx="24">
                  <c:v>1818669.5024165015</c:v>
                </c:pt>
                <c:pt idx="25">
                  <c:v>1802522.535805031</c:v>
                </c:pt>
                <c:pt idx="26">
                  <c:v>1813279.1802126779</c:v>
                </c:pt>
                <c:pt idx="27">
                  <c:v>1824067.8246203251</c:v>
                </c:pt>
                <c:pt idx="28">
                  <c:v>1799838.374703119</c:v>
                </c:pt>
                <c:pt idx="29">
                  <c:v>1815973.3413145898</c:v>
                </c:pt>
                <c:pt idx="30">
                  <c:v>1853901.5967413548</c:v>
                </c:pt>
                <c:pt idx="31">
                  <c:v>1856625.7578432667</c:v>
                </c:pt>
                <c:pt idx="32">
                  <c:v>1834888.4690279723</c:v>
                </c:pt>
                <c:pt idx="33">
                  <c:v>1799838.374703119</c:v>
                </c:pt>
                <c:pt idx="34">
                  <c:v>1815973.3413145898</c:v>
                </c:pt>
                <c:pt idx="35">
                  <c:v>1783775.4080916482</c:v>
                </c:pt>
                <c:pt idx="36">
                  <c:v>1815973.3413145898</c:v>
                </c:pt>
                <c:pt idx="37">
                  <c:v>1781105.2469897366</c:v>
                </c:pt>
                <c:pt idx="38">
                  <c:v>1834888.4690279723</c:v>
                </c:pt>
                <c:pt idx="39">
                  <c:v>1834888.4690279723</c:v>
                </c:pt>
                <c:pt idx="40">
                  <c:v>1781105.2469897366</c:v>
                </c:pt>
                <c:pt idx="41">
                  <c:v>1821367.6635184134</c:v>
                </c:pt>
                <c:pt idx="42">
                  <c:v>1797156.2136012074</c:v>
                </c:pt>
                <c:pt idx="43">
                  <c:v>1781105.2469897366</c:v>
                </c:pt>
                <c:pt idx="44">
                  <c:v>1826769.985722237</c:v>
                </c:pt>
                <c:pt idx="45">
                  <c:v>1778437.0858878247</c:v>
                </c:pt>
                <c:pt idx="46">
                  <c:v>1791797.8913973838</c:v>
                </c:pt>
                <c:pt idx="47">
                  <c:v>1797156.2136012074</c:v>
                </c:pt>
                <c:pt idx="48">
                  <c:v>1794476.0524992954</c:v>
                </c:pt>
                <c:pt idx="49">
                  <c:v>1813279.1802126779</c:v>
                </c:pt>
                <c:pt idx="50">
                  <c:v>1789121.7302954718</c:v>
                </c:pt>
                <c:pt idx="51">
                  <c:v>1818669.5024165015</c:v>
                </c:pt>
                <c:pt idx="52">
                  <c:v>1824067.8246203251</c:v>
                </c:pt>
                <c:pt idx="53">
                  <c:v>1778437.0858878247</c:v>
                </c:pt>
                <c:pt idx="54">
                  <c:v>1805208.6969069426</c:v>
                </c:pt>
                <c:pt idx="55">
                  <c:v>1797156.2136012074</c:v>
                </c:pt>
                <c:pt idx="56">
                  <c:v>1813279.1802126779</c:v>
                </c:pt>
                <c:pt idx="57">
                  <c:v>1818669.5024165015</c:v>
                </c:pt>
                <c:pt idx="58">
                  <c:v>1837598.630129884</c:v>
                </c:pt>
                <c:pt idx="59">
                  <c:v>1824067.8246203251</c:v>
                </c:pt>
                <c:pt idx="60">
                  <c:v>1843024.9523337076</c:v>
                </c:pt>
                <c:pt idx="61">
                  <c:v>1797156.2136012074</c:v>
                </c:pt>
                <c:pt idx="62">
                  <c:v>1826769.985722237</c:v>
                </c:pt>
                <c:pt idx="63">
                  <c:v>1821367.6635184134</c:v>
                </c:pt>
                <c:pt idx="64">
                  <c:v>1783775.4080916482</c:v>
                </c:pt>
                <c:pt idx="65">
                  <c:v>1799838.374703119</c:v>
                </c:pt>
                <c:pt idx="66">
                  <c:v>1813279.1802126779</c:v>
                </c:pt>
                <c:pt idx="67">
                  <c:v>1832180.3079260604</c:v>
                </c:pt>
                <c:pt idx="68">
                  <c:v>1813279.1802126779</c:v>
                </c:pt>
                <c:pt idx="69">
                  <c:v>1797156.2136012074</c:v>
                </c:pt>
                <c:pt idx="70">
                  <c:v>1802522.535805031</c:v>
                </c:pt>
                <c:pt idx="71">
                  <c:v>1813279.1802126779</c:v>
                </c:pt>
                <c:pt idx="72">
                  <c:v>1834888.4690279723</c:v>
                </c:pt>
                <c:pt idx="73">
                  <c:v>1845741.1134356195</c:v>
                </c:pt>
                <c:pt idx="74">
                  <c:v>1837598.630129884</c:v>
                </c:pt>
                <c:pt idx="75">
                  <c:v>1805208.6969069426</c:v>
                </c:pt>
                <c:pt idx="76">
                  <c:v>1794476.0524992954</c:v>
                </c:pt>
                <c:pt idx="77">
                  <c:v>1807896.8580088543</c:v>
                </c:pt>
                <c:pt idx="78">
                  <c:v>1821367.6635184134</c:v>
                </c:pt>
                <c:pt idx="79">
                  <c:v>1797156.2136012074</c:v>
                </c:pt>
                <c:pt idx="80">
                  <c:v>1794476.0524992954</c:v>
                </c:pt>
                <c:pt idx="81">
                  <c:v>1802522.535805031</c:v>
                </c:pt>
                <c:pt idx="82">
                  <c:v>1815973.3413145898</c:v>
                </c:pt>
                <c:pt idx="83">
                  <c:v>1826769.985722237</c:v>
                </c:pt>
                <c:pt idx="84">
                  <c:v>1824067.8246203251</c:v>
                </c:pt>
                <c:pt idx="85">
                  <c:v>1767784.4414801777</c:v>
                </c:pt>
                <c:pt idx="86">
                  <c:v>1821367.6635184134</c:v>
                </c:pt>
                <c:pt idx="87">
                  <c:v>1832180.3079260604</c:v>
                </c:pt>
                <c:pt idx="88">
                  <c:v>1783775.4080916482</c:v>
                </c:pt>
                <c:pt idx="89">
                  <c:v>1807896.8580088543</c:v>
                </c:pt>
                <c:pt idx="90">
                  <c:v>1813279.1802126779</c:v>
                </c:pt>
                <c:pt idx="91">
                  <c:v>1807896.8580088543</c:v>
                </c:pt>
                <c:pt idx="92">
                  <c:v>1791797.8913973838</c:v>
                </c:pt>
                <c:pt idx="93">
                  <c:v>1826769.985722237</c:v>
                </c:pt>
                <c:pt idx="94">
                  <c:v>1821367.6635184134</c:v>
                </c:pt>
                <c:pt idx="95">
                  <c:v>1829474.1468241487</c:v>
                </c:pt>
                <c:pt idx="96">
                  <c:v>1824067.8246203251</c:v>
                </c:pt>
                <c:pt idx="97">
                  <c:v>1815973.3413145898</c:v>
                </c:pt>
                <c:pt idx="98">
                  <c:v>1815973.3413145898</c:v>
                </c:pt>
                <c:pt idx="99">
                  <c:v>1826769.985722237</c:v>
                </c:pt>
                <c:pt idx="100">
                  <c:v>1775770.924785913</c:v>
                </c:pt>
                <c:pt idx="101">
                  <c:v>1826769.985722237</c:v>
                </c:pt>
                <c:pt idx="102">
                  <c:v>1826769.985722237</c:v>
                </c:pt>
                <c:pt idx="103">
                  <c:v>1815973.3413145898</c:v>
                </c:pt>
                <c:pt idx="104">
                  <c:v>1824067.8246203251</c:v>
                </c:pt>
                <c:pt idx="105">
                  <c:v>1832180.3079260604</c:v>
                </c:pt>
                <c:pt idx="106">
                  <c:v>1805208.6969069426</c:v>
                </c:pt>
                <c:pt idx="107">
                  <c:v>1826769.985722237</c:v>
                </c:pt>
                <c:pt idx="108">
                  <c:v>1794476.0524992954</c:v>
                </c:pt>
                <c:pt idx="109">
                  <c:v>1837598.630129884</c:v>
                </c:pt>
                <c:pt idx="110">
                  <c:v>1794476.0524992954</c:v>
                </c:pt>
                <c:pt idx="111">
                  <c:v>1797156.2136012074</c:v>
                </c:pt>
                <c:pt idx="112">
                  <c:v>1773106.7636840013</c:v>
                </c:pt>
                <c:pt idx="113">
                  <c:v>1826769.985722237</c:v>
                </c:pt>
                <c:pt idx="114">
                  <c:v>1818669.5024165015</c:v>
                </c:pt>
                <c:pt idx="115">
                  <c:v>1824067.8246203251</c:v>
                </c:pt>
                <c:pt idx="116">
                  <c:v>1810587.0191107662</c:v>
                </c:pt>
                <c:pt idx="117">
                  <c:v>1805208.6969069426</c:v>
                </c:pt>
                <c:pt idx="118">
                  <c:v>1762470.1192763541</c:v>
                </c:pt>
                <c:pt idx="119">
                  <c:v>1781105.2469897366</c:v>
                </c:pt>
                <c:pt idx="120">
                  <c:v>1832180.3079260604</c:v>
                </c:pt>
                <c:pt idx="121">
                  <c:v>1824067.8246203251</c:v>
                </c:pt>
                <c:pt idx="122">
                  <c:v>1815973.3413145898</c:v>
                </c:pt>
                <c:pt idx="123">
                  <c:v>1829474.1468241487</c:v>
                </c:pt>
                <c:pt idx="124">
                  <c:v>1813279.1802126779</c:v>
                </c:pt>
                <c:pt idx="125">
                  <c:v>1791797.8913973838</c:v>
                </c:pt>
                <c:pt idx="126">
                  <c:v>1815973.3413145898</c:v>
                </c:pt>
                <c:pt idx="127">
                  <c:v>1778437.0858878247</c:v>
                </c:pt>
                <c:pt idx="128">
                  <c:v>1837598.630129884</c:v>
                </c:pt>
                <c:pt idx="129">
                  <c:v>1826769.985722237</c:v>
                </c:pt>
                <c:pt idx="130">
                  <c:v>1810587.0191107662</c:v>
                </c:pt>
                <c:pt idx="131">
                  <c:v>1824067.8246203251</c:v>
                </c:pt>
                <c:pt idx="132">
                  <c:v>1805208.6969069426</c:v>
                </c:pt>
                <c:pt idx="133">
                  <c:v>1807896.8580088543</c:v>
                </c:pt>
                <c:pt idx="134">
                  <c:v>1805208.6969069426</c:v>
                </c:pt>
                <c:pt idx="135">
                  <c:v>1815973.3413145898</c:v>
                </c:pt>
                <c:pt idx="136">
                  <c:v>1853901.5967413548</c:v>
                </c:pt>
                <c:pt idx="137">
                  <c:v>1826769.985722237</c:v>
                </c:pt>
                <c:pt idx="138">
                  <c:v>1802522.535805031</c:v>
                </c:pt>
                <c:pt idx="139">
                  <c:v>1821367.6635184134</c:v>
                </c:pt>
                <c:pt idx="140">
                  <c:v>1770444.6025820894</c:v>
                </c:pt>
                <c:pt idx="141">
                  <c:v>1807896.8580088543</c:v>
                </c:pt>
                <c:pt idx="142">
                  <c:v>1797156.2136012074</c:v>
                </c:pt>
                <c:pt idx="143">
                  <c:v>1807896.8580088543</c:v>
                </c:pt>
                <c:pt idx="144">
                  <c:v>1818669.5024165015</c:v>
                </c:pt>
                <c:pt idx="145">
                  <c:v>1802522.535805031</c:v>
                </c:pt>
                <c:pt idx="146">
                  <c:v>1813279.1802126779</c:v>
                </c:pt>
                <c:pt idx="147">
                  <c:v>1829474.1468241487</c:v>
                </c:pt>
                <c:pt idx="148">
                  <c:v>1802522.535805031</c:v>
                </c:pt>
                <c:pt idx="149">
                  <c:v>1810587.0191107662</c:v>
                </c:pt>
                <c:pt idx="150">
                  <c:v>1815973.3413145898</c:v>
                </c:pt>
                <c:pt idx="151">
                  <c:v>1797156.2136012074</c:v>
                </c:pt>
                <c:pt idx="152">
                  <c:v>1794476.0524992954</c:v>
                </c:pt>
                <c:pt idx="153">
                  <c:v>1826769.985722237</c:v>
                </c:pt>
                <c:pt idx="154">
                  <c:v>1824067.8246203251</c:v>
                </c:pt>
                <c:pt idx="155">
                  <c:v>1789121.7302954718</c:v>
                </c:pt>
                <c:pt idx="156">
                  <c:v>1781105.2469897366</c:v>
                </c:pt>
                <c:pt idx="157">
                  <c:v>1821367.6635184134</c:v>
                </c:pt>
                <c:pt idx="158">
                  <c:v>1829474.1468241487</c:v>
                </c:pt>
                <c:pt idx="159">
                  <c:v>1794476.0524992954</c:v>
                </c:pt>
                <c:pt idx="160">
                  <c:v>1805208.6969069426</c:v>
                </c:pt>
                <c:pt idx="161">
                  <c:v>1789121.7302954718</c:v>
                </c:pt>
                <c:pt idx="162">
                  <c:v>1826769.985722237</c:v>
                </c:pt>
                <c:pt idx="163">
                  <c:v>1807896.8580088543</c:v>
                </c:pt>
                <c:pt idx="164">
                  <c:v>1824067.8246203251</c:v>
                </c:pt>
                <c:pt idx="165">
                  <c:v>1810587.0191107662</c:v>
                </c:pt>
                <c:pt idx="166">
                  <c:v>1826769.985722237</c:v>
                </c:pt>
                <c:pt idx="167">
                  <c:v>1837598.630129884</c:v>
                </c:pt>
                <c:pt idx="168">
                  <c:v>1821367.6635184134</c:v>
                </c:pt>
                <c:pt idx="169">
                  <c:v>1810587.0191107662</c:v>
                </c:pt>
                <c:pt idx="170">
                  <c:v>1813279.1802126779</c:v>
                </c:pt>
                <c:pt idx="171">
                  <c:v>1797156.2136012074</c:v>
                </c:pt>
                <c:pt idx="172">
                  <c:v>1815973.3413145898</c:v>
                </c:pt>
                <c:pt idx="173">
                  <c:v>1791797.8913973838</c:v>
                </c:pt>
                <c:pt idx="174">
                  <c:v>1829474.1468241487</c:v>
                </c:pt>
                <c:pt idx="175">
                  <c:v>1837598.630129884</c:v>
                </c:pt>
                <c:pt idx="176">
                  <c:v>1805208.6969069426</c:v>
                </c:pt>
                <c:pt idx="177">
                  <c:v>1802522.535805031</c:v>
                </c:pt>
                <c:pt idx="178">
                  <c:v>1807896.8580088543</c:v>
                </c:pt>
                <c:pt idx="179">
                  <c:v>1807896.8580088543</c:v>
                </c:pt>
                <c:pt idx="180">
                  <c:v>1759815.9581744422</c:v>
                </c:pt>
                <c:pt idx="181">
                  <c:v>1802522.535805031</c:v>
                </c:pt>
                <c:pt idx="182">
                  <c:v>1797156.2136012074</c:v>
                </c:pt>
                <c:pt idx="183">
                  <c:v>1815973.3413145898</c:v>
                </c:pt>
                <c:pt idx="184">
                  <c:v>1818669.5024165015</c:v>
                </c:pt>
                <c:pt idx="185">
                  <c:v>1797156.2136012074</c:v>
                </c:pt>
                <c:pt idx="186">
                  <c:v>1805208.6969069426</c:v>
                </c:pt>
                <c:pt idx="187">
                  <c:v>1765126.2803782658</c:v>
                </c:pt>
                <c:pt idx="188">
                  <c:v>1794476.0524992954</c:v>
                </c:pt>
                <c:pt idx="189">
                  <c:v>1781105.2469897366</c:v>
                </c:pt>
                <c:pt idx="190">
                  <c:v>1807896.8580088543</c:v>
                </c:pt>
                <c:pt idx="191">
                  <c:v>1791797.8913973838</c:v>
                </c:pt>
                <c:pt idx="192">
                  <c:v>1848459.2745375312</c:v>
                </c:pt>
                <c:pt idx="193">
                  <c:v>1824067.8246203251</c:v>
                </c:pt>
                <c:pt idx="194">
                  <c:v>1799838.374703119</c:v>
                </c:pt>
                <c:pt idx="195">
                  <c:v>1807896.8580088543</c:v>
                </c:pt>
                <c:pt idx="196">
                  <c:v>1805208.6969069426</c:v>
                </c:pt>
                <c:pt idx="197">
                  <c:v>1821367.6635184134</c:v>
                </c:pt>
                <c:pt idx="198">
                  <c:v>1797156.2136012074</c:v>
                </c:pt>
                <c:pt idx="199">
                  <c:v>1797156.2136012074</c:v>
                </c:pt>
                <c:pt idx="200">
                  <c:v>1797156.2136012074</c:v>
                </c:pt>
                <c:pt idx="201">
                  <c:v>1791797.8913973838</c:v>
                </c:pt>
                <c:pt idx="202">
                  <c:v>1815973.3413145898</c:v>
                </c:pt>
                <c:pt idx="203">
                  <c:v>1805208.6969069426</c:v>
                </c:pt>
                <c:pt idx="204">
                  <c:v>1824067.8246203251</c:v>
                </c:pt>
                <c:pt idx="205">
                  <c:v>1821367.6635184134</c:v>
                </c:pt>
                <c:pt idx="206">
                  <c:v>1813279.1802126779</c:v>
                </c:pt>
                <c:pt idx="207">
                  <c:v>1797156.2136012074</c:v>
                </c:pt>
                <c:pt idx="208">
                  <c:v>1802522.535805031</c:v>
                </c:pt>
                <c:pt idx="209">
                  <c:v>1791797.8913973838</c:v>
                </c:pt>
                <c:pt idx="210">
                  <c:v>1821367.6635184134</c:v>
                </c:pt>
                <c:pt idx="211">
                  <c:v>1807896.8580088543</c:v>
                </c:pt>
                <c:pt idx="212">
                  <c:v>1783775.4080916482</c:v>
                </c:pt>
                <c:pt idx="213">
                  <c:v>1813279.1802126779</c:v>
                </c:pt>
                <c:pt idx="214">
                  <c:v>1807896.8580088543</c:v>
                </c:pt>
                <c:pt idx="215">
                  <c:v>1794476.0524992954</c:v>
                </c:pt>
                <c:pt idx="216">
                  <c:v>1746575.1526648833</c:v>
                </c:pt>
                <c:pt idx="217">
                  <c:v>1797156.2136012074</c:v>
                </c:pt>
                <c:pt idx="218">
                  <c:v>1826769.985722237</c:v>
                </c:pt>
                <c:pt idx="219">
                  <c:v>1815973.3413145898</c:v>
                </c:pt>
                <c:pt idx="220">
                  <c:v>1799838.374703119</c:v>
                </c:pt>
                <c:pt idx="221">
                  <c:v>1789121.7302954718</c:v>
                </c:pt>
                <c:pt idx="222">
                  <c:v>1794476.0524992954</c:v>
                </c:pt>
                <c:pt idx="223">
                  <c:v>1799838.374703119</c:v>
                </c:pt>
                <c:pt idx="224">
                  <c:v>1818669.5024165015</c:v>
                </c:pt>
                <c:pt idx="225">
                  <c:v>1813279.1802126779</c:v>
                </c:pt>
                <c:pt idx="226">
                  <c:v>1799838.374703119</c:v>
                </c:pt>
                <c:pt idx="227">
                  <c:v>1797156.2136012074</c:v>
                </c:pt>
                <c:pt idx="228">
                  <c:v>1829474.1468241487</c:v>
                </c:pt>
                <c:pt idx="229">
                  <c:v>1799838.374703119</c:v>
                </c:pt>
                <c:pt idx="230">
                  <c:v>1815973.3413145898</c:v>
                </c:pt>
                <c:pt idx="231">
                  <c:v>1794476.0524992954</c:v>
                </c:pt>
                <c:pt idx="232">
                  <c:v>1794476.0524992954</c:v>
                </c:pt>
                <c:pt idx="233">
                  <c:v>1810587.0191107662</c:v>
                </c:pt>
                <c:pt idx="234">
                  <c:v>1813279.1802126779</c:v>
                </c:pt>
                <c:pt idx="235">
                  <c:v>1799838.374703119</c:v>
                </c:pt>
                <c:pt idx="236">
                  <c:v>1789121.7302954718</c:v>
                </c:pt>
                <c:pt idx="237">
                  <c:v>1783775.4080916482</c:v>
                </c:pt>
                <c:pt idx="238">
                  <c:v>1807896.8580088543</c:v>
                </c:pt>
                <c:pt idx="239">
                  <c:v>1805208.6969069426</c:v>
                </c:pt>
                <c:pt idx="240">
                  <c:v>1781105.2469897366</c:v>
                </c:pt>
                <c:pt idx="241">
                  <c:v>1807896.8580088543</c:v>
                </c:pt>
                <c:pt idx="242">
                  <c:v>1799838.374703119</c:v>
                </c:pt>
                <c:pt idx="243">
                  <c:v>1815973.3413145898</c:v>
                </c:pt>
                <c:pt idx="244">
                  <c:v>1736018.5082572361</c:v>
                </c:pt>
                <c:pt idx="245">
                  <c:v>1810587.0191107662</c:v>
                </c:pt>
                <c:pt idx="246">
                  <c:v>1805208.6969069426</c:v>
                </c:pt>
                <c:pt idx="247">
                  <c:v>1781105.2469897366</c:v>
                </c:pt>
                <c:pt idx="248">
                  <c:v>1799838.374703119</c:v>
                </c:pt>
                <c:pt idx="249">
                  <c:v>1797156.2136012074</c:v>
                </c:pt>
                <c:pt idx="250">
                  <c:v>1821367.6635184134</c:v>
                </c:pt>
                <c:pt idx="251">
                  <c:v>1765126.2803782658</c:v>
                </c:pt>
                <c:pt idx="252">
                  <c:v>1799838.374703119</c:v>
                </c:pt>
                <c:pt idx="253">
                  <c:v>1805208.6969069426</c:v>
                </c:pt>
                <c:pt idx="254">
                  <c:v>1775770.924785913</c:v>
                </c:pt>
                <c:pt idx="255">
                  <c:v>1805208.6969069426</c:v>
                </c:pt>
                <c:pt idx="256">
                  <c:v>1826769.985722237</c:v>
                </c:pt>
                <c:pt idx="257">
                  <c:v>1810587.0191107662</c:v>
                </c:pt>
                <c:pt idx="258">
                  <c:v>1767784.4414801777</c:v>
                </c:pt>
                <c:pt idx="259">
                  <c:v>1799838.374703119</c:v>
                </c:pt>
                <c:pt idx="260">
                  <c:v>1775770.924785913</c:v>
                </c:pt>
                <c:pt idx="261">
                  <c:v>1770444.6025820894</c:v>
                </c:pt>
                <c:pt idx="262">
                  <c:v>1813279.1802126779</c:v>
                </c:pt>
                <c:pt idx="263">
                  <c:v>1759815.9581744422</c:v>
                </c:pt>
                <c:pt idx="264">
                  <c:v>1770444.6025820894</c:v>
                </c:pt>
                <c:pt idx="265">
                  <c:v>1722867.7027476772</c:v>
                </c:pt>
                <c:pt idx="266">
                  <c:v>1770444.6025820894</c:v>
                </c:pt>
                <c:pt idx="267">
                  <c:v>1799838.374703119</c:v>
                </c:pt>
                <c:pt idx="268">
                  <c:v>1802522.535805031</c:v>
                </c:pt>
                <c:pt idx="269">
                  <c:v>1810587.0191107662</c:v>
                </c:pt>
                <c:pt idx="270">
                  <c:v>1791797.8913973838</c:v>
                </c:pt>
                <c:pt idx="271">
                  <c:v>1781105.2469897366</c:v>
                </c:pt>
                <c:pt idx="272">
                  <c:v>1767784.4414801777</c:v>
                </c:pt>
                <c:pt idx="273">
                  <c:v>1786447.5691935602</c:v>
                </c:pt>
                <c:pt idx="274">
                  <c:v>1773106.7636840013</c:v>
                </c:pt>
                <c:pt idx="275">
                  <c:v>1767784.4414801777</c:v>
                </c:pt>
                <c:pt idx="276">
                  <c:v>1791797.8913973838</c:v>
                </c:pt>
                <c:pt idx="277">
                  <c:v>1799838.374703119</c:v>
                </c:pt>
                <c:pt idx="278">
                  <c:v>1802522.535805031</c:v>
                </c:pt>
                <c:pt idx="279">
                  <c:v>1805208.6969069426</c:v>
                </c:pt>
                <c:pt idx="280">
                  <c:v>1797156.2136012074</c:v>
                </c:pt>
                <c:pt idx="281">
                  <c:v>1783775.4080916482</c:v>
                </c:pt>
                <c:pt idx="282">
                  <c:v>1789121.7302954718</c:v>
                </c:pt>
                <c:pt idx="283">
                  <c:v>1802522.535805031</c:v>
                </c:pt>
                <c:pt idx="284">
                  <c:v>1810587.0191107662</c:v>
                </c:pt>
                <c:pt idx="285">
                  <c:v>1759815.9581744422</c:v>
                </c:pt>
                <c:pt idx="286">
                  <c:v>1807896.8580088543</c:v>
                </c:pt>
                <c:pt idx="287">
                  <c:v>1805208.6969069426</c:v>
                </c:pt>
                <c:pt idx="288">
                  <c:v>1781105.2469897366</c:v>
                </c:pt>
                <c:pt idx="289">
                  <c:v>1786447.5691935602</c:v>
                </c:pt>
                <c:pt idx="290">
                  <c:v>1797156.2136012074</c:v>
                </c:pt>
                <c:pt idx="291">
                  <c:v>1802522.535805031</c:v>
                </c:pt>
                <c:pt idx="292">
                  <c:v>1805208.6969069426</c:v>
                </c:pt>
                <c:pt idx="293">
                  <c:v>1815973.3413145898</c:v>
                </c:pt>
                <c:pt idx="294">
                  <c:v>1791797.8913973838</c:v>
                </c:pt>
                <c:pt idx="295">
                  <c:v>1815973.3413145898</c:v>
                </c:pt>
                <c:pt idx="296">
                  <c:v>1821367.6635184134</c:v>
                </c:pt>
                <c:pt idx="297">
                  <c:v>1805208.6969069426</c:v>
                </c:pt>
                <c:pt idx="298">
                  <c:v>1824067.8246203251</c:v>
                </c:pt>
                <c:pt idx="299">
                  <c:v>1843024.9523337076</c:v>
                </c:pt>
                <c:pt idx="300">
                  <c:v>1799838.374703119</c:v>
                </c:pt>
                <c:pt idx="301">
                  <c:v>1821367.6635184134</c:v>
                </c:pt>
                <c:pt idx="302">
                  <c:v>1797156.2136012074</c:v>
                </c:pt>
                <c:pt idx="303">
                  <c:v>1794476.0524992954</c:v>
                </c:pt>
                <c:pt idx="304">
                  <c:v>1789121.7302954718</c:v>
                </c:pt>
                <c:pt idx="305">
                  <c:v>1786447.5691935602</c:v>
                </c:pt>
                <c:pt idx="306">
                  <c:v>1802522.535805031</c:v>
                </c:pt>
                <c:pt idx="307">
                  <c:v>1805208.6969069426</c:v>
                </c:pt>
                <c:pt idx="308">
                  <c:v>1759815.9581744422</c:v>
                </c:pt>
                <c:pt idx="309">
                  <c:v>1797156.2136012074</c:v>
                </c:pt>
                <c:pt idx="310">
                  <c:v>1778437.0858878247</c:v>
                </c:pt>
                <c:pt idx="311">
                  <c:v>1794476.0524992954</c:v>
                </c:pt>
                <c:pt idx="312">
                  <c:v>1805208.6969069426</c:v>
                </c:pt>
                <c:pt idx="313">
                  <c:v>1810587.0191107662</c:v>
                </c:pt>
                <c:pt idx="314">
                  <c:v>1810587.0191107662</c:v>
                </c:pt>
                <c:pt idx="315">
                  <c:v>1797156.2136012074</c:v>
                </c:pt>
                <c:pt idx="316">
                  <c:v>1824067.8246203251</c:v>
                </c:pt>
                <c:pt idx="317">
                  <c:v>1824067.8246203251</c:v>
                </c:pt>
                <c:pt idx="318">
                  <c:v>1810587.0191107662</c:v>
                </c:pt>
                <c:pt idx="319">
                  <c:v>1813279.1802126779</c:v>
                </c:pt>
                <c:pt idx="320">
                  <c:v>1829474.1468241487</c:v>
                </c:pt>
                <c:pt idx="321">
                  <c:v>1805208.6969069426</c:v>
                </c:pt>
                <c:pt idx="322">
                  <c:v>1791797.8913973838</c:v>
                </c:pt>
                <c:pt idx="323">
                  <c:v>1781105.2469897366</c:v>
                </c:pt>
                <c:pt idx="324">
                  <c:v>1799838.374703119</c:v>
                </c:pt>
                <c:pt idx="325">
                  <c:v>1810587.0191107662</c:v>
                </c:pt>
                <c:pt idx="326">
                  <c:v>1765126.2803782658</c:v>
                </c:pt>
                <c:pt idx="327">
                  <c:v>1786447.5691935602</c:v>
                </c:pt>
                <c:pt idx="328">
                  <c:v>1797156.2136012074</c:v>
                </c:pt>
                <c:pt idx="329">
                  <c:v>1786447.5691935602</c:v>
                </c:pt>
                <c:pt idx="330">
                  <c:v>1781105.2469897366</c:v>
                </c:pt>
                <c:pt idx="331">
                  <c:v>1794476.0524992954</c:v>
                </c:pt>
                <c:pt idx="332">
                  <c:v>1799838.374703119</c:v>
                </c:pt>
                <c:pt idx="333">
                  <c:v>1778437.0858878247</c:v>
                </c:pt>
                <c:pt idx="334">
                  <c:v>1797156.2136012074</c:v>
                </c:pt>
                <c:pt idx="335">
                  <c:v>1832180.3079260604</c:v>
                </c:pt>
                <c:pt idx="336">
                  <c:v>1794476.0524992954</c:v>
                </c:pt>
                <c:pt idx="337">
                  <c:v>1807896.8580088543</c:v>
                </c:pt>
                <c:pt idx="338">
                  <c:v>1826769.985722237</c:v>
                </c:pt>
                <c:pt idx="339">
                  <c:v>1829474.1468241487</c:v>
                </c:pt>
                <c:pt idx="340">
                  <c:v>1821367.6635184134</c:v>
                </c:pt>
                <c:pt idx="341">
                  <c:v>1786447.5691935602</c:v>
                </c:pt>
                <c:pt idx="342">
                  <c:v>1802522.535805031</c:v>
                </c:pt>
                <c:pt idx="343">
                  <c:v>1802522.535805031</c:v>
                </c:pt>
                <c:pt idx="344">
                  <c:v>1826769.985722237</c:v>
                </c:pt>
                <c:pt idx="345">
                  <c:v>1813279.1802126779</c:v>
                </c:pt>
                <c:pt idx="346">
                  <c:v>1824067.8246203251</c:v>
                </c:pt>
                <c:pt idx="347">
                  <c:v>1778437.0858878247</c:v>
                </c:pt>
                <c:pt idx="348">
                  <c:v>1791797.8913973838</c:v>
                </c:pt>
                <c:pt idx="349">
                  <c:v>1778437.0858878247</c:v>
                </c:pt>
                <c:pt idx="350">
                  <c:v>1813279.1802126779</c:v>
                </c:pt>
                <c:pt idx="351">
                  <c:v>1810587.0191107662</c:v>
                </c:pt>
                <c:pt idx="352">
                  <c:v>1805208.6969069426</c:v>
                </c:pt>
                <c:pt idx="353">
                  <c:v>1805208.6969069426</c:v>
                </c:pt>
                <c:pt idx="354">
                  <c:v>1775770.924785913</c:v>
                </c:pt>
                <c:pt idx="355">
                  <c:v>1813279.1802126779</c:v>
                </c:pt>
                <c:pt idx="356">
                  <c:v>1810587.0191107662</c:v>
                </c:pt>
                <c:pt idx="357">
                  <c:v>1815973.3413145898</c:v>
                </c:pt>
                <c:pt idx="358">
                  <c:v>1799838.374703119</c:v>
                </c:pt>
                <c:pt idx="359">
                  <c:v>1826769.985722237</c:v>
                </c:pt>
                <c:pt idx="360">
                  <c:v>1818669.5024165015</c:v>
                </c:pt>
                <c:pt idx="361">
                  <c:v>1778437.0858878247</c:v>
                </c:pt>
                <c:pt idx="362">
                  <c:v>1789121.7302954718</c:v>
                </c:pt>
                <c:pt idx="363">
                  <c:v>1770444.6025820894</c:v>
                </c:pt>
                <c:pt idx="364">
                  <c:v>1783775.4080916482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0-4985-9B75-A7F024EFD460}"/>
            </c:ext>
          </c:extLst>
        </c:ser>
        <c:ser>
          <c:idx val="1"/>
          <c:order val="1"/>
          <c:tx>
            <c:strRef>
              <c:f>'LF Forcast'!$C$1</c:f>
              <c:strCache>
                <c:ptCount val="1"/>
                <c:pt idx="0">
                  <c:v>Forecast(Absolute Squared Error)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'LF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'LF Forcast'!$C$2:$C$458</c:f>
              <c:numCache>
                <c:formatCode>General</c:formatCode>
                <c:ptCount val="457"/>
                <c:pt idx="364" formatCode="_(* #,##0.00_);_(* \(#,##0.00\);_(* &quot;-&quot;??_);_(@_)">
                  <c:v>1783775.4080916482</c:v>
                </c:pt>
                <c:pt idx="365" formatCode="_(* #,##0.00_);_(* \(#,##0.00\);_(* &quot;-&quot;??_);_(@_)">
                  <c:v>1791629.7504950061</c:v>
                </c:pt>
                <c:pt idx="366" formatCode="_(* #,##0.00_);_(* \(#,##0.00\);_(* &quot;-&quot;??_);_(@_)">
                  <c:v>1798458.6635411927</c:v>
                </c:pt>
                <c:pt idx="367" formatCode="_(* #,##0.00_);_(* \(#,##0.00\);_(* &quot;-&quot;??_);_(@_)">
                  <c:v>1797798.9713877495</c:v>
                </c:pt>
                <c:pt idx="368" formatCode="_(* #,##0.00_);_(* \(#,##0.00\);_(* &quot;-&quot;??_);_(@_)">
                  <c:v>1770649.3409526986</c:v>
                </c:pt>
                <c:pt idx="369" formatCode="_(* #,##0.00_);_(* \(#,##0.00\);_(* &quot;-&quot;??_);_(@_)">
                  <c:v>1785477.2255719954</c:v>
                </c:pt>
                <c:pt idx="370" formatCode="_(* #,##0.00_);_(* \(#,##0.00\);_(* &quot;-&quot;??_);_(@_)">
                  <c:v>1782928.3099264696</c:v>
                </c:pt>
                <c:pt idx="371" formatCode="_(* #,##0.00_);_(* \(#,##0.00\);_(* &quot;-&quot;??_);_(@_)">
                  <c:v>1788945.737914307</c:v>
                </c:pt>
                <c:pt idx="372" formatCode="_(* #,##0.00_);_(* \(#,##0.00\);_(* &quot;-&quot;??_);_(@_)">
                  <c:v>1790901.6757095531</c:v>
                </c:pt>
                <c:pt idx="373" formatCode="_(* #,##0.00_);_(* \(#,##0.00\);_(* &quot;-&quot;??_);_(@_)">
                  <c:v>1797730.5887557396</c:v>
                </c:pt>
                <c:pt idx="374" formatCode="_(* #,##0.00_);_(* \(#,##0.00\);_(* &quot;-&quot;??_);_(@_)">
                  <c:v>1797070.8966022965</c:v>
                </c:pt>
                <c:pt idx="375" formatCode="_(* #,##0.00_);_(* \(#,##0.00\);_(* &quot;-&quot;??_);_(@_)">
                  <c:v>1769921.2661672456</c:v>
                </c:pt>
                <c:pt idx="376" formatCode="_(* #,##0.00_);_(* \(#,##0.00\);_(* &quot;-&quot;??_);_(@_)">
                  <c:v>1784749.1507865421</c:v>
                </c:pt>
                <c:pt idx="377" formatCode="_(* #,##0.00_);_(* \(#,##0.00\);_(* &quot;-&quot;??_);_(@_)">
                  <c:v>1782200.2351410163</c:v>
                </c:pt>
                <c:pt idx="378" formatCode="_(* #,##0.00_);_(* \(#,##0.00\);_(* &quot;-&quot;??_);_(@_)">
                  <c:v>1788217.663128854</c:v>
                </c:pt>
                <c:pt idx="379" formatCode="_(* #,##0.00_);_(* \(#,##0.00\);_(* &quot;-&quot;??_);_(@_)">
                  <c:v>1790173.6009241</c:v>
                </c:pt>
                <c:pt idx="380" formatCode="_(* #,##0.00_);_(* \(#,##0.00\);_(* &quot;-&quot;??_);_(@_)">
                  <c:v>1797002.5139702866</c:v>
                </c:pt>
                <c:pt idx="381" formatCode="_(* #,##0.00_);_(* \(#,##0.00\);_(* &quot;-&quot;??_);_(@_)">
                  <c:v>1796342.8218168435</c:v>
                </c:pt>
                <c:pt idx="382" formatCode="_(* #,##0.00_);_(* \(#,##0.00\);_(* &quot;-&quot;??_);_(@_)">
                  <c:v>1769193.1913817925</c:v>
                </c:pt>
                <c:pt idx="383" formatCode="_(* #,##0.00_);_(* \(#,##0.00\);_(* &quot;-&quot;??_);_(@_)">
                  <c:v>1784021.0760010891</c:v>
                </c:pt>
                <c:pt idx="384" formatCode="_(* #,##0.00_);_(* \(#,##0.00\);_(* &quot;-&quot;??_);_(@_)">
                  <c:v>1781472.1603555633</c:v>
                </c:pt>
                <c:pt idx="385" formatCode="_(* #,##0.00_);_(* \(#,##0.00\);_(* &quot;-&quot;??_);_(@_)">
                  <c:v>1787489.5883434007</c:v>
                </c:pt>
                <c:pt idx="386" formatCode="_(* #,##0.00_);_(* \(#,##0.00\);_(* &quot;-&quot;??_);_(@_)">
                  <c:v>1789445.5261386468</c:v>
                </c:pt>
                <c:pt idx="387" formatCode="_(* #,##0.00_);_(* \(#,##0.00\);_(* &quot;-&quot;??_);_(@_)">
                  <c:v>1796274.4391848336</c:v>
                </c:pt>
                <c:pt idx="388" formatCode="_(* #,##0.00_);_(* \(#,##0.00\);_(* &quot;-&quot;??_);_(@_)">
                  <c:v>1795614.7470313904</c:v>
                </c:pt>
                <c:pt idx="389" formatCode="_(* #,##0.00_);_(* \(#,##0.00\);_(* &quot;-&quot;??_);_(@_)">
                  <c:v>1768465.1165963395</c:v>
                </c:pt>
                <c:pt idx="390" formatCode="_(* #,##0.00_);_(* \(#,##0.00\);_(* &quot;-&quot;??_);_(@_)">
                  <c:v>1783293.001215636</c:v>
                </c:pt>
                <c:pt idx="391" formatCode="_(* #,##0.00_);_(* \(#,##0.00\);_(* &quot;-&quot;??_);_(@_)">
                  <c:v>1780744.0855701102</c:v>
                </c:pt>
                <c:pt idx="392" formatCode="_(* #,##0.00_);_(* \(#,##0.00\);_(* &quot;-&quot;??_);_(@_)">
                  <c:v>1786761.5135579477</c:v>
                </c:pt>
                <c:pt idx="393" formatCode="_(* #,##0.00_);_(* \(#,##0.00\);_(* &quot;-&quot;??_);_(@_)">
                  <c:v>1788717.4513531937</c:v>
                </c:pt>
                <c:pt idx="394" formatCode="_(* #,##0.00_);_(* \(#,##0.00\);_(* &quot;-&quot;??_);_(@_)">
                  <c:v>1795546.3643993803</c:v>
                </c:pt>
                <c:pt idx="395" formatCode="_(* #,##0.00_);_(* \(#,##0.00\);_(* &quot;-&quot;??_);_(@_)">
                  <c:v>1794886.6722459372</c:v>
                </c:pt>
                <c:pt idx="396" formatCode="_(* #,##0.00_);_(* \(#,##0.00\);_(* &quot;-&quot;??_);_(@_)">
                  <c:v>1767737.0418108865</c:v>
                </c:pt>
                <c:pt idx="397" formatCode="_(* #,##0.00_);_(* \(#,##0.00\);_(* &quot;-&quot;??_);_(@_)">
                  <c:v>1782564.926430183</c:v>
                </c:pt>
                <c:pt idx="398" formatCode="_(* #,##0.00_);_(* \(#,##0.00\);_(* &quot;-&quot;??_);_(@_)">
                  <c:v>1780016.0107846572</c:v>
                </c:pt>
                <c:pt idx="399" formatCode="_(* #,##0.00_);_(* \(#,##0.00\);_(* &quot;-&quot;??_);_(@_)">
                  <c:v>1786033.4387724947</c:v>
                </c:pt>
                <c:pt idx="400" formatCode="_(* #,##0.00_);_(* \(#,##0.00\);_(* &quot;-&quot;??_);_(@_)">
                  <c:v>1787989.3765677407</c:v>
                </c:pt>
                <c:pt idx="401" formatCode="_(* #,##0.00_);_(* \(#,##0.00\);_(* &quot;-&quot;??_);_(@_)">
                  <c:v>1794818.2896139272</c:v>
                </c:pt>
                <c:pt idx="402" formatCode="_(* #,##0.00_);_(* \(#,##0.00\);_(* &quot;-&quot;??_);_(@_)">
                  <c:v>1794158.5974604841</c:v>
                </c:pt>
                <c:pt idx="403" formatCode="_(* #,##0.00_);_(* \(#,##0.00\);_(* &quot;-&quot;??_);_(@_)">
                  <c:v>1767008.9670254332</c:v>
                </c:pt>
                <c:pt idx="404" formatCode="_(* #,##0.00_);_(* \(#,##0.00\);_(* &quot;-&quot;??_);_(@_)">
                  <c:v>1781836.8516447297</c:v>
                </c:pt>
                <c:pt idx="405" formatCode="_(* #,##0.00_);_(* \(#,##0.00\);_(* &quot;-&quot;??_);_(@_)">
                  <c:v>1779287.9359992042</c:v>
                </c:pt>
                <c:pt idx="406" formatCode="_(* #,##0.00_);_(* \(#,##0.00\);_(* &quot;-&quot;??_);_(@_)">
                  <c:v>1785305.3639870416</c:v>
                </c:pt>
                <c:pt idx="407" formatCode="_(* #,##0.00_);_(* \(#,##0.00\);_(* &quot;-&quot;??_);_(@_)">
                  <c:v>1787261.3017822877</c:v>
                </c:pt>
                <c:pt idx="408" formatCode="_(* #,##0.00_);_(* \(#,##0.00\);_(* &quot;-&quot;??_);_(@_)">
                  <c:v>1794090.2148284742</c:v>
                </c:pt>
                <c:pt idx="409" formatCode="_(* #,##0.00_);_(* \(#,##0.00\);_(* &quot;-&quot;??_);_(@_)">
                  <c:v>1793430.5226750311</c:v>
                </c:pt>
                <c:pt idx="410" formatCode="_(* #,##0.00_);_(* \(#,##0.00\);_(* &quot;-&quot;??_);_(@_)">
                  <c:v>1766280.8922399802</c:v>
                </c:pt>
                <c:pt idx="411" formatCode="_(* #,##0.00_);_(* \(#,##0.00\);_(* &quot;-&quot;??_);_(@_)">
                  <c:v>1781108.7768592767</c:v>
                </c:pt>
                <c:pt idx="412" formatCode="_(* #,##0.00_);_(* \(#,##0.00\);_(* &quot;-&quot;??_);_(@_)">
                  <c:v>1778559.8612137509</c:v>
                </c:pt>
                <c:pt idx="413" formatCode="_(* #,##0.00_);_(* \(#,##0.00\);_(* &quot;-&quot;??_);_(@_)">
                  <c:v>1784577.2892015884</c:v>
                </c:pt>
                <c:pt idx="414" formatCode="_(* #,##0.00_);_(* \(#,##0.00\);_(* &quot;-&quot;??_);_(@_)">
                  <c:v>1786533.2269968346</c:v>
                </c:pt>
                <c:pt idx="415" formatCode="_(* #,##0.00_);_(* \(#,##0.00\);_(* &quot;-&quot;??_);_(@_)">
                  <c:v>1793362.1400430212</c:v>
                </c:pt>
                <c:pt idx="416" formatCode="_(* #,##0.00_);_(* \(#,##0.00\);_(* &quot;-&quot;??_);_(@_)">
                  <c:v>1792702.4478895781</c:v>
                </c:pt>
                <c:pt idx="417" formatCode="_(* #,##0.00_);_(* \(#,##0.00\);_(* &quot;-&quot;??_);_(@_)">
                  <c:v>1765552.8174545271</c:v>
                </c:pt>
                <c:pt idx="418" formatCode="_(* #,##0.00_);_(* \(#,##0.00\);_(* &quot;-&quot;??_);_(@_)">
                  <c:v>1780380.7020738237</c:v>
                </c:pt>
                <c:pt idx="419" formatCode="_(* #,##0.00_);_(* \(#,##0.00\);_(* &quot;-&quot;??_);_(@_)">
                  <c:v>1777831.7864282979</c:v>
                </c:pt>
                <c:pt idx="420" formatCode="_(* #,##0.00_);_(* \(#,##0.00\);_(* &quot;-&quot;??_);_(@_)">
                  <c:v>1783849.2144161353</c:v>
                </c:pt>
                <c:pt idx="421" formatCode="_(* #,##0.00_);_(* \(#,##0.00\);_(* &quot;-&quot;??_);_(@_)">
                  <c:v>1785805.1522113814</c:v>
                </c:pt>
                <c:pt idx="422" formatCode="_(* #,##0.00_);_(* \(#,##0.00\);_(* &quot;-&quot;??_);_(@_)">
                  <c:v>1792634.0652575679</c:v>
                </c:pt>
                <c:pt idx="423" formatCode="_(* #,##0.00_);_(* \(#,##0.00\);_(* &quot;-&quot;??_);_(@_)">
                  <c:v>1791974.373104125</c:v>
                </c:pt>
                <c:pt idx="424" formatCode="_(* #,##0.00_);_(* \(#,##0.00\);_(* &quot;-&quot;??_);_(@_)">
                  <c:v>1764824.7426690741</c:v>
                </c:pt>
                <c:pt idx="425" formatCode="_(* #,##0.00_);_(* \(#,##0.00\);_(* &quot;-&quot;??_);_(@_)">
                  <c:v>1779652.6272883706</c:v>
                </c:pt>
                <c:pt idx="426" formatCode="_(* #,##0.00_);_(* \(#,##0.00\);_(* &quot;-&quot;??_);_(@_)">
                  <c:v>1777103.7116428448</c:v>
                </c:pt>
                <c:pt idx="427" formatCode="_(* #,##0.00_);_(* \(#,##0.00\);_(* &quot;-&quot;??_);_(@_)">
                  <c:v>1783121.1396306823</c:v>
                </c:pt>
                <c:pt idx="428" formatCode="_(* #,##0.00_);_(* \(#,##0.00\);_(* &quot;-&quot;??_);_(@_)">
                  <c:v>1785077.0774259283</c:v>
                </c:pt>
                <c:pt idx="429" formatCode="_(* #,##0.00_);_(* \(#,##0.00\);_(* &quot;-&quot;??_);_(@_)">
                  <c:v>1791905.9904721149</c:v>
                </c:pt>
                <c:pt idx="430" formatCode="_(* #,##0.00_);_(* \(#,##0.00\);_(* &quot;-&quot;??_);_(@_)">
                  <c:v>1791246.2983186718</c:v>
                </c:pt>
                <c:pt idx="431" formatCode="_(* #,##0.00_);_(* \(#,##0.00\);_(* &quot;-&quot;??_);_(@_)">
                  <c:v>1764096.6678836208</c:v>
                </c:pt>
                <c:pt idx="432" formatCode="_(* #,##0.00_);_(* \(#,##0.00\);_(* &quot;-&quot;??_);_(@_)">
                  <c:v>1778924.5525029176</c:v>
                </c:pt>
                <c:pt idx="433" formatCode="_(* #,##0.00_);_(* \(#,##0.00\);_(* &quot;-&quot;??_);_(@_)">
                  <c:v>1776375.6368573918</c:v>
                </c:pt>
                <c:pt idx="434" formatCode="_(* #,##0.00_);_(* \(#,##0.00\);_(* &quot;-&quot;??_);_(@_)">
                  <c:v>1782393.0648452293</c:v>
                </c:pt>
                <c:pt idx="435" formatCode="_(* #,##0.00_);_(* \(#,##0.00\);_(* &quot;-&quot;??_);_(@_)">
                  <c:v>1784349.0026404753</c:v>
                </c:pt>
                <c:pt idx="436" formatCode="_(* #,##0.00_);_(* \(#,##0.00\);_(* &quot;-&quot;??_);_(@_)">
                  <c:v>1791177.9156866618</c:v>
                </c:pt>
                <c:pt idx="437" formatCode="_(* #,##0.00_);_(* \(#,##0.00\);_(* &quot;-&quot;??_);_(@_)">
                  <c:v>1790518.2235332187</c:v>
                </c:pt>
                <c:pt idx="438" formatCode="_(* #,##0.00_);_(* \(#,##0.00\);_(* &quot;-&quot;??_);_(@_)">
                  <c:v>1763368.5930981678</c:v>
                </c:pt>
                <c:pt idx="439" formatCode="_(* #,##0.00_);_(* \(#,##0.00\);_(* &quot;-&quot;??_);_(@_)">
                  <c:v>1778196.4777174643</c:v>
                </c:pt>
                <c:pt idx="440" formatCode="_(* #,##0.00_);_(* \(#,##0.00\);_(* &quot;-&quot;??_);_(@_)">
                  <c:v>1775647.5620719385</c:v>
                </c:pt>
                <c:pt idx="441" formatCode="_(* #,##0.00_);_(* \(#,##0.00\);_(* &quot;-&quot;??_);_(@_)">
                  <c:v>1781664.9900597762</c:v>
                </c:pt>
                <c:pt idx="442" formatCode="_(* #,##0.00_);_(* \(#,##0.00\);_(* &quot;-&quot;??_);_(@_)">
                  <c:v>1783620.9278550223</c:v>
                </c:pt>
                <c:pt idx="443" formatCode="_(* #,##0.00_);_(* \(#,##0.00\);_(* &quot;-&quot;??_);_(@_)">
                  <c:v>1790449.8409012088</c:v>
                </c:pt>
                <c:pt idx="444" formatCode="_(* #,##0.00_);_(* \(#,##0.00\);_(* &quot;-&quot;??_);_(@_)">
                  <c:v>1789790.1487477657</c:v>
                </c:pt>
                <c:pt idx="445" formatCode="_(* #,##0.00_);_(* \(#,##0.00\);_(* &quot;-&quot;??_);_(@_)">
                  <c:v>1762640.5183127148</c:v>
                </c:pt>
                <c:pt idx="446" formatCode="_(* #,##0.00_);_(* \(#,##0.00\);_(* &quot;-&quot;??_);_(@_)">
                  <c:v>1777468.4029320113</c:v>
                </c:pt>
                <c:pt idx="447" formatCode="_(* #,##0.00_);_(* \(#,##0.00\);_(* &quot;-&quot;??_);_(@_)">
                  <c:v>1774919.4872864855</c:v>
                </c:pt>
                <c:pt idx="448" formatCode="_(* #,##0.00_);_(* \(#,##0.00\);_(* &quot;-&quot;??_);_(@_)">
                  <c:v>1780936.915274323</c:v>
                </c:pt>
                <c:pt idx="449" formatCode="_(* #,##0.00_);_(* \(#,##0.00\);_(* &quot;-&quot;??_);_(@_)">
                  <c:v>1782892.853069569</c:v>
                </c:pt>
                <c:pt idx="450" formatCode="_(* #,##0.00_);_(* \(#,##0.00\);_(* &quot;-&quot;??_);_(@_)">
                  <c:v>1789721.7661157558</c:v>
                </c:pt>
                <c:pt idx="451" formatCode="_(* #,##0.00_);_(* \(#,##0.00\);_(* &quot;-&quot;??_);_(@_)">
                  <c:v>1789062.0739623127</c:v>
                </c:pt>
                <c:pt idx="452" formatCode="_(* #,##0.00_);_(* \(#,##0.00\);_(* &quot;-&quot;??_);_(@_)">
                  <c:v>1761912.4435272617</c:v>
                </c:pt>
                <c:pt idx="453" formatCode="_(* #,##0.00_);_(* \(#,##0.00\);_(* &quot;-&quot;??_);_(@_)">
                  <c:v>1776740.3281465583</c:v>
                </c:pt>
                <c:pt idx="454" formatCode="_(* #,##0.00_);_(* \(#,##0.00\);_(* &quot;-&quot;??_);_(@_)">
                  <c:v>1774191.4125010325</c:v>
                </c:pt>
                <c:pt idx="455" formatCode="_(* #,##0.00_);_(* \(#,##0.00\);_(* &quot;-&quot;??_);_(@_)">
                  <c:v>1780208.8404888699</c:v>
                </c:pt>
                <c:pt idx="456" formatCode="_(* #,##0.00_);_(* \(#,##0.00\);_(* &quot;-&quot;??_);_(@_)">
                  <c:v>1782164.7782841159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60-4985-9B75-A7F024EFD460}"/>
            </c:ext>
          </c:extLst>
        </c:ser>
        <c:ser>
          <c:idx val="2"/>
          <c:order val="2"/>
          <c:tx>
            <c:strRef>
              <c:f>'LF Forcast'!$D$1</c:f>
              <c:strCache>
                <c:ptCount val="1"/>
                <c:pt idx="0">
                  <c:v>Lower Confidence Bound(Absolute Squared Error)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'LF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'LF Forcast'!$D$2:$D$458</c:f>
              <c:numCache>
                <c:formatCode>General</c:formatCode>
                <c:ptCount val="457"/>
                <c:pt idx="364" formatCode="_(* #,##0.00_);_(* \(#,##0.00\);_(* &quot;-&quot;??_);_(@_)">
                  <c:v>1783775.4080916482</c:v>
                </c:pt>
                <c:pt idx="365" formatCode="_(* #,##0.00_);_(* \(#,##0.00\);_(* &quot;-&quot;??_);_(@_)">
                  <c:v>1752267.3715748724</c:v>
                </c:pt>
                <c:pt idx="366" formatCode="_(* #,##0.00_);_(* \(#,##0.00\);_(* &quot;-&quot;??_);_(@_)">
                  <c:v>1757865.6866442626</c:v>
                </c:pt>
                <c:pt idx="367" formatCode="_(* #,##0.00_);_(* \(#,##0.00\);_(* &quot;-&quot;??_);_(@_)">
                  <c:v>1756002.259580734</c:v>
                </c:pt>
                <c:pt idx="368" formatCode="_(* #,##0.00_);_(* \(#,##0.00\);_(* &quot;-&quot;??_);_(@_)">
                  <c:v>1727673.4639212992</c:v>
                </c:pt>
                <c:pt idx="369" formatCode="_(* #,##0.00_);_(* \(#,##0.00\);_(* &quot;-&quot;??_);_(@_)">
                  <c:v>1741344.7484336542</c:v>
                </c:pt>
                <c:pt idx="370" formatCode="_(* #,##0.00_);_(* \(#,##0.00\);_(* &quot;-&quot;??_);_(@_)">
                  <c:v>1737660.0339275186</c:v>
                </c:pt>
                <c:pt idx="371" formatCode="_(* #,##0.00_);_(* \(#,##0.00\);_(* &quot;-&quot;??_);_(@_)">
                  <c:v>1742560.9028271292</c:v>
                </c:pt>
                <c:pt idx="372" formatCode="_(* #,##0.00_);_(* \(#,##0.00\);_(* &quot;-&quot;??_);_(@_)">
                  <c:v>1740390.3256877835</c:v>
                </c:pt>
                <c:pt idx="373" formatCode="_(* #,##0.00_);_(* \(#,##0.00\);_(* &quot;-&quot;??_);_(@_)">
                  <c:v>1746200.679258988</c:v>
                </c:pt>
                <c:pt idx="374" formatCode="_(* #,##0.00_);_(* \(#,##0.00\);_(* &quot;-&quot;??_);_(@_)">
                  <c:v>1744534.5206191468</c:v>
                </c:pt>
                <c:pt idx="375" formatCode="_(* #,##0.00_);_(* \(#,##0.00\);_(* &quot;-&quot;??_);_(@_)">
                  <c:v>1716389.8056424868</c:v>
                </c:pt>
                <c:pt idx="376" formatCode="_(* #,##0.00_);_(* \(#,##0.00\);_(* &quot;-&quot;??_);_(@_)">
                  <c:v>1730233.3359714816</c:v>
                </c:pt>
                <c:pt idx="377" formatCode="_(* #,##0.00_);_(* \(#,##0.00\);_(* &quot;-&quot;??_);_(@_)">
                  <c:v>1726710.1973202946</c:v>
                </c:pt>
                <c:pt idx="378" formatCode="_(* #,##0.00_);_(* \(#,##0.00\);_(* &quot;-&quot;??_);_(@_)">
                  <c:v>1731762.9816410181</c:v>
                </c:pt>
                <c:pt idx="379" formatCode="_(* #,##0.00_);_(* \(#,##0.00\);_(* &quot;-&quot;??_);_(@_)">
                  <c:v>1730189.6876817436</c:v>
                </c:pt>
                <c:pt idx="380" formatCode="_(* #,##0.00_);_(* \(#,##0.00\);_(* &quot;-&quot;??_);_(@_)">
                  <c:v>1736111.6363850429</c:v>
                </c:pt>
                <c:pt idx="381" formatCode="_(* #,##0.00_);_(* \(#,##0.00\);_(* &quot;-&quot;??_);_(@_)">
                  <c:v>1734551.6094410559</c:v>
                </c:pt>
                <c:pt idx="382" formatCode="_(* #,##0.00_);_(* \(#,##0.00\);_(* &quot;-&quot;??_);_(@_)">
                  <c:v>1706507.9633933264</c:v>
                </c:pt>
                <c:pt idx="383" formatCode="_(* #,##0.00_);_(* \(#,##0.00\);_(* &quot;-&quot;??_);_(@_)">
                  <c:v>1720447.8606098276</c:v>
                </c:pt>
                <c:pt idx="384" formatCode="_(* #,##0.00_);_(* \(#,##0.00\);_(* &quot;-&quot;??_);_(@_)">
                  <c:v>1717016.7125848997</c:v>
                </c:pt>
                <c:pt idx="385" formatCode="_(* #,##0.00_);_(* \(#,##0.00\);_(* &quot;-&quot;??_);_(@_)">
                  <c:v>1722157.4063565829</c:v>
                </c:pt>
                <c:pt idx="386" formatCode="_(* #,##0.00_);_(* \(#,##0.00\);_(* &quot;-&quot;??_);_(@_)">
                  <c:v>1720958.4480797718</c:v>
                </c:pt>
                <c:pt idx="387" formatCode="_(* #,##0.00_);_(* \(#,##0.00\);_(* &quot;-&quot;??_);_(@_)">
                  <c:v>1726949.4446973938</c:v>
                </c:pt>
                <c:pt idx="388" formatCode="_(* #,##0.00_);_(* \(#,##0.00\);_(* &quot;-&quot;??_);_(@_)">
                  <c:v>1725455.8033362711</c:v>
                </c:pt>
                <c:pt idx="389" formatCode="_(* #,##0.00_);_(* \(#,##0.00\);_(* &quot;-&quot;??_);_(@_)">
                  <c:v>1697476.0292727922</c:v>
                </c:pt>
                <c:pt idx="390" formatCode="_(* #,##0.00_);_(* \(#,##0.00\);_(* &quot;-&quot;??_);_(@_)">
                  <c:v>1711477.4222976654</c:v>
                </c:pt>
                <c:pt idx="391" formatCode="_(* #,##0.00_);_(* \(#,##0.00\);_(* &quot;-&quot;??_);_(@_)">
                  <c:v>1708105.521101312</c:v>
                </c:pt>
                <c:pt idx="392" formatCode="_(* #,##0.00_);_(* \(#,##0.00\);_(* &quot;-&quot;??_);_(@_)">
                  <c:v>1713303.3306501363</c:v>
                </c:pt>
                <c:pt idx="393" formatCode="_(* #,##0.00_);_(* \(#,##0.00\);_(* &quot;-&quot;??_);_(@_)">
                  <c:v>1712365.0485959454</c:v>
                </c:pt>
                <c:pt idx="394" formatCode="_(* #,##0.00_);_(* \(#,##0.00\);_(* &quot;-&quot;??_);_(@_)">
                  <c:v>1718402.5887480262</c:v>
                </c:pt>
                <c:pt idx="395" formatCode="_(* #,##0.00_);_(* \(#,##0.00\);_(* &quot;-&quot;??_);_(@_)">
                  <c:v>1716953.9830306002</c:v>
                </c:pt>
                <c:pt idx="396" formatCode="_(* #,##0.00_);_(* \(#,##0.00\);_(* &quot;-&quot;??_);_(@_)">
                  <c:v>1689017.8047378412</c:v>
                </c:pt>
                <c:pt idx="397" formatCode="_(* #,##0.00_);_(* \(#,##0.00\);_(* &quot;-&quot;??_);_(@_)">
                  <c:v>1703061.4175036941</c:v>
                </c:pt>
                <c:pt idx="398" formatCode="_(* #,##0.00_);_(* \(#,##0.00\);_(* &quot;-&quot;??_);_(@_)">
                  <c:v>1699730.4200107581</c:v>
                </c:pt>
                <c:pt idx="399" formatCode="_(* #,##0.00_);_(* \(#,##0.00\);_(* &quot;-&quot;??_);_(@_)">
                  <c:v>1704967.8736598953</c:v>
                </c:pt>
                <c:pt idx="400" formatCode="_(* #,##0.00_);_(* \(#,##0.00\);_(* &quot;-&quot;??_);_(@_)">
                  <c:v>1704223.2654522648</c:v>
                </c:pt>
                <c:pt idx="401" formatCode="_(* #,##0.00_);_(* \(#,##0.00\);_(* &quot;-&quot;??_);_(@_)">
                  <c:v>1710293.8337295766</c:v>
                </c:pt>
                <c:pt idx="402" formatCode="_(* #,##0.00_);_(* \(#,##0.00\);_(* &quot;-&quot;??_);_(@_)">
                  <c:v>1708877.3168833051</c:v>
                </c:pt>
                <c:pt idx="403" formatCode="_(* #,##0.00_);_(* \(#,##0.00\);_(* &quot;-&quot;??_);_(@_)">
                  <c:v>1680972.3237086583</c:v>
                </c:pt>
                <c:pt idx="404" formatCode="_(* #,##0.00_);_(* \(#,##0.00\);_(* &quot;-&quot;??_);_(@_)">
                  <c:v>1695046.2515180884</c:v>
                </c:pt>
                <c:pt idx="405" formatCode="_(* #,##0.00_);_(* \(#,##0.00\);_(* &quot;-&quot;??_);_(@_)">
                  <c:v>1691744.7309684819</c:v>
                </c:pt>
                <c:pt idx="406" formatCode="_(* #,##0.00_);_(* \(#,##0.00\);_(* &quot;-&quot;??_);_(@_)">
                  <c:v>1697010.8538398228</c:v>
                </c:pt>
                <c:pt idx="407" formatCode="_(* #,##0.00_);_(* \(#,##0.00\);_(* &quot;-&quot;??_);_(@_)">
                  <c:v>1696416.606609076</c:v>
                </c:pt>
                <c:pt idx="408" formatCode="_(* #,##0.00_);_(* \(#,##0.00\);_(* &quot;-&quot;??_);_(@_)">
                  <c:v>1702511.3837083045</c:v>
                </c:pt>
                <c:pt idx="409" formatCode="_(* #,##0.00_);_(* \(#,##0.00\);_(* &quot;-&quot;??_);_(@_)">
                  <c:v>1701118.4510250113</c:v>
                </c:pt>
                <c:pt idx="410" formatCode="_(* #,##0.00_);_(* \(#,##0.00\);_(* &quot;-&quot;??_);_(@_)">
                  <c:v>1673236.437655879</c:v>
                </c:pt>
                <c:pt idx="411" formatCode="_(* #,##0.00_);_(* \(#,##0.00\);_(* &quot;-&quot;??_);_(@_)">
                  <c:v>1687332.7603212846</c:v>
                </c:pt>
                <c:pt idx="412" formatCode="_(* #,##0.00_);_(* \(#,##0.00\);_(* &quot;-&quot;??_);_(@_)">
                  <c:v>1684053.0682422672</c:v>
                </c:pt>
                <c:pt idx="413" formatCode="_(* #,##0.00_);_(* \(#,##0.00\);_(* &quot;-&quot;??_);_(@_)">
                  <c:v>1689340.4709656253</c:v>
                </c:pt>
                <c:pt idx="414" formatCode="_(* #,##0.00_);_(* \(#,##0.00\);_(* &quot;-&quot;??_);_(@_)">
                  <c:v>1688866.7327310366</c:v>
                </c:pt>
                <c:pt idx="415" formatCode="_(* #,##0.00_);_(* \(#,##0.00\);_(* &quot;-&quot;??_);_(@_)">
                  <c:v>1694979.6161458609</c:v>
                </c:pt>
                <c:pt idx="416" formatCode="_(* #,##0.00_);_(* \(#,##0.00\);_(* &quot;-&quot;??_);_(@_)">
                  <c:v>1693604.3540587954</c:v>
                </c:pt>
                <c:pt idx="417" formatCode="_(* #,##0.00_);_(* \(#,##0.00\);_(* &quot;-&quot;??_);_(@_)">
                  <c:v>1665739.5879780552</c:v>
                </c:pt>
                <c:pt idx="418" formatCode="_(* #,##0.00_);_(* \(#,##0.00\);_(* &quot;-&quot;??_);_(@_)">
                  <c:v>1679852.7465586849</c:v>
                </c:pt>
                <c:pt idx="419" formatCode="_(* #,##0.00_);_(* \(#,##0.00\);_(* &quot;-&quot;??_);_(@_)">
                  <c:v>1676589.4905027263</c:v>
                </c:pt>
                <c:pt idx="420" formatCode="_(* #,##0.00_);_(* \(#,##0.00\);_(* &quot;-&quot;??_);_(@_)">
                  <c:v>1681892.9404061534</c:v>
                </c:pt>
                <c:pt idx="421" formatCode="_(* #,##0.00_);_(* \(#,##0.00\);_(* &quot;-&quot;??_);_(@_)">
                  <c:v>1681518.1413191406</c:v>
                </c:pt>
                <c:pt idx="422" formatCode="_(* #,##0.00_);_(* \(#,##0.00\);_(* &quot;-&quot;??_);_(@_)">
                  <c:v>1687644.7199604502</c:v>
                </c:pt>
                <c:pt idx="423" formatCode="_(* #,##0.00_);_(* \(#,##0.00\);_(* &quot;-&quot;??_);_(@_)">
                  <c:v>1686282.8380179703</c:v>
                </c:pt>
                <c:pt idx="424" formatCode="_(* #,##0.00_);_(* \(#,##0.00\);_(* &quot;-&quot;??_);_(@_)">
                  <c:v>1658431.1449834825</c:v>
                </c:pt>
                <c:pt idx="425" formatCode="_(* #,##0.00_);_(* \(#,##0.00\);_(* &quot;-&quot;??_);_(@_)">
                  <c:v>1672557.0772241496</c:v>
                </c:pt>
                <c:pt idx="426" formatCode="_(* #,##0.00_);_(* \(#,##0.00\);_(* &quot;-&quot;??_);_(@_)">
                  <c:v>1669306.3028943723</c:v>
                </c:pt>
                <c:pt idx="427" formatCode="_(* #,##0.00_);_(* \(#,##0.00\);_(* &quot;-&quot;??_);_(@_)">
                  <c:v>1674621.9497938042</c:v>
                </c:pt>
                <c:pt idx="428" formatCode="_(* #,##0.00_);_(* \(#,##0.00\);_(* &quot;-&quot;??_);_(@_)">
                  <c:v>1674329.9278311373</c:v>
                </c:pt>
                <c:pt idx="429" formatCode="_(* #,##0.00_);_(* \(#,##0.00\);_(* &quot;-&quot;??_);_(@_)">
                  <c:v>1680466.9037555652</c:v>
                </c:pt>
                <c:pt idx="430" formatCode="_(* #,##0.00_);_(* \(#,##0.00\);_(* &quot;-&quot;??_);_(@_)">
                  <c:v>1679115.1847841402</c:v>
                </c:pt>
                <c:pt idx="431" formatCode="_(* #,##0.00_);_(* \(#,##0.00\);_(* &quot;-&quot;??_);_(@_)">
                  <c:v>1651273.4257524414</c:v>
                </c:pt>
                <c:pt idx="432" formatCode="_(* #,##0.00_);_(* \(#,##0.00\);_(* &quot;-&quot;??_);_(@_)">
                  <c:v>1665409.0682089119</c:v>
                </c:pt>
                <c:pt idx="433" formatCode="_(* #,##0.00_);_(* \(#,##0.00\);_(* &quot;-&quot;??_);_(@_)">
                  <c:v>1662167.7853329743</c:v>
                </c:pt>
                <c:pt idx="434" formatCode="_(* #,##0.00_);_(* \(#,##0.00\);_(* &quot;-&quot;??_);_(@_)">
                  <c:v>1667492.7097990117</c:v>
                </c:pt>
                <c:pt idx="435" formatCode="_(* #,##0.00_);_(* \(#,##0.00\);_(* &quot;-&quot;??_);_(@_)">
                  <c:v>1667271.0008808582</c:v>
                </c:pt>
                <c:pt idx="436" formatCode="_(* #,##0.00_);_(* \(#,##0.00\);_(* &quot;-&quot;??_);_(@_)">
                  <c:v>1673415.8413098285</c:v>
                </c:pt>
                <c:pt idx="437" formatCode="_(* #,##0.00_);_(* \(#,##0.00\);_(* &quot;-&quot;??_);_(@_)">
                  <c:v>1672071.8086949945</c:v>
                </c:pt>
                <c:pt idx="438" formatCode="_(* #,##0.00_);_(* \(#,##0.00\);_(* &quot;-&quot;??_);_(@_)">
                  <c:v>1644237.5615643973</c:v>
                </c:pt>
                <c:pt idx="439" formatCode="_(* #,##0.00_);_(* \(#,##0.00\);_(* &quot;-&quot;??_);_(@_)">
                  <c:v>1658380.5450576418</c:v>
                </c:pt>
                <c:pt idx="440" formatCode="_(* #,##0.00_);_(* \(#,##0.00\);_(* &quot;-&quot;??_);_(@_)">
                  <c:v>1655146.4358475287</c:v>
                </c:pt>
                <c:pt idx="441" formatCode="_(* #,##0.00_);_(* \(#,##0.00\);_(* &quot;-&quot;??_);_(@_)">
                  <c:v>1660478.3700074039</c:v>
                </c:pt>
                <c:pt idx="442" formatCode="_(* #,##0.00_);_(* \(#,##0.00\);_(* &quot;-&quot;??_);_(@_)">
                  <c:v>1660317.1339756136</c:v>
                </c:pt>
                <c:pt idx="443" formatCode="_(* #,##0.00_);_(* \(#,##0.00\);_(* &quot;-&quot;??_);_(@_)">
                  <c:v>1666467.8508699078</c:v>
                </c:pt>
                <c:pt idx="444" formatCode="_(* #,##0.00_);_(* \(#,##0.00\);_(* &quot;-&quot;??_);_(@_)">
                  <c:v>1665129.5568523007</c:v>
                </c:pt>
                <c:pt idx="445" formatCode="_(* #,##0.00_);_(* \(#,##0.00\);_(* &quot;-&quot;??_);_(@_)">
                  <c:v>1637300.9130689306</c:v>
                </c:pt>
                <c:pt idx="446" formatCode="_(* #,##0.00_);_(* \(#,##0.00\);_(* &quot;-&quot;??_);_(@_)">
                  <c:v>1651449.3672122629</c:v>
                </c:pt>
                <c:pt idx="447" formatCode="_(* #,##0.00_);_(* \(#,##0.00\);_(* &quot;-&quot;??_);_(@_)">
                  <c:v>1648220.5984447747</c:v>
                </c:pt>
                <c:pt idx="448" formatCode="_(* #,##0.00_);_(* \(#,##0.00\);_(* &quot;-&quot;??_);_(@_)">
                  <c:v>1653557.7452682806</c:v>
                </c:pt>
                <c:pt idx="449" formatCode="_(* #,##0.00_);_(* \(#,##0.00\);_(* &quot;-&quot;??_);_(@_)">
                  <c:v>1653449.0610333374</c:v>
                </c:pt>
                <c:pt idx="450" formatCode="_(* #,##0.00_);_(* \(#,##0.00\);_(* &quot;-&quot;??_);_(@_)">
                  <c:v>1659604.0655280387</c:v>
                </c:pt>
                <c:pt idx="451" formatCode="_(* #,##0.00_);_(* \(#,##0.00\);_(* &quot;-&quot;??_);_(@_)">
                  <c:v>1658269.9508820341</c:v>
                </c:pt>
                <c:pt idx="452" formatCode="_(* #,##0.00_);_(* \(#,##0.00\);_(* &quot;-&quot;??_);_(@_)">
                  <c:v>1630445.3801374196</c:v>
                </c:pt>
                <c:pt idx="453" formatCode="_(* #,##0.00_);_(* \(#,##0.00\);_(* &quot;-&quot;??_);_(@_)">
                  <c:v>1644597.8028394689</c:v>
                </c:pt>
                <c:pt idx="454" formatCode="_(* #,##0.00_);_(* \(#,##0.00\);_(* &quot;-&quot;??_);_(@_)">
                  <c:v>1641372.8999615591</c:v>
                </c:pt>
                <c:pt idx="455" formatCode="_(* #,##0.00_);_(* \(#,##0.00\);_(* &quot;-&quot;??_);_(@_)">
                  <c:v>1646713.8117756883</c:v>
                </c:pt>
                <c:pt idx="456" formatCode="_(* #,##0.00_);_(* \(#,##0.00\);_(* &quot;-&quot;??_);_(@_)">
                  <c:v>1646651.197720133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60-4985-9B75-A7F024EFD460}"/>
            </c:ext>
          </c:extLst>
        </c:ser>
        <c:ser>
          <c:idx val="3"/>
          <c:order val="3"/>
          <c:tx>
            <c:strRef>
              <c:f>'LF Forcast'!$E$1</c:f>
              <c:strCache>
                <c:ptCount val="1"/>
                <c:pt idx="0">
                  <c:v>Upper Confidence Bound(Absolute Squared Error)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'LF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'LF Forcast'!$E$2:$E$458</c:f>
              <c:numCache>
                <c:formatCode>General</c:formatCode>
                <c:ptCount val="457"/>
                <c:pt idx="364" formatCode="_(* #,##0.00_);_(* \(#,##0.00\);_(* &quot;-&quot;??_);_(@_)">
                  <c:v>1783775.4080916482</c:v>
                </c:pt>
                <c:pt idx="365" formatCode="_(* #,##0.00_);_(* \(#,##0.00\);_(* &quot;-&quot;??_);_(@_)">
                  <c:v>1830992.1294151398</c:v>
                </c:pt>
                <c:pt idx="366" formatCode="_(* #,##0.00_);_(* \(#,##0.00\);_(* &quot;-&quot;??_);_(@_)">
                  <c:v>1839051.6404381227</c:v>
                </c:pt>
                <c:pt idx="367" formatCode="_(* #,##0.00_);_(* \(#,##0.00\);_(* &quot;-&quot;??_);_(@_)">
                  <c:v>1839595.6831947651</c:v>
                </c:pt>
                <c:pt idx="368" formatCode="_(* #,##0.00_);_(* \(#,##0.00\);_(* &quot;-&quot;??_);_(@_)">
                  <c:v>1813625.217984098</c:v>
                </c:pt>
                <c:pt idx="369" formatCode="_(* #,##0.00_);_(* \(#,##0.00\);_(* &quot;-&quot;??_);_(@_)">
                  <c:v>1829609.7027103365</c:v>
                </c:pt>
                <c:pt idx="370" formatCode="_(* #,##0.00_);_(* \(#,##0.00\);_(* &quot;-&quot;??_);_(@_)">
                  <c:v>1828196.5859254205</c:v>
                </c:pt>
                <c:pt idx="371" formatCode="_(* #,##0.00_);_(* \(#,##0.00\);_(* &quot;-&quot;??_);_(@_)">
                  <c:v>1835330.5730014849</c:v>
                </c:pt>
                <c:pt idx="372" formatCode="_(* #,##0.00_);_(* \(#,##0.00\);_(* &quot;-&quot;??_);_(@_)">
                  <c:v>1841413.0257313226</c:v>
                </c:pt>
                <c:pt idx="373" formatCode="_(* #,##0.00_);_(* \(#,##0.00\);_(* &quot;-&quot;??_);_(@_)">
                  <c:v>1849260.4982524912</c:v>
                </c:pt>
                <c:pt idx="374" formatCode="_(* #,##0.00_);_(* \(#,##0.00\);_(* &quot;-&quot;??_);_(@_)">
                  <c:v>1849607.2725854462</c:v>
                </c:pt>
                <c:pt idx="375" formatCode="_(* #,##0.00_);_(* \(#,##0.00\);_(* &quot;-&quot;??_);_(@_)">
                  <c:v>1823452.7266920044</c:v>
                </c:pt>
                <c:pt idx="376" formatCode="_(* #,##0.00_);_(* \(#,##0.00\);_(* &quot;-&quot;??_);_(@_)">
                  <c:v>1839264.9656016026</c:v>
                </c:pt>
                <c:pt idx="377" formatCode="_(* #,##0.00_);_(* \(#,##0.00\);_(* &quot;-&quot;??_);_(@_)">
                  <c:v>1837690.2729617381</c:v>
                </c:pt>
                <c:pt idx="378" formatCode="_(* #,##0.00_);_(* \(#,##0.00\);_(* &quot;-&quot;??_);_(@_)">
                  <c:v>1844672.34461669</c:v>
                </c:pt>
                <c:pt idx="379" formatCode="_(* #,##0.00_);_(* \(#,##0.00\);_(* &quot;-&quot;??_);_(@_)">
                  <c:v>1850157.5141664564</c:v>
                </c:pt>
                <c:pt idx="380" formatCode="_(* #,##0.00_);_(* \(#,##0.00\);_(* &quot;-&quot;??_);_(@_)">
                  <c:v>1857893.3915555303</c:v>
                </c:pt>
                <c:pt idx="381" formatCode="_(* #,##0.00_);_(* \(#,##0.00\);_(* &quot;-&quot;??_);_(@_)">
                  <c:v>1858134.034192631</c:v>
                </c:pt>
                <c:pt idx="382" formatCode="_(* #,##0.00_);_(* \(#,##0.00\);_(* &quot;-&quot;??_);_(@_)">
                  <c:v>1831878.4193702587</c:v>
                </c:pt>
                <c:pt idx="383" formatCode="_(* #,##0.00_);_(* \(#,##0.00\);_(* &quot;-&quot;??_);_(@_)">
                  <c:v>1847594.2913923506</c:v>
                </c:pt>
                <c:pt idx="384" formatCode="_(* #,##0.00_);_(* \(#,##0.00\);_(* &quot;-&quot;??_);_(@_)">
                  <c:v>1845927.6081262268</c:v>
                </c:pt>
                <c:pt idx="385" formatCode="_(* #,##0.00_);_(* \(#,##0.00\);_(* &quot;-&quot;??_);_(@_)">
                  <c:v>1852821.7703302186</c:v>
                </c:pt>
                <c:pt idx="386" formatCode="_(* #,##0.00_);_(* \(#,##0.00\);_(* &quot;-&quot;??_);_(@_)">
                  <c:v>1857932.6041975217</c:v>
                </c:pt>
                <c:pt idx="387" formatCode="_(* #,##0.00_);_(* \(#,##0.00\);_(* &quot;-&quot;??_);_(@_)">
                  <c:v>1865599.4336722733</c:v>
                </c:pt>
                <c:pt idx="388" formatCode="_(* #,##0.00_);_(* \(#,##0.00\);_(* &quot;-&quot;??_);_(@_)">
                  <c:v>1865773.6907265098</c:v>
                </c:pt>
                <c:pt idx="389" formatCode="_(* #,##0.00_);_(* \(#,##0.00\);_(* &quot;-&quot;??_);_(@_)">
                  <c:v>1839454.2039198868</c:v>
                </c:pt>
                <c:pt idx="390" formatCode="_(* #,##0.00_);_(* \(#,##0.00\);_(* &quot;-&quot;??_);_(@_)">
                  <c:v>1855108.5801336067</c:v>
                </c:pt>
                <c:pt idx="391" formatCode="_(* #,##0.00_);_(* \(#,##0.00\);_(* &quot;-&quot;??_);_(@_)">
                  <c:v>1853382.6500389085</c:v>
                </c:pt>
                <c:pt idx="392" formatCode="_(* #,##0.00_);_(* \(#,##0.00\);_(* &quot;-&quot;??_);_(@_)">
                  <c:v>1860219.6964657591</c:v>
                </c:pt>
                <c:pt idx="393" formatCode="_(* #,##0.00_);_(* \(#,##0.00\);_(* &quot;-&quot;??_);_(@_)">
                  <c:v>1865069.8541104421</c:v>
                </c:pt>
                <c:pt idx="394" formatCode="_(* #,##0.00_);_(* \(#,##0.00\);_(* &quot;-&quot;??_);_(@_)">
                  <c:v>1872690.1400507344</c:v>
                </c:pt>
                <c:pt idx="395" formatCode="_(* #,##0.00_);_(* \(#,##0.00\);_(* &quot;-&quot;??_);_(@_)">
                  <c:v>1872819.3614612741</c:v>
                </c:pt>
                <c:pt idx="396" formatCode="_(* #,##0.00_);_(* \(#,##0.00\);_(* &quot;-&quot;??_);_(@_)">
                  <c:v>1846456.2788839317</c:v>
                </c:pt>
                <c:pt idx="397" formatCode="_(* #,##0.00_);_(* \(#,##0.00\);_(* &quot;-&quot;??_);_(@_)">
                  <c:v>1862068.4353566719</c:v>
                </c:pt>
                <c:pt idx="398" formatCode="_(* #,##0.00_);_(* \(#,##0.00\);_(* &quot;-&quot;??_);_(@_)">
                  <c:v>1860301.6015585563</c:v>
                </c:pt>
                <c:pt idx="399" formatCode="_(* #,##0.00_);_(* \(#,##0.00\);_(* &quot;-&quot;??_);_(@_)">
                  <c:v>1867099.0038850941</c:v>
                </c:pt>
                <c:pt idx="400" formatCode="_(* #,##0.00_);_(* \(#,##0.00\);_(* &quot;-&quot;??_);_(@_)">
                  <c:v>1871755.4876832166</c:v>
                </c:pt>
                <c:pt idx="401" formatCode="_(* #,##0.00_);_(* \(#,##0.00\);_(* &quot;-&quot;??_);_(@_)">
                  <c:v>1879342.7454982779</c:v>
                </c:pt>
                <c:pt idx="402" formatCode="_(* #,##0.00_);_(* \(#,##0.00\);_(* &quot;-&quot;??_);_(@_)">
                  <c:v>1879439.8780376632</c:v>
                </c:pt>
                <c:pt idx="403" formatCode="_(* #,##0.00_);_(* \(#,##0.00\);_(* &quot;-&quot;??_);_(@_)">
                  <c:v>1853045.6103422081</c:v>
                </c:pt>
                <c:pt idx="404" formatCode="_(* #,##0.00_);_(* \(#,##0.00\);_(* &quot;-&quot;??_);_(@_)">
                  <c:v>1868627.4517713711</c:v>
                </c:pt>
                <c:pt idx="405" formatCode="_(* #,##0.00_);_(* \(#,##0.00\);_(* &quot;-&quot;??_);_(@_)">
                  <c:v>1866831.1410299265</c:v>
                </c:pt>
                <c:pt idx="406" formatCode="_(* #,##0.00_);_(* \(#,##0.00\);_(* &quot;-&quot;??_);_(@_)">
                  <c:v>1873599.8741342605</c:v>
                </c:pt>
                <c:pt idx="407" formatCode="_(* #,##0.00_);_(* \(#,##0.00\);_(* &quot;-&quot;??_);_(@_)">
                  <c:v>1878105.9969554993</c:v>
                </c:pt>
                <c:pt idx="408" formatCode="_(* #,##0.00_);_(* \(#,##0.00\);_(* &quot;-&quot;??_);_(@_)">
                  <c:v>1885669.0459486439</c:v>
                </c:pt>
                <c:pt idx="409" formatCode="_(* #,##0.00_);_(* \(#,##0.00\);_(* &quot;-&quot;??_);_(@_)">
                  <c:v>1885742.5943250509</c:v>
                </c:pt>
                <c:pt idx="410" formatCode="_(* #,##0.00_);_(* \(#,##0.00\);_(* &quot;-&quot;??_);_(@_)">
                  <c:v>1859325.3468240814</c:v>
                </c:pt>
                <c:pt idx="411" formatCode="_(* #,##0.00_);_(* \(#,##0.00\);_(* &quot;-&quot;??_);_(@_)">
                  <c:v>1874884.7933972687</c:v>
                </c:pt>
                <c:pt idx="412" formatCode="_(* #,##0.00_);_(* \(#,##0.00\);_(* &quot;-&quot;??_);_(@_)">
                  <c:v>1873066.6541852346</c:v>
                </c:pt>
                <c:pt idx="413" formatCode="_(* #,##0.00_);_(* \(#,##0.00\);_(* &quot;-&quot;??_);_(@_)">
                  <c:v>1879814.1074375515</c:v>
                </c:pt>
                <c:pt idx="414" formatCode="_(* #,##0.00_);_(* \(#,##0.00\);_(* &quot;-&quot;??_);_(@_)">
                  <c:v>1884199.7212626326</c:v>
                </c:pt>
                <c:pt idx="415" formatCode="_(* #,##0.00_);_(* \(#,##0.00\);_(* &quot;-&quot;??_);_(@_)">
                  <c:v>1891744.6639401815</c:v>
                </c:pt>
                <c:pt idx="416" formatCode="_(* #,##0.00_);_(* \(#,##0.00\);_(* &quot;-&quot;??_);_(@_)">
                  <c:v>1891800.5417203608</c:v>
                </c:pt>
                <c:pt idx="417" formatCode="_(* #,##0.00_);_(* \(#,##0.00\);_(* &quot;-&quot;??_);_(@_)">
                  <c:v>1865366.046930999</c:v>
                </c:pt>
                <c:pt idx="418" formatCode="_(* #,##0.00_);_(* \(#,##0.00\);_(* &quot;-&quot;??_);_(@_)">
                  <c:v>1880908.6575889625</c:v>
                </c:pt>
                <c:pt idx="419" formatCode="_(* #,##0.00_);_(* \(#,##0.00\);_(* &quot;-&quot;??_);_(@_)">
                  <c:v>1879074.0823538695</c:v>
                </c:pt>
                <c:pt idx="420" formatCode="_(* #,##0.00_);_(* \(#,##0.00\);_(* &quot;-&quot;??_);_(@_)">
                  <c:v>1885805.4884261172</c:v>
                </c:pt>
                <c:pt idx="421" formatCode="_(* #,##0.00_);_(* \(#,##0.00\);_(* &quot;-&quot;??_);_(@_)">
                  <c:v>1890092.1631036222</c:v>
                </c:pt>
                <c:pt idx="422" formatCode="_(* #,##0.00_);_(* \(#,##0.00\);_(* &quot;-&quot;??_);_(@_)">
                  <c:v>1897623.4105546856</c:v>
                </c:pt>
                <c:pt idx="423" formatCode="_(* #,##0.00_);_(* \(#,##0.00\);_(* &quot;-&quot;??_);_(@_)">
                  <c:v>1897665.9081902797</c:v>
                </c:pt>
                <c:pt idx="424" formatCode="_(* #,##0.00_);_(* \(#,##0.00\);_(* &quot;-&quot;??_);_(@_)">
                  <c:v>1871218.3403546656</c:v>
                </c:pt>
                <c:pt idx="425" formatCode="_(* #,##0.00_);_(* \(#,##0.00\);_(* &quot;-&quot;??_);_(@_)">
                  <c:v>1886748.1773525917</c:v>
                </c:pt>
                <c:pt idx="426" formatCode="_(* #,##0.00_);_(* \(#,##0.00\);_(* &quot;-&quot;??_);_(@_)">
                  <c:v>1884901.1203913174</c:v>
                </c:pt>
                <c:pt idx="427" formatCode="_(* #,##0.00_);_(* \(#,##0.00\);_(* &quot;-&quot;??_);_(@_)">
                  <c:v>1891620.3294675604</c:v>
                </c:pt>
                <c:pt idx="428" formatCode="_(* #,##0.00_);_(* \(#,##0.00\);_(* &quot;-&quot;??_);_(@_)">
                  <c:v>1895824.2270207193</c:v>
                </c:pt>
                <c:pt idx="429" formatCode="_(* #,##0.00_);_(* \(#,##0.00\);_(* &quot;-&quot;??_);_(@_)">
                  <c:v>1903345.0771886646</c:v>
                </c:pt>
                <c:pt idx="430" formatCode="_(* #,##0.00_);_(* \(#,##0.00\);_(* &quot;-&quot;??_);_(@_)">
                  <c:v>1903377.4118532033</c:v>
                </c:pt>
                <c:pt idx="431" formatCode="_(* #,##0.00_);_(* \(#,##0.00\);_(* &quot;-&quot;??_);_(@_)">
                  <c:v>1876919.9100148003</c:v>
                </c:pt>
                <c:pt idx="432" formatCode="_(* #,##0.00_);_(* \(#,##0.00\);_(* &quot;-&quot;??_);_(@_)">
                  <c:v>1892440.0367969233</c:v>
                </c:pt>
                <c:pt idx="433" formatCode="_(* #,##0.00_);_(* \(#,##0.00\);_(* &quot;-&quot;??_);_(@_)">
                  <c:v>1890583.4883818093</c:v>
                </c:pt>
                <c:pt idx="434" formatCode="_(* #,##0.00_);_(* \(#,##0.00\);_(* &quot;-&quot;??_);_(@_)">
                  <c:v>1897293.4198914468</c:v>
                </c:pt>
                <c:pt idx="435" formatCode="_(* #,##0.00_);_(* \(#,##0.00\);_(* &quot;-&quot;??_);_(@_)">
                  <c:v>1901427.0044000924</c:v>
                </c:pt>
                <c:pt idx="436" formatCode="_(* #,##0.00_);_(* \(#,##0.00\);_(* &quot;-&quot;??_);_(@_)">
                  <c:v>1908939.9900634952</c:v>
                </c:pt>
                <c:pt idx="437" formatCode="_(* #,##0.00_);_(* \(#,##0.00\);_(* &quot;-&quot;??_);_(@_)">
                  <c:v>1908964.6383714429</c:v>
                </c:pt>
                <c:pt idx="438" formatCode="_(* #,##0.00_);_(* \(#,##0.00\);_(* &quot;-&quot;??_);_(@_)">
                  <c:v>1882499.6246319383</c:v>
                </c:pt>
                <c:pt idx="439" formatCode="_(* #,##0.00_);_(* \(#,##0.00\);_(* &quot;-&quot;??_);_(@_)">
                  <c:v>1898012.4103772868</c:v>
                </c:pt>
                <c:pt idx="440" formatCode="_(* #,##0.00_);_(* \(#,##0.00\);_(* &quot;-&quot;??_);_(@_)">
                  <c:v>1896148.6882963483</c:v>
                </c:pt>
                <c:pt idx="441" formatCode="_(* #,##0.00_);_(* \(#,##0.00\);_(* &quot;-&quot;??_);_(@_)">
                  <c:v>1902851.6101121486</c:v>
                </c:pt>
                <c:pt idx="442" formatCode="_(* #,##0.00_);_(* \(#,##0.00\);_(* &quot;-&quot;??_);_(@_)">
                  <c:v>1906924.7217344309</c:v>
                </c:pt>
                <c:pt idx="443" formatCode="_(* #,##0.00_);_(* \(#,##0.00\);_(* &quot;-&quot;??_);_(@_)">
                  <c:v>1914431.8309325099</c:v>
                </c:pt>
                <c:pt idx="444" formatCode="_(* #,##0.00_);_(* \(#,##0.00\);_(* &quot;-&quot;??_);_(@_)">
                  <c:v>1914450.7406432307</c:v>
                </c:pt>
                <c:pt idx="445" formatCode="_(* #,##0.00_);_(* \(#,##0.00\);_(* &quot;-&quot;??_);_(@_)">
                  <c:v>1887980.1235564989</c:v>
                </c:pt>
                <c:pt idx="446" formatCode="_(* #,##0.00_);_(* \(#,##0.00\);_(* &quot;-&quot;??_);_(@_)">
                  <c:v>1903487.4386517596</c:v>
                </c:pt>
                <c:pt idx="447" formatCode="_(* #,##0.00_);_(* \(#,##0.00\);_(* &quot;-&quot;??_);_(@_)">
                  <c:v>1901618.3761281963</c:v>
                </c:pt>
                <c:pt idx="448" formatCode="_(* #,##0.00_);_(* \(#,##0.00\);_(* &quot;-&quot;??_);_(@_)">
                  <c:v>1908316.0852803653</c:v>
                </c:pt>
                <c:pt idx="449" formatCode="_(* #,##0.00_);_(* \(#,##0.00\);_(* &quot;-&quot;??_);_(@_)">
                  <c:v>1912336.6451058006</c:v>
                </c:pt>
                <c:pt idx="450" formatCode="_(* #,##0.00_);_(* \(#,##0.00\);_(* &quot;-&quot;??_);_(@_)">
                  <c:v>1919839.4667034729</c:v>
                </c:pt>
                <c:pt idx="451" formatCode="_(* #,##0.00_);_(* \(#,##0.00\);_(* &quot;-&quot;??_);_(@_)">
                  <c:v>1919854.1970425912</c:v>
                </c:pt>
                <c:pt idx="452" formatCode="_(* #,##0.00_);_(* \(#,##0.00\);_(* &quot;-&quot;??_);_(@_)">
                  <c:v>1893379.5069171039</c:v>
                </c:pt>
                <c:pt idx="453" formatCode="_(* #,##0.00_);_(* \(#,##0.00\);_(* &quot;-&quot;??_);_(@_)">
                  <c:v>1908882.8534536476</c:v>
                </c:pt>
                <c:pt idx="454" formatCode="_(* #,##0.00_);_(* \(#,##0.00\);_(* &quot;-&quot;??_);_(@_)">
                  <c:v>1907009.9250405058</c:v>
                </c:pt>
                <c:pt idx="455" formatCode="_(* #,##0.00_);_(* \(#,##0.00\);_(* &quot;-&quot;??_);_(@_)">
                  <c:v>1913703.8692020515</c:v>
                </c:pt>
                <c:pt idx="456" formatCode="_(* #,##0.00_);_(* \(#,##0.00\);_(* &quot;-&quot;??_);_(@_)">
                  <c:v>1917678.3588480989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60-4985-9B75-A7F024EFD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205632"/>
        <c:axId val="806206352"/>
      </c:lineChart>
      <c:catAx>
        <c:axId val="80620563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206352"/>
        <c:crosses val="autoZero"/>
        <c:auto val="1"/>
        <c:lblAlgn val="ctr"/>
        <c:lblOffset val="100"/>
        <c:noMultiLvlLbl val="0"/>
      </c:catAx>
      <c:valAx>
        <c:axId val="8062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2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'SLR Forcast'!$B$1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'SLR Forcast'!$B$2:$B$458</c:f>
              <c:numCache>
                <c:formatCode>General</c:formatCode>
                <c:ptCount val="4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A-4C07-AEB9-009CC1A7A689}"/>
            </c:ext>
          </c:extLst>
        </c:ser>
        <c:ser>
          <c:idx val="1"/>
          <c:order val="1"/>
          <c:tx>
            <c:strRef>
              <c:f>'SLR Forcast'!$C$1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'SLR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'SLR Forcast'!$C$2:$C$458</c:f>
              <c:numCache>
                <c:formatCode>General</c:formatCode>
                <c:ptCount val="457"/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A-4C07-AEB9-009CC1A7A689}"/>
            </c:ext>
          </c:extLst>
        </c:ser>
        <c:ser>
          <c:idx val="2"/>
          <c:order val="2"/>
          <c:tx>
            <c:strRef>
              <c:f>'SLR Forcast'!$D$1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'SLR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'SLR Forcast'!$D$2:$D$458</c:f>
              <c:numCache>
                <c:formatCode>General</c:formatCode>
                <c:ptCount val="457"/>
                <c:pt idx="364" formatCode="0.00">
                  <c:v>365</c:v>
                </c:pt>
                <c:pt idx="365" formatCode="0.00">
                  <c:v>366</c:v>
                </c:pt>
                <c:pt idx="366" formatCode="0.00">
                  <c:v>367</c:v>
                </c:pt>
                <c:pt idx="367" formatCode="0.00">
                  <c:v>368</c:v>
                </c:pt>
                <c:pt idx="368" formatCode="0.00">
                  <c:v>369</c:v>
                </c:pt>
                <c:pt idx="369" formatCode="0.00">
                  <c:v>370</c:v>
                </c:pt>
                <c:pt idx="370" formatCode="0.00">
                  <c:v>371</c:v>
                </c:pt>
                <c:pt idx="371" formatCode="0.00">
                  <c:v>372</c:v>
                </c:pt>
                <c:pt idx="372" formatCode="0.00">
                  <c:v>373</c:v>
                </c:pt>
                <c:pt idx="373" formatCode="0.00">
                  <c:v>374</c:v>
                </c:pt>
                <c:pt idx="374" formatCode="0.00">
                  <c:v>375</c:v>
                </c:pt>
                <c:pt idx="375" formatCode="0.00">
                  <c:v>376</c:v>
                </c:pt>
                <c:pt idx="376" formatCode="0.00">
                  <c:v>377</c:v>
                </c:pt>
                <c:pt idx="377" formatCode="0.00">
                  <c:v>378</c:v>
                </c:pt>
                <c:pt idx="378" formatCode="0.00">
                  <c:v>379</c:v>
                </c:pt>
                <c:pt idx="379" formatCode="0.00">
                  <c:v>380</c:v>
                </c:pt>
                <c:pt idx="380" formatCode="0.00">
                  <c:v>381</c:v>
                </c:pt>
                <c:pt idx="381" formatCode="0.00">
                  <c:v>382</c:v>
                </c:pt>
                <c:pt idx="382" formatCode="0.00">
                  <c:v>383</c:v>
                </c:pt>
                <c:pt idx="383" formatCode="0.00">
                  <c:v>384</c:v>
                </c:pt>
                <c:pt idx="384" formatCode="0.00">
                  <c:v>385</c:v>
                </c:pt>
                <c:pt idx="385" formatCode="0.00">
                  <c:v>386</c:v>
                </c:pt>
                <c:pt idx="386" formatCode="0.00">
                  <c:v>387</c:v>
                </c:pt>
                <c:pt idx="387" formatCode="0.00">
                  <c:v>388</c:v>
                </c:pt>
                <c:pt idx="388" formatCode="0.00">
                  <c:v>389</c:v>
                </c:pt>
                <c:pt idx="389" formatCode="0.00">
                  <c:v>390</c:v>
                </c:pt>
                <c:pt idx="390" formatCode="0.00">
                  <c:v>391</c:v>
                </c:pt>
                <c:pt idx="391" formatCode="0.00">
                  <c:v>392</c:v>
                </c:pt>
                <c:pt idx="392" formatCode="0.00">
                  <c:v>393</c:v>
                </c:pt>
                <c:pt idx="393" formatCode="0.00">
                  <c:v>394</c:v>
                </c:pt>
                <c:pt idx="394" formatCode="0.00">
                  <c:v>395</c:v>
                </c:pt>
                <c:pt idx="395" formatCode="0.00">
                  <c:v>396</c:v>
                </c:pt>
                <c:pt idx="396" formatCode="0.00">
                  <c:v>397</c:v>
                </c:pt>
                <c:pt idx="397" formatCode="0.00">
                  <c:v>398</c:v>
                </c:pt>
                <c:pt idx="398" formatCode="0.00">
                  <c:v>399</c:v>
                </c:pt>
                <c:pt idx="399" formatCode="0.00">
                  <c:v>400</c:v>
                </c:pt>
                <c:pt idx="400" formatCode="0.00">
                  <c:v>401</c:v>
                </c:pt>
                <c:pt idx="401" formatCode="0.00">
                  <c:v>402</c:v>
                </c:pt>
                <c:pt idx="402" formatCode="0.00">
                  <c:v>403</c:v>
                </c:pt>
                <c:pt idx="403" formatCode="0.00">
                  <c:v>404</c:v>
                </c:pt>
                <c:pt idx="404" formatCode="0.00">
                  <c:v>405</c:v>
                </c:pt>
                <c:pt idx="405" formatCode="0.00">
                  <c:v>406</c:v>
                </c:pt>
                <c:pt idx="406" formatCode="0.00">
                  <c:v>407</c:v>
                </c:pt>
                <c:pt idx="407" formatCode="0.00">
                  <c:v>408</c:v>
                </c:pt>
                <c:pt idx="408" formatCode="0.00">
                  <c:v>409</c:v>
                </c:pt>
                <c:pt idx="409" formatCode="0.00">
                  <c:v>410</c:v>
                </c:pt>
                <c:pt idx="410" formatCode="0.00">
                  <c:v>411</c:v>
                </c:pt>
                <c:pt idx="411" formatCode="0.00">
                  <c:v>412</c:v>
                </c:pt>
                <c:pt idx="412" formatCode="0.00">
                  <c:v>413</c:v>
                </c:pt>
                <c:pt idx="413" formatCode="0.00">
                  <c:v>414</c:v>
                </c:pt>
                <c:pt idx="414" formatCode="0.00">
                  <c:v>415</c:v>
                </c:pt>
                <c:pt idx="415" formatCode="0.00">
                  <c:v>416</c:v>
                </c:pt>
                <c:pt idx="416" formatCode="0.00">
                  <c:v>417</c:v>
                </c:pt>
                <c:pt idx="417" formatCode="0.00">
                  <c:v>418</c:v>
                </c:pt>
                <c:pt idx="418" formatCode="0.00">
                  <c:v>419</c:v>
                </c:pt>
                <c:pt idx="419" formatCode="0.00">
                  <c:v>420</c:v>
                </c:pt>
                <c:pt idx="420" formatCode="0.00">
                  <c:v>421</c:v>
                </c:pt>
                <c:pt idx="421" formatCode="0.00">
                  <c:v>422</c:v>
                </c:pt>
                <c:pt idx="422" formatCode="0.00">
                  <c:v>423</c:v>
                </c:pt>
                <c:pt idx="423" formatCode="0.00">
                  <c:v>424</c:v>
                </c:pt>
                <c:pt idx="424" formatCode="0.00">
                  <c:v>425</c:v>
                </c:pt>
                <c:pt idx="425" formatCode="0.00">
                  <c:v>426</c:v>
                </c:pt>
                <c:pt idx="426" formatCode="0.00">
                  <c:v>427</c:v>
                </c:pt>
                <c:pt idx="427" formatCode="0.00">
                  <c:v>428</c:v>
                </c:pt>
                <c:pt idx="428" formatCode="0.00">
                  <c:v>429</c:v>
                </c:pt>
                <c:pt idx="429" formatCode="0.00">
                  <c:v>430</c:v>
                </c:pt>
                <c:pt idx="430" formatCode="0.00">
                  <c:v>431</c:v>
                </c:pt>
                <c:pt idx="431" formatCode="0.00">
                  <c:v>432</c:v>
                </c:pt>
                <c:pt idx="432" formatCode="0.00">
                  <c:v>433</c:v>
                </c:pt>
                <c:pt idx="433" formatCode="0.00">
                  <c:v>434</c:v>
                </c:pt>
                <c:pt idx="434" formatCode="0.00">
                  <c:v>435</c:v>
                </c:pt>
                <c:pt idx="435" formatCode="0.00">
                  <c:v>436</c:v>
                </c:pt>
                <c:pt idx="436" formatCode="0.00">
                  <c:v>437</c:v>
                </c:pt>
                <c:pt idx="437" formatCode="0.00">
                  <c:v>438</c:v>
                </c:pt>
                <c:pt idx="438" formatCode="0.00">
                  <c:v>439</c:v>
                </c:pt>
                <c:pt idx="439" formatCode="0.00">
                  <c:v>440</c:v>
                </c:pt>
                <c:pt idx="440" formatCode="0.00">
                  <c:v>441</c:v>
                </c:pt>
                <c:pt idx="441" formatCode="0.00">
                  <c:v>442</c:v>
                </c:pt>
                <c:pt idx="442" formatCode="0.00">
                  <c:v>443</c:v>
                </c:pt>
                <c:pt idx="443" formatCode="0.00">
                  <c:v>444</c:v>
                </c:pt>
                <c:pt idx="444" formatCode="0.00">
                  <c:v>445</c:v>
                </c:pt>
                <c:pt idx="445" formatCode="0.00">
                  <c:v>446</c:v>
                </c:pt>
                <c:pt idx="446" formatCode="0.00">
                  <c:v>447</c:v>
                </c:pt>
                <c:pt idx="447" formatCode="0.00">
                  <c:v>448</c:v>
                </c:pt>
                <c:pt idx="448" formatCode="0.00">
                  <c:v>449</c:v>
                </c:pt>
                <c:pt idx="449" formatCode="0.00">
                  <c:v>450</c:v>
                </c:pt>
                <c:pt idx="450" formatCode="0.00">
                  <c:v>451</c:v>
                </c:pt>
                <c:pt idx="451" formatCode="0.00">
                  <c:v>452</c:v>
                </c:pt>
                <c:pt idx="452" formatCode="0.00">
                  <c:v>453</c:v>
                </c:pt>
                <c:pt idx="453" formatCode="0.00">
                  <c:v>454</c:v>
                </c:pt>
                <c:pt idx="454" formatCode="0.00">
                  <c:v>455</c:v>
                </c:pt>
                <c:pt idx="455" formatCode="0.00">
                  <c:v>456</c:v>
                </c:pt>
                <c:pt idx="456" formatCode="0.00">
                  <c:v>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BA-4C07-AEB9-009CC1A7A689}"/>
            </c:ext>
          </c:extLst>
        </c:ser>
        <c:ser>
          <c:idx val="3"/>
          <c:order val="3"/>
          <c:tx>
            <c:strRef>
              <c:f>'SLR Forcast'!$E$1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'SLR Forcast'!$A$2:$A$458</c:f>
              <c:numCache>
                <c:formatCode>d/m/yyyy</c:formatCode>
                <c:ptCount val="457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  <c:pt idx="365">
                  <c:v>21916</c:v>
                </c:pt>
                <c:pt idx="366">
                  <c:v>21917</c:v>
                </c:pt>
                <c:pt idx="367">
                  <c:v>21918</c:v>
                </c:pt>
                <c:pt idx="368">
                  <c:v>21919</c:v>
                </c:pt>
                <c:pt idx="369">
                  <c:v>21920</c:v>
                </c:pt>
                <c:pt idx="370">
                  <c:v>21921</c:v>
                </c:pt>
                <c:pt idx="371">
                  <c:v>21922</c:v>
                </c:pt>
                <c:pt idx="372">
                  <c:v>21923</c:v>
                </c:pt>
                <c:pt idx="373">
                  <c:v>21924</c:v>
                </c:pt>
                <c:pt idx="374">
                  <c:v>21925</c:v>
                </c:pt>
                <c:pt idx="375">
                  <c:v>21926</c:v>
                </c:pt>
                <c:pt idx="376">
                  <c:v>21927</c:v>
                </c:pt>
                <c:pt idx="377">
                  <c:v>21928</c:v>
                </c:pt>
                <c:pt idx="378">
                  <c:v>21929</c:v>
                </c:pt>
                <c:pt idx="379">
                  <c:v>21930</c:v>
                </c:pt>
                <c:pt idx="380">
                  <c:v>21931</c:v>
                </c:pt>
                <c:pt idx="381">
                  <c:v>21932</c:v>
                </c:pt>
                <c:pt idx="382">
                  <c:v>21933</c:v>
                </c:pt>
                <c:pt idx="383">
                  <c:v>21934</c:v>
                </c:pt>
                <c:pt idx="384">
                  <c:v>21935</c:v>
                </c:pt>
                <c:pt idx="385">
                  <c:v>21936</c:v>
                </c:pt>
                <c:pt idx="386">
                  <c:v>21937</c:v>
                </c:pt>
                <c:pt idx="387">
                  <c:v>21938</c:v>
                </c:pt>
                <c:pt idx="388">
                  <c:v>21939</c:v>
                </c:pt>
                <c:pt idx="389">
                  <c:v>21940</c:v>
                </c:pt>
                <c:pt idx="390">
                  <c:v>21941</c:v>
                </c:pt>
                <c:pt idx="391">
                  <c:v>21942</c:v>
                </c:pt>
                <c:pt idx="392">
                  <c:v>21943</c:v>
                </c:pt>
                <c:pt idx="393">
                  <c:v>21944</c:v>
                </c:pt>
                <c:pt idx="394">
                  <c:v>21945</c:v>
                </c:pt>
                <c:pt idx="395">
                  <c:v>21946</c:v>
                </c:pt>
                <c:pt idx="396">
                  <c:v>21947</c:v>
                </c:pt>
                <c:pt idx="397">
                  <c:v>21948</c:v>
                </c:pt>
                <c:pt idx="398">
                  <c:v>21949</c:v>
                </c:pt>
                <c:pt idx="399">
                  <c:v>21950</c:v>
                </c:pt>
                <c:pt idx="400">
                  <c:v>21951</c:v>
                </c:pt>
                <c:pt idx="401">
                  <c:v>21952</c:v>
                </c:pt>
                <c:pt idx="402">
                  <c:v>21953</c:v>
                </c:pt>
                <c:pt idx="403">
                  <c:v>21954</c:v>
                </c:pt>
                <c:pt idx="404">
                  <c:v>21955</c:v>
                </c:pt>
                <c:pt idx="405">
                  <c:v>21956</c:v>
                </c:pt>
                <c:pt idx="406">
                  <c:v>21957</c:v>
                </c:pt>
                <c:pt idx="407">
                  <c:v>21958</c:v>
                </c:pt>
                <c:pt idx="408">
                  <c:v>21959</c:v>
                </c:pt>
                <c:pt idx="409">
                  <c:v>21960</c:v>
                </c:pt>
                <c:pt idx="410">
                  <c:v>21961</c:v>
                </c:pt>
                <c:pt idx="411">
                  <c:v>21962</c:v>
                </c:pt>
                <c:pt idx="412">
                  <c:v>21963</c:v>
                </c:pt>
                <c:pt idx="413">
                  <c:v>21964</c:v>
                </c:pt>
                <c:pt idx="414">
                  <c:v>21965</c:v>
                </c:pt>
                <c:pt idx="415">
                  <c:v>21966</c:v>
                </c:pt>
                <c:pt idx="416">
                  <c:v>21967</c:v>
                </c:pt>
                <c:pt idx="417">
                  <c:v>21968</c:v>
                </c:pt>
                <c:pt idx="418">
                  <c:v>21969</c:v>
                </c:pt>
                <c:pt idx="419">
                  <c:v>21970</c:v>
                </c:pt>
                <c:pt idx="420">
                  <c:v>21971</c:v>
                </c:pt>
                <c:pt idx="421">
                  <c:v>21972</c:v>
                </c:pt>
                <c:pt idx="422">
                  <c:v>21973</c:v>
                </c:pt>
                <c:pt idx="423">
                  <c:v>21974</c:v>
                </c:pt>
                <c:pt idx="424">
                  <c:v>21975</c:v>
                </c:pt>
                <c:pt idx="425">
                  <c:v>21976</c:v>
                </c:pt>
                <c:pt idx="426">
                  <c:v>21977</c:v>
                </c:pt>
                <c:pt idx="427">
                  <c:v>21978</c:v>
                </c:pt>
                <c:pt idx="428">
                  <c:v>21979</c:v>
                </c:pt>
                <c:pt idx="429">
                  <c:v>21980</c:v>
                </c:pt>
                <c:pt idx="430">
                  <c:v>21981</c:v>
                </c:pt>
                <c:pt idx="431">
                  <c:v>21982</c:v>
                </c:pt>
                <c:pt idx="432">
                  <c:v>21983</c:v>
                </c:pt>
                <c:pt idx="433">
                  <c:v>21984</c:v>
                </c:pt>
                <c:pt idx="434">
                  <c:v>21985</c:v>
                </c:pt>
                <c:pt idx="435">
                  <c:v>21986</c:v>
                </c:pt>
                <c:pt idx="436">
                  <c:v>21987</c:v>
                </c:pt>
                <c:pt idx="437">
                  <c:v>21988</c:v>
                </c:pt>
                <c:pt idx="438">
                  <c:v>21989</c:v>
                </c:pt>
                <c:pt idx="439">
                  <c:v>21990</c:v>
                </c:pt>
                <c:pt idx="440">
                  <c:v>21991</c:v>
                </c:pt>
                <c:pt idx="441">
                  <c:v>21992</c:v>
                </c:pt>
                <c:pt idx="442">
                  <c:v>21993</c:v>
                </c:pt>
                <c:pt idx="443">
                  <c:v>21994</c:v>
                </c:pt>
                <c:pt idx="444">
                  <c:v>21995</c:v>
                </c:pt>
                <c:pt idx="445">
                  <c:v>21996</c:v>
                </c:pt>
                <c:pt idx="446">
                  <c:v>21997</c:v>
                </c:pt>
                <c:pt idx="447">
                  <c:v>21998</c:v>
                </c:pt>
                <c:pt idx="448">
                  <c:v>21999</c:v>
                </c:pt>
                <c:pt idx="449">
                  <c:v>22000</c:v>
                </c:pt>
                <c:pt idx="450">
                  <c:v>22001</c:v>
                </c:pt>
                <c:pt idx="451">
                  <c:v>22002</c:v>
                </c:pt>
                <c:pt idx="452">
                  <c:v>22003</c:v>
                </c:pt>
                <c:pt idx="453">
                  <c:v>22004</c:v>
                </c:pt>
                <c:pt idx="454">
                  <c:v>22005</c:v>
                </c:pt>
                <c:pt idx="455">
                  <c:v>22006</c:v>
                </c:pt>
                <c:pt idx="456">
                  <c:v>22007</c:v>
                </c:pt>
              </c:numCache>
            </c:numRef>
          </c:cat>
          <c:val>
            <c:numRef>
              <c:f>'SLR Forcast'!$E$2:$E$458</c:f>
              <c:numCache>
                <c:formatCode>General</c:formatCode>
                <c:ptCount val="457"/>
                <c:pt idx="364" formatCode="0.00">
                  <c:v>365</c:v>
                </c:pt>
                <c:pt idx="365" formatCode="0.00">
                  <c:v>366</c:v>
                </c:pt>
                <c:pt idx="366" formatCode="0.00">
                  <c:v>367</c:v>
                </c:pt>
                <c:pt idx="367" formatCode="0.00">
                  <c:v>368</c:v>
                </c:pt>
                <c:pt idx="368" formatCode="0.00">
                  <c:v>369</c:v>
                </c:pt>
                <c:pt idx="369" formatCode="0.00">
                  <c:v>370</c:v>
                </c:pt>
                <c:pt idx="370" formatCode="0.00">
                  <c:v>371</c:v>
                </c:pt>
                <c:pt idx="371" formatCode="0.00">
                  <c:v>372</c:v>
                </c:pt>
                <c:pt idx="372" formatCode="0.00">
                  <c:v>373</c:v>
                </c:pt>
                <c:pt idx="373" formatCode="0.00">
                  <c:v>374</c:v>
                </c:pt>
                <c:pt idx="374" formatCode="0.00">
                  <c:v>375</c:v>
                </c:pt>
                <c:pt idx="375" formatCode="0.00">
                  <c:v>376</c:v>
                </c:pt>
                <c:pt idx="376" formatCode="0.00">
                  <c:v>377</c:v>
                </c:pt>
                <c:pt idx="377" formatCode="0.00">
                  <c:v>378</c:v>
                </c:pt>
                <c:pt idx="378" formatCode="0.00">
                  <c:v>379</c:v>
                </c:pt>
                <c:pt idx="379" formatCode="0.00">
                  <c:v>380</c:v>
                </c:pt>
                <c:pt idx="380" formatCode="0.00">
                  <c:v>381</c:v>
                </c:pt>
                <c:pt idx="381" formatCode="0.00">
                  <c:v>382</c:v>
                </c:pt>
                <c:pt idx="382" formatCode="0.00">
                  <c:v>383</c:v>
                </c:pt>
                <c:pt idx="383" formatCode="0.00">
                  <c:v>384</c:v>
                </c:pt>
                <c:pt idx="384" formatCode="0.00">
                  <c:v>385</c:v>
                </c:pt>
                <c:pt idx="385" formatCode="0.00">
                  <c:v>386</c:v>
                </c:pt>
                <c:pt idx="386" formatCode="0.00">
                  <c:v>387</c:v>
                </c:pt>
                <c:pt idx="387" formatCode="0.00">
                  <c:v>388</c:v>
                </c:pt>
                <c:pt idx="388" formatCode="0.00">
                  <c:v>389</c:v>
                </c:pt>
                <c:pt idx="389" formatCode="0.00">
                  <c:v>390</c:v>
                </c:pt>
                <c:pt idx="390" formatCode="0.00">
                  <c:v>391</c:v>
                </c:pt>
                <c:pt idx="391" formatCode="0.00">
                  <c:v>392</c:v>
                </c:pt>
                <c:pt idx="392" formatCode="0.00">
                  <c:v>393</c:v>
                </c:pt>
                <c:pt idx="393" formatCode="0.00">
                  <c:v>394</c:v>
                </c:pt>
                <c:pt idx="394" formatCode="0.00">
                  <c:v>395</c:v>
                </c:pt>
                <c:pt idx="395" formatCode="0.00">
                  <c:v>396</c:v>
                </c:pt>
                <c:pt idx="396" formatCode="0.00">
                  <c:v>397</c:v>
                </c:pt>
                <c:pt idx="397" formatCode="0.00">
                  <c:v>398</c:v>
                </c:pt>
                <c:pt idx="398" formatCode="0.00">
                  <c:v>399</c:v>
                </c:pt>
                <c:pt idx="399" formatCode="0.00">
                  <c:v>400</c:v>
                </c:pt>
                <c:pt idx="400" formatCode="0.00">
                  <c:v>401</c:v>
                </c:pt>
                <c:pt idx="401" formatCode="0.00">
                  <c:v>402</c:v>
                </c:pt>
                <c:pt idx="402" formatCode="0.00">
                  <c:v>403</c:v>
                </c:pt>
                <c:pt idx="403" formatCode="0.00">
                  <c:v>404</c:v>
                </c:pt>
                <c:pt idx="404" formatCode="0.00">
                  <c:v>405</c:v>
                </c:pt>
                <c:pt idx="405" formatCode="0.00">
                  <c:v>406</c:v>
                </c:pt>
                <c:pt idx="406" formatCode="0.00">
                  <c:v>407</c:v>
                </c:pt>
                <c:pt idx="407" formatCode="0.00">
                  <c:v>408</c:v>
                </c:pt>
                <c:pt idx="408" formatCode="0.00">
                  <c:v>409</c:v>
                </c:pt>
                <c:pt idx="409" formatCode="0.00">
                  <c:v>410</c:v>
                </c:pt>
                <c:pt idx="410" formatCode="0.00">
                  <c:v>411</c:v>
                </c:pt>
                <c:pt idx="411" formatCode="0.00">
                  <c:v>412</c:v>
                </c:pt>
                <c:pt idx="412" formatCode="0.00">
                  <c:v>413</c:v>
                </c:pt>
                <c:pt idx="413" formatCode="0.00">
                  <c:v>414</c:v>
                </c:pt>
                <c:pt idx="414" formatCode="0.00">
                  <c:v>415</c:v>
                </c:pt>
                <c:pt idx="415" formatCode="0.00">
                  <c:v>416</c:v>
                </c:pt>
                <c:pt idx="416" formatCode="0.00">
                  <c:v>417</c:v>
                </c:pt>
                <c:pt idx="417" formatCode="0.00">
                  <c:v>418</c:v>
                </c:pt>
                <c:pt idx="418" formatCode="0.00">
                  <c:v>419</c:v>
                </c:pt>
                <c:pt idx="419" formatCode="0.00">
                  <c:v>420</c:v>
                </c:pt>
                <c:pt idx="420" formatCode="0.00">
                  <c:v>421</c:v>
                </c:pt>
                <c:pt idx="421" formatCode="0.00">
                  <c:v>422</c:v>
                </c:pt>
                <c:pt idx="422" formatCode="0.00">
                  <c:v>423</c:v>
                </c:pt>
                <c:pt idx="423" formatCode="0.00">
                  <c:v>424</c:v>
                </c:pt>
                <c:pt idx="424" formatCode="0.00">
                  <c:v>425</c:v>
                </c:pt>
                <c:pt idx="425" formatCode="0.00">
                  <c:v>426</c:v>
                </c:pt>
                <c:pt idx="426" formatCode="0.00">
                  <c:v>427</c:v>
                </c:pt>
                <c:pt idx="427" formatCode="0.00">
                  <c:v>428</c:v>
                </c:pt>
                <c:pt idx="428" formatCode="0.00">
                  <c:v>429</c:v>
                </c:pt>
                <c:pt idx="429" formatCode="0.00">
                  <c:v>430</c:v>
                </c:pt>
                <c:pt idx="430" formatCode="0.00">
                  <c:v>431</c:v>
                </c:pt>
                <c:pt idx="431" formatCode="0.00">
                  <c:v>432</c:v>
                </c:pt>
                <c:pt idx="432" formatCode="0.00">
                  <c:v>433</c:v>
                </c:pt>
                <c:pt idx="433" formatCode="0.00">
                  <c:v>434</c:v>
                </c:pt>
                <c:pt idx="434" formatCode="0.00">
                  <c:v>435</c:v>
                </c:pt>
                <c:pt idx="435" formatCode="0.00">
                  <c:v>436</c:v>
                </c:pt>
                <c:pt idx="436" formatCode="0.00">
                  <c:v>437</c:v>
                </c:pt>
                <c:pt idx="437" formatCode="0.00">
                  <c:v>438</c:v>
                </c:pt>
                <c:pt idx="438" formatCode="0.00">
                  <c:v>439</c:v>
                </c:pt>
                <c:pt idx="439" formatCode="0.00">
                  <c:v>440</c:v>
                </c:pt>
                <c:pt idx="440" formatCode="0.00">
                  <c:v>441</c:v>
                </c:pt>
                <c:pt idx="441" formatCode="0.00">
                  <c:v>442</c:v>
                </c:pt>
                <c:pt idx="442" formatCode="0.00">
                  <c:v>443</c:v>
                </c:pt>
                <c:pt idx="443" formatCode="0.00">
                  <c:v>444</c:v>
                </c:pt>
                <c:pt idx="444" formatCode="0.00">
                  <c:v>445</c:v>
                </c:pt>
                <c:pt idx="445" formatCode="0.00">
                  <c:v>446</c:v>
                </c:pt>
                <c:pt idx="446" formatCode="0.00">
                  <c:v>447</c:v>
                </c:pt>
                <c:pt idx="447" formatCode="0.00">
                  <c:v>448</c:v>
                </c:pt>
                <c:pt idx="448" formatCode="0.00">
                  <c:v>449</c:v>
                </c:pt>
                <c:pt idx="449" formatCode="0.00">
                  <c:v>450</c:v>
                </c:pt>
                <c:pt idx="450" formatCode="0.00">
                  <c:v>451</c:v>
                </c:pt>
                <c:pt idx="451" formatCode="0.00">
                  <c:v>452</c:v>
                </c:pt>
                <c:pt idx="452" formatCode="0.00">
                  <c:v>453</c:v>
                </c:pt>
                <c:pt idx="453" formatCode="0.00">
                  <c:v>454</c:v>
                </c:pt>
                <c:pt idx="454" formatCode="0.00">
                  <c:v>455</c:v>
                </c:pt>
                <c:pt idx="455" formatCode="0.00">
                  <c:v>456</c:v>
                </c:pt>
                <c:pt idx="456" formatCode="0.00">
                  <c:v>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BA-4C07-AEB9-009CC1A7A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108448"/>
        <c:axId val="774111328"/>
      </c:lineChart>
      <c:catAx>
        <c:axId val="7741084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11328"/>
        <c:crosses val="autoZero"/>
        <c:auto val="1"/>
        <c:lblAlgn val="ctr"/>
        <c:lblOffset val="100"/>
        <c:noMultiLvlLbl val="0"/>
      </c:catAx>
      <c:valAx>
        <c:axId val="7741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10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12</xdr:row>
      <xdr:rowOff>19050</xdr:rowOff>
    </xdr:from>
    <xdr:to>
      <xdr:col>11</xdr:col>
      <xdr:colOff>609600</xdr:colOff>
      <xdr:row>25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967131-DBEC-440F-BC14-00EB80F59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2597678</xdr:colOff>
      <xdr:row>0</xdr:row>
      <xdr:rowOff>13759</xdr:rowOff>
    </xdr:from>
    <xdr:to>
      <xdr:col>13</xdr:col>
      <xdr:colOff>645053</xdr:colOff>
      <xdr:row>14</xdr:row>
      <xdr:rowOff>148167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39691-2CEA-3261-42F5-97824029B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42333</xdr:colOff>
      <xdr:row>11</xdr:row>
      <xdr:rowOff>21167</xdr:rowOff>
    </xdr:from>
    <xdr:to>
      <xdr:col>11</xdr:col>
      <xdr:colOff>550333</xdr:colOff>
      <xdr:row>24</xdr:row>
      <xdr:rowOff>150284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099E77-66D9-4EEC-A03F-5B8E98295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</xdr:colOff>
      <xdr:row>0</xdr:row>
      <xdr:rowOff>9525</xdr:rowOff>
    </xdr:from>
    <xdr:to>
      <xdr:col>14</xdr:col>
      <xdr:colOff>42862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6FFA7-2EE4-DAD1-E8FE-BC2EA8095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800100</xdr:colOff>
      <xdr:row>11</xdr:row>
      <xdr:rowOff>161925</xdr:rowOff>
    </xdr:from>
    <xdr:ext cx="7915275" cy="3848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659475" y="2362200"/>
          <a:ext cx="7915275" cy="3848100"/>
        </a:xfrm>
        <a:prstGeom prst="rect">
          <a:avLst/>
        </a:prstGeom>
        <a:noFill/>
      </xdr:spPr>
    </xdr:pic>
    <xdr:clientData fLocksWithSheet="0"/>
  </xdr:oneCellAnchor>
  <xdr:twoCellAnchor>
    <xdr:from>
      <xdr:col>15</xdr:col>
      <xdr:colOff>152400</xdr:colOff>
      <xdr:row>27</xdr:row>
      <xdr:rowOff>133350</xdr:rowOff>
    </xdr:from>
    <xdr:to>
      <xdr:col>23</xdr:col>
      <xdr:colOff>219075</xdr:colOff>
      <xdr:row>39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564157-53C0-E3DE-14B6-22F672C63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0</xdr:row>
      <xdr:rowOff>0</xdr:rowOff>
    </xdr:from>
    <xdr:to>
      <xdr:col>14</xdr:col>
      <xdr:colOff>14287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7B83C-63EE-8684-238F-DE9147CFF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</xdr:colOff>
      <xdr:row>2</xdr:row>
      <xdr:rowOff>9525</xdr:rowOff>
    </xdr:from>
    <xdr:to>
      <xdr:col>4</xdr:col>
      <xdr:colOff>2719387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0F42D-752D-EE88-BA48-F23C8488B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8</xdr:row>
      <xdr:rowOff>19050</xdr:rowOff>
    </xdr:from>
    <xdr:to>
      <xdr:col>14</xdr:col>
      <xdr:colOff>42862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B5BBFD-02A7-E6DF-6856-8399D8FE1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31DCC1-97A6-44A4-BBF8-4578CCD2BB0F}" name="Table3" displayName="Table3" ref="A1:E458" totalsRowShown="0">
  <autoFilter ref="A1:E458" xr:uid="{1B31DCC1-97A6-44A4-BBF8-4578CCD2BB0F}"/>
  <tableColumns count="5">
    <tableColumn id="1" xr3:uid="{70F0234B-215C-4440-8546-6B215EB189D7}" name="Date" dataDxfId="13"/>
    <tableColumn id="2" xr3:uid="{44C6410E-7890-4007-8AB9-798491B640B9}" name="Daily sales"/>
    <tableColumn id="3" xr3:uid="{1652C36D-C1C3-4D84-9D29-F0F71281A6D8}" name="Forecast(Daily sales)">
      <calculatedColumnFormula>_xlfn.FORECAST.ETS(A2,$B$2:$B$366,$A$2:$A$366,1,1)</calculatedColumnFormula>
    </tableColumn>
    <tableColumn id="4" xr3:uid="{FA980749-7678-4429-8844-F7DF1C8F0C6E}" name="Lower Confidence Bound(Daily sales)" dataDxfId="12">
      <calculatedColumnFormula>C2-_xlfn.FORECAST.ETS.CONFINT(A2,$B$2:$B$366,$A$2:$A$366,0.95,1,1)</calculatedColumnFormula>
    </tableColumn>
    <tableColumn id="5" xr3:uid="{DE2D7677-8603-4278-9468-8BF607F61E3C}" name="Upper Confidence Bound(Daily sales)" dataDxfId="11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2BFC3E-E113-44C5-8C5C-52B2FE6B7BBB}" name="Table4" displayName="Table4" ref="A1:E454" totalsRowShown="0">
  <autoFilter ref="A1:E454" xr:uid="{7D2BFC3E-E113-44C5-8C5C-52B2FE6B7BBB}"/>
  <tableColumns count="5">
    <tableColumn id="1" xr3:uid="{69D6202D-51FB-43B4-B675-F9EDB64A07BD}" name="Timeline" dataDxfId="10"/>
    <tableColumn id="2" xr3:uid="{1FB433D6-49BE-4524-899E-82F221566DBD}" name="Values"/>
    <tableColumn id="3" xr3:uid="{B15473ED-5004-4A77-878B-6F5563E924CE}" name="Forecast" dataDxfId="9">
      <calculatedColumnFormula>_xlfn.FORECAST.ETS(A2,$B$2:$B$363,$A$2:$A$363,1,1)</calculatedColumnFormula>
    </tableColumn>
    <tableColumn id="4" xr3:uid="{8B91B1AB-61C9-45EC-9972-9BFE0E17726F}" name="Lower Confidence Bound" dataDxfId="8">
      <calculatedColumnFormula>C2-_xlfn.FORECAST.ETS.CONFINT(A2,$B$2:$B$363,$A$2:$A$363,0.95,1,1)</calculatedColumnFormula>
    </tableColumn>
    <tableColumn id="5" xr3:uid="{4B072F15-FA16-4964-8B4E-634F3B5CE082}" name="Upper Confidence Bound" dataDxfId="7">
      <calculatedColumnFormula>C2+_xlfn.FORECAST.ETS.CONFINT(A2,$B$2:$B$363,$A$2:$A$363,0.95,1,1)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13A6ED-68DB-4B5A-BFD9-169F05862AA8}" name="Table5" displayName="Table5" ref="A1:E458" totalsRowShown="0">
  <autoFilter ref="A1:E458" xr:uid="{2313A6ED-68DB-4B5A-BFD9-169F05862AA8}"/>
  <tableColumns count="5">
    <tableColumn id="1" xr3:uid="{8A7DEBA9-DFAE-49AB-B02D-56A961660B51}" name="Date" dataDxfId="6"/>
    <tableColumn id="2" xr3:uid="{1FDA7FA3-9415-4679-BB01-26B97C7463EA}" name="Daily sales"/>
    <tableColumn id="3" xr3:uid="{F52C86D3-9560-45AF-8E54-91AAA1C2C6EA}" name="Forecast(Daily sales)">
      <calculatedColumnFormula>_xlfn.FORECAST.ETS(A2,$B$2:$B$366,$A$2:$A$366,1,1)</calculatedColumnFormula>
    </tableColumn>
    <tableColumn id="4" xr3:uid="{811C4897-F2F1-4A62-9B37-D1A8842D59E4}" name="Lower Confidence Bound(Daily sales)" dataDxfId="5">
      <calculatedColumnFormula>C2-_xlfn.FORECAST.ETS.CONFINT(A2,$B$2:$B$366,$A$2:$A$366,0.95,1,1)</calculatedColumnFormula>
    </tableColumn>
    <tableColumn id="5" xr3:uid="{597330B5-FB40-4F79-86EF-9B287D9CBBFB}" name="Upper Confidence Bound(Daily sales)" dataDxfId="4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A10286-862D-411F-A01E-02E9502404D9}" name="Table6" displayName="Table6" ref="A1:E458" totalsRowShown="0">
  <autoFilter ref="A1:E458" xr:uid="{73A10286-862D-411F-A01E-02E9502404D9}"/>
  <tableColumns count="5">
    <tableColumn id="1" xr3:uid="{09ACDECC-F65A-47BE-BC9C-8E2CDF6DFBAF}" name="Date" dataDxfId="3"/>
    <tableColumn id="2" xr3:uid="{AD144EF0-1B33-4F99-8F53-07EB3F10CE06}" name="Absolute Squared Error"/>
    <tableColumn id="3" xr3:uid="{4DADFAFF-4985-4675-89DB-BE50563C0B90}" name="Forecast(Absolute Squared Error)" dataDxfId="2">
      <calculatedColumnFormula>_xlfn.FORECAST.ETS(A2,$B$2:$B$366,$A$2:$A$366,1,1)</calculatedColumnFormula>
    </tableColumn>
    <tableColumn id="4" xr3:uid="{F9B245BA-F1B7-4494-8C6D-80B60297F1AF}" name="Lower Confidence Bound(Absolute Squared Error)" dataDxfId="1">
      <calculatedColumnFormula>C2-_xlfn.FORECAST.ETS.CONFINT(A2,$B$2:$B$366,$A$2:$A$366,0.95,1,1)</calculatedColumnFormula>
    </tableColumn>
    <tableColumn id="5" xr3:uid="{1C1853E8-E81E-40BF-B8A0-99654D4C13F4}" name="Upper Confidence Bound(Absolute Squared Error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4C878-BB5A-4EFB-A05B-DF06DE08A4FD}" name="Table1" displayName="Table1" ref="A1:E458" totalsRowShown="0">
  <autoFilter ref="A1:E458" xr:uid="{6FB4C878-BB5A-4EFB-A05B-DF06DE08A4FD}"/>
  <tableColumns count="5">
    <tableColumn id="1" xr3:uid="{7DF84398-F80E-4AC7-9FD4-486947A17097}" name="Timeline" dataDxfId="17"/>
    <tableColumn id="2" xr3:uid="{2C2B0AEB-BCCD-4533-85BF-DACC3510FE58}" name="Values"/>
    <tableColumn id="3" xr3:uid="{0539D2D6-9BD7-4C00-B629-1A7F0B00E64E}" name="Forecast">
      <calculatedColumnFormula>_xlfn.FORECAST.ETS(A2,$B$2:$B$366,$A$2:$A$366,1,1)</calculatedColumnFormula>
    </tableColumn>
    <tableColumn id="4" xr3:uid="{4A1C756C-A038-4464-AB23-013C026B7B5D}" name="Lower Confidence Bound" dataDxfId="16">
      <calculatedColumnFormula>C2-_xlfn.FORECAST.ETS.CONFINT(A2,$B$2:$B$366,$A$2:$A$366,0.95,1,1)</calculatedColumnFormula>
    </tableColumn>
    <tableColumn id="5" xr3:uid="{D0F31199-C27A-4570-8B79-919803EC4FB7}" name="Upper Confidence Bound" dataDxfId="15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648359-EE3A-40F7-9854-74B5879EE1F5}" name="Table2" displayName="Table2" ref="G1:H8" totalsRowShown="0">
  <autoFilter ref="G1:H8" xr:uid="{58648359-EE3A-40F7-9854-74B5879EE1F5}"/>
  <tableColumns count="2">
    <tableColumn id="1" xr3:uid="{68EDAEB9-6E3C-42DE-A69F-0966CAB75D22}" name="Statistic"/>
    <tableColumn id="2" xr3:uid="{568C2DCE-0038-40D5-AEE2-02DD31773C62}" name="Valu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9" workbookViewId="0">
      <selection activeCell="K19" sqref="K19"/>
    </sheetView>
  </sheetViews>
  <sheetFormatPr defaultColWidth="11.25" defaultRowHeight="15" customHeight="1"/>
  <cols>
    <col min="1" max="1" width="11" customWidth="1"/>
    <col min="2" max="2" width="11.625" customWidth="1"/>
    <col min="3" max="3" width="14.125" customWidth="1"/>
    <col min="4" max="4" width="11" customWidth="1"/>
    <col min="5" max="5" width="12.875" customWidth="1"/>
    <col min="6" max="6" width="21.375" bestFit="1" customWidth="1"/>
    <col min="7" max="7" width="22.875" customWidth="1"/>
    <col min="8" max="10" width="11" customWidth="1"/>
    <col min="11" max="11" width="19.3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G2" s="5"/>
    </row>
    <row r="3" spans="1:11" ht="15.75" customHeight="1">
      <c r="A3" s="3">
        <v>21552</v>
      </c>
      <c r="B3" s="4">
        <v>32</v>
      </c>
      <c r="C3">
        <f>B2</f>
        <v>35</v>
      </c>
      <c r="D3">
        <f>B3-C3</f>
        <v>-3</v>
      </c>
      <c r="E3">
        <f>ABS(D3)</f>
        <v>3</v>
      </c>
      <c r="F3">
        <f>E3^2</f>
        <v>9</v>
      </c>
      <c r="G3" s="5">
        <f>E3/B3</f>
        <v>9.375E-2</v>
      </c>
    </row>
    <row r="4" spans="1:11" ht="15.75" customHeight="1">
      <c r="A4" s="3">
        <v>21553</v>
      </c>
      <c r="B4" s="4">
        <v>30</v>
      </c>
      <c r="C4">
        <f>B3</f>
        <v>32</v>
      </c>
      <c r="D4">
        <f>B4-C4</f>
        <v>-2</v>
      </c>
      <c r="E4" s="4">
        <f>ABS(D4)</f>
        <v>2</v>
      </c>
      <c r="F4" s="24">
        <f>E4^2</f>
        <v>4</v>
      </c>
      <c r="G4" s="5">
        <f>E4/B4</f>
        <v>6.6666666666666666E-2</v>
      </c>
    </row>
    <row r="5" spans="1:11" ht="15.75" customHeight="1">
      <c r="A5" s="3">
        <v>21554</v>
      </c>
      <c r="B5" s="4">
        <v>31</v>
      </c>
      <c r="C5">
        <f t="shared" ref="C5:C68" si="0">B4</f>
        <v>30</v>
      </c>
      <c r="D5">
        <f t="shared" ref="D5:D68" si="1">B5-C5</f>
        <v>1</v>
      </c>
      <c r="E5" s="4">
        <f t="shared" ref="E5:E68" si="2">ABS(D5)</f>
        <v>1</v>
      </c>
      <c r="F5" s="24">
        <f t="shared" ref="F5:F68" si="3">E5^2</f>
        <v>1</v>
      </c>
      <c r="G5" s="5">
        <f t="shared" ref="G5:G68" si="4">E5/B5</f>
        <v>3.2258064516129031E-2</v>
      </c>
    </row>
    <row r="6" spans="1:11" ht="15.75" customHeight="1">
      <c r="A6" s="3">
        <v>21555</v>
      </c>
      <c r="B6" s="4">
        <v>44</v>
      </c>
      <c r="C6">
        <f t="shared" si="0"/>
        <v>31</v>
      </c>
      <c r="D6">
        <f t="shared" si="1"/>
        <v>13</v>
      </c>
      <c r="E6" s="4">
        <f t="shared" si="2"/>
        <v>13</v>
      </c>
      <c r="F6" s="24">
        <f t="shared" si="3"/>
        <v>169</v>
      </c>
      <c r="G6" s="5">
        <f t="shared" si="4"/>
        <v>0.29545454545454547</v>
      </c>
    </row>
    <row r="7" spans="1:11" ht="15.75" customHeight="1">
      <c r="A7" s="3">
        <v>21556</v>
      </c>
      <c r="B7" s="4">
        <v>29</v>
      </c>
      <c r="C7">
        <f t="shared" si="0"/>
        <v>44</v>
      </c>
      <c r="D7">
        <f t="shared" si="1"/>
        <v>-15</v>
      </c>
      <c r="E7" s="4">
        <f t="shared" si="2"/>
        <v>15</v>
      </c>
      <c r="F7" s="24">
        <f t="shared" si="3"/>
        <v>225</v>
      </c>
      <c r="G7" s="5">
        <f t="shared" si="4"/>
        <v>0.51724137931034486</v>
      </c>
    </row>
    <row r="8" spans="1:11" ht="15.75" customHeight="1">
      <c r="A8" s="3">
        <v>21557</v>
      </c>
      <c r="B8" s="4">
        <v>45</v>
      </c>
      <c r="C8">
        <f t="shared" si="0"/>
        <v>29</v>
      </c>
      <c r="D8">
        <f t="shared" si="1"/>
        <v>16</v>
      </c>
      <c r="E8" s="4">
        <f t="shared" si="2"/>
        <v>16</v>
      </c>
      <c r="F8" s="24">
        <f t="shared" si="3"/>
        <v>256</v>
      </c>
      <c r="G8" s="5">
        <f t="shared" si="4"/>
        <v>0.35555555555555557</v>
      </c>
      <c r="J8" s="6" t="s">
        <v>7</v>
      </c>
      <c r="K8" s="7">
        <f>AVERAGE(E3:E366)</f>
        <v>7.2719780219780219</v>
      </c>
    </row>
    <row r="9" spans="1:11" ht="15.75" customHeight="1">
      <c r="A9" s="3">
        <v>21558</v>
      </c>
      <c r="B9" s="4">
        <v>43</v>
      </c>
      <c r="C9">
        <f t="shared" si="0"/>
        <v>45</v>
      </c>
      <c r="D9">
        <f t="shared" si="1"/>
        <v>-2</v>
      </c>
      <c r="E9" s="4">
        <f t="shared" si="2"/>
        <v>2</v>
      </c>
      <c r="F9" s="24">
        <f t="shared" si="3"/>
        <v>4</v>
      </c>
      <c r="G9" s="5">
        <f t="shared" si="4"/>
        <v>4.6511627906976744E-2</v>
      </c>
      <c r="J9" s="2" t="s">
        <v>8</v>
      </c>
      <c r="K9" s="8">
        <f>AVERAGE(F3:F366)</f>
        <v>84.222527472527474</v>
      </c>
    </row>
    <row r="10" spans="1:11" ht="15.75" customHeight="1">
      <c r="A10" s="3">
        <v>21559</v>
      </c>
      <c r="B10" s="4">
        <v>38</v>
      </c>
      <c r="C10">
        <f t="shared" si="0"/>
        <v>43</v>
      </c>
      <c r="D10">
        <f t="shared" si="1"/>
        <v>-5</v>
      </c>
      <c r="E10" s="4">
        <f t="shared" si="2"/>
        <v>5</v>
      </c>
      <c r="F10" s="24">
        <f t="shared" si="3"/>
        <v>25</v>
      </c>
      <c r="G10" s="5">
        <f t="shared" si="4"/>
        <v>0.13157894736842105</v>
      </c>
      <c r="J10" s="2" t="s">
        <v>9</v>
      </c>
      <c r="K10" s="5">
        <f>AVERAGE(G3:G366)</f>
        <v>0.17526300048633245</v>
      </c>
    </row>
    <row r="11" spans="1:11" ht="15.75" customHeight="1">
      <c r="A11" s="3">
        <v>21560</v>
      </c>
      <c r="B11" s="4">
        <v>27</v>
      </c>
      <c r="C11">
        <f t="shared" si="0"/>
        <v>38</v>
      </c>
      <c r="D11">
        <f t="shared" si="1"/>
        <v>-11</v>
      </c>
      <c r="E11" s="4">
        <f t="shared" si="2"/>
        <v>11</v>
      </c>
      <c r="F11" s="24">
        <f t="shared" si="3"/>
        <v>121</v>
      </c>
      <c r="G11" s="5">
        <f t="shared" si="4"/>
        <v>0.40740740740740738</v>
      </c>
      <c r="J11" s="9" t="s">
        <v>10</v>
      </c>
      <c r="K11" s="10">
        <f>100% -K10</f>
        <v>0.82473699951366752</v>
      </c>
    </row>
    <row r="12" spans="1:11" ht="15.75" customHeight="1">
      <c r="A12" s="3">
        <v>21561</v>
      </c>
      <c r="B12" s="4">
        <v>38</v>
      </c>
      <c r="C12">
        <f t="shared" si="0"/>
        <v>27</v>
      </c>
      <c r="D12">
        <f t="shared" si="1"/>
        <v>11</v>
      </c>
      <c r="E12" s="4">
        <f t="shared" si="2"/>
        <v>11</v>
      </c>
      <c r="F12" s="24">
        <f t="shared" si="3"/>
        <v>121</v>
      </c>
      <c r="G12" s="5">
        <f t="shared" si="4"/>
        <v>0.28947368421052633</v>
      </c>
    </row>
    <row r="13" spans="1:11" ht="15.75" customHeight="1">
      <c r="A13" s="3">
        <v>21562</v>
      </c>
      <c r="B13" s="4">
        <v>33</v>
      </c>
      <c r="C13">
        <f t="shared" si="0"/>
        <v>38</v>
      </c>
      <c r="D13">
        <f t="shared" si="1"/>
        <v>-5</v>
      </c>
      <c r="E13" s="4">
        <f t="shared" si="2"/>
        <v>5</v>
      </c>
      <c r="F13" s="24">
        <f t="shared" si="3"/>
        <v>25</v>
      </c>
      <c r="G13" s="5">
        <f t="shared" si="4"/>
        <v>0.15151515151515152</v>
      </c>
    </row>
    <row r="14" spans="1:11" ht="15.75" customHeight="1">
      <c r="A14" s="3">
        <v>21563</v>
      </c>
      <c r="B14" s="4">
        <v>55</v>
      </c>
      <c r="C14">
        <f t="shared" si="0"/>
        <v>33</v>
      </c>
      <c r="D14">
        <f t="shared" si="1"/>
        <v>22</v>
      </c>
      <c r="E14" s="4">
        <f t="shared" si="2"/>
        <v>22</v>
      </c>
      <c r="F14" s="24">
        <f t="shared" si="3"/>
        <v>484</v>
      </c>
      <c r="G14" s="5">
        <f t="shared" si="4"/>
        <v>0.4</v>
      </c>
    </row>
    <row r="15" spans="1:11" ht="15.75" customHeight="1">
      <c r="A15" s="3">
        <v>21564</v>
      </c>
      <c r="B15" s="4">
        <v>47</v>
      </c>
      <c r="C15">
        <f t="shared" si="0"/>
        <v>55</v>
      </c>
      <c r="D15">
        <f t="shared" si="1"/>
        <v>-8</v>
      </c>
      <c r="E15" s="4">
        <f t="shared" si="2"/>
        <v>8</v>
      </c>
      <c r="F15" s="24">
        <f t="shared" si="3"/>
        <v>64</v>
      </c>
      <c r="G15" s="5">
        <f t="shared" si="4"/>
        <v>0.1702127659574468</v>
      </c>
    </row>
    <row r="16" spans="1:11" ht="15.75" customHeight="1">
      <c r="A16" s="3">
        <v>21565</v>
      </c>
      <c r="B16" s="4">
        <v>45</v>
      </c>
      <c r="C16">
        <f t="shared" si="0"/>
        <v>47</v>
      </c>
      <c r="D16">
        <f t="shared" si="1"/>
        <v>-2</v>
      </c>
      <c r="E16" s="4">
        <f t="shared" si="2"/>
        <v>2</v>
      </c>
      <c r="F16" s="24">
        <f t="shared" si="3"/>
        <v>4</v>
      </c>
      <c r="G16" s="5">
        <f t="shared" si="4"/>
        <v>4.4444444444444446E-2</v>
      </c>
    </row>
    <row r="17" spans="1:7" ht="15.75" customHeight="1">
      <c r="A17" s="3">
        <v>21566</v>
      </c>
      <c r="B17" s="4">
        <v>37</v>
      </c>
      <c r="C17">
        <f t="shared" si="0"/>
        <v>45</v>
      </c>
      <c r="D17">
        <f t="shared" si="1"/>
        <v>-8</v>
      </c>
      <c r="E17" s="4">
        <f t="shared" si="2"/>
        <v>8</v>
      </c>
      <c r="F17" s="24">
        <f t="shared" si="3"/>
        <v>64</v>
      </c>
      <c r="G17" s="5">
        <f t="shared" si="4"/>
        <v>0.21621621621621623</v>
      </c>
    </row>
    <row r="18" spans="1:7" ht="15.75" customHeight="1">
      <c r="A18" s="3">
        <v>21567</v>
      </c>
      <c r="B18" s="4">
        <v>50</v>
      </c>
      <c r="C18">
        <f t="shared" si="0"/>
        <v>37</v>
      </c>
      <c r="D18">
        <f t="shared" si="1"/>
        <v>13</v>
      </c>
      <c r="E18" s="4">
        <f t="shared" si="2"/>
        <v>13</v>
      </c>
      <c r="F18" s="24">
        <f t="shared" si="3"/>
        <v>169</v>
      </c>
      <c r="G18" s="5">
        <f t="shared" si="4"/>
        <v>0.26</v>
      </c>
    </row>
    <row r="19" spans="1:7" ht="15.75" customHeight="1">
      <c r="A19" s="3">
        <v>21568</v>
      </c>
      <c r="B19" s="4">
        <v>43</v>
      </c>
      <c r="C19">
        <f t="shared" si="0"/>
        <v>50</v>
      </c>
      <c r="D19">
        <f t="shared" si="1"/>
        <v>-7</v>
      </c>
      <c r="E19" s="4">
        <f t="shared" si="2"/>
        <v>7</v>
      </c>
      <c r="F19" s="24">
        <f t="shared" si="3"/>
        <v>49</v>
      </c>
      <c r="G19" s="5">
        <f t="shared" si="4"/>
        <v>0.16279069767441862</v>
      </c>
    </row>
    <row r="20" spans="1:7" ht="15.75" customHeight="1">
      <c r="A20" s="3">
        <v>21569</v>
      </c>
      <c r="B20" s="4">
        <v>41</v>
      </c>
      <c r="C20">
        <f t="shared" si="0"/>
        <v>43</v>
      </c>
      <c r="D20">
        <f t="shared" si="1"/>
        <v>-2</v>
      </c>
      <c r="E20" s="4">
        <f t="shared" si="2"/>
        <v>2</v>
      </c>
      <c r="F20" s="24">
        <f t="shared" si="3"/>
        <v>4</v>
      </c>
      <c r="G20" s="5">
        <f t="shared" si="4"/>
        <v>4.878048780487805E-2</v>
      </c>
    </row>
    <row r="21" spans="1:7" ht="15.75" customHeight="1">
      <c r="A21" s="3">
        <v>21570</v>
      </c>
      <c r="B21" s="4">
        <v>52</v>
      </c>
      <c r="C21">
        <f t="shared" si="0"/>
        <v>41</v>
      </c>
      <c r="D21">
        <f t="shared" si="1"/>
        <v>11</v>
      </c>
      <c r="E21" s="4">
        <f t="shared" si="2"/>
        <v>11</v>
      </c>
      <c r="F21" s="24">
        <f t="shared" si="3"/>
        <v>121</v>
      </c>
      <c r="G21" s="5">
        <f t="shared" si="4"/>
        <v>0.21153846153846154</v>
      </c>
    </row>
    <row r="22" spans="1:7" ht="15.75" customHeight="1">
      <c r="A22" s="3">
        <v>21571</v>
      </c>
      <c r="B22" s="4">
        <v>34</v>
      </c>
      <c r="C22">
        <f t="shared" si="0"/>
        <v>52</v>
      </c>
      <c r="D22">
        <f t="shared" si="1"/>
        <v>-18</v>
      </c>
      <c r="E22" s="4">
        <f t="shared" si="2"/>
        <v>18</v>
      </c>
      <c r="F22" s="24">
        <f t="shared" si="3"/>
        <v>324</v>
      </c>
      <c r="G22" s="5">
        <f t="shared" si="4"/>
        <v>0.52941176470588236</v>
      </c>
    </row>
    <row r="23" spans="1:7" ht="15.75" customHeight="1">
      <c r="A23" s="3">
        <v>21572</v>
      </c>
      <c r="B23" s="4">
        <v>53</v>
      </c>
      <c r="C23">
        <f t="shared" si="0"/>
        <v>34</v>
      </c>
      <c r="D23">
        <f t="shared" si="1"/>
        <v>19</v>
      </c>
      <c r="E23" s="4">
        <f t="shared" si="2"/>
        <v>19</v>
      </c>
      <c r="F23" s="24">
        <f t="shared" si="3"/>
        <v>361</v>
      </c>
      <c r="G23" s="5">
        <f t="shared" si="4"/>
        <v>0.35849056603773582</v>
      </c>
    </row>
    <row r="24" spans="1:7" ht="15.75" customHeight="1">
      <c r="A24" s="3">
        <v>21573</v>
      </c>
      <c r="B24" s="4">
        <v>39</v>
      </c>
      <c r="C24">
        <f t="shared" si="0"/>
        <v>53</v>
      </c>
      <c r="D24">
        <f t="shared" si="1"/>
        <v>-14</v>
      </c>
      <c r="E24" s="4">
        <f t="shared" si="2"/>
        <v>14</v>
      </c>
      <c r="F24" s="24">
        <f t="shared" si="3"/>
        <v>196</v>
      </c>
      <c r="G24" s="5">
        <f t="shared" si="4"/>
        <v>0.35897435897435898</v>
      </c>
    </row>
    <row r="25" spans="1:7" ht="15.75" customHeight="1">
      <c r="A25" s="3">
        <v>21574</v>
      </c>
      <c r="B25" s="4">
        <v>32</v>
      </c>
      <c r="C25">
        <f t="shared" si="0"/>
        <v>39</v>
      </c>
      <c r="D25">
        <f t="shared" si="1"/>
        <v>-7</v>
      </c>
      <c r="E25" s="4">
        <f t="shared" si="2"/>
        <v>7</v>
      </c>
      <c r="F25" s="24">
        <f t="shared" si="3"/>
        <v>49</v>
      </c>
      <c r="G25" s="5">
        <f t="shared" si="4"/>
        <v>0.21875</v>
      </c>
    </row>
    <row r="26" spans="1:7" ht="15.75" customHeight="1">
      <c r="A26" s="3">
        <v>21575</v>
      </c>
      <c r="B26" s="4">
        <v>37</v>
      </c>
      <c r="C26">
        <f t="shared" si="0"/>
        <v>32</v>
      </c>
      <c r="D26">
        <f t="shared" si="1"/>
        <v>5</v>
      </c>
      <c r="E26" s="4">
        <f t="shared" si="2"/>
        <v>5</v>
      </c>
      <c r="F26" s="24">
        <f t="shared" si="3"/>
        <v>25</v>
      </c>
      <c r="G26" s="5">
        <f t="shared" si="4"/>
        <v>0.13513513513513514</v>
      </c>
    </row>
    <row r="27" spans="1:7" ht="15.75" customHeight="1">
      <c r="A27" s="3">
        <v>21576</v>
      </c>
      <c r="B27" s="4">
        <v>43</v>
      </c>
      <c r="C27">
        <f t="shared" si="0"/>
        <v>37</v>
      </c>
      <c r="D27">
        <f t="shared" si="1"/>
        <v>6</v>
      </c>
      <c r="E27" s="4">
        <f t="shared" si="2"/>
        <v>6</v>
      </c>
      <c r="F27" s="24">
        <f t="shared" si="3"/>
        <v>36</v>
      </c>
      <c r="G27" s="5">
        <f t="shared" si="4"/>
        <v>0.13953488372093023</v>
      </c>
    </row>
    <row r="28" spans="1:7" ht="15.75" customHeight="1">
      <c r="A28" s="3">
        <v>21577</v>
      </c>
      <c r="B28" s="4">
        <v>39</v>
      </c>
      <c r="C28">
        <f t="shared" si="0"/>
        <v>43</v>
      </c>
      <c r="D28">
        <f t="shared" si="1"/>
        <v>-4</v>
      </c>
      <c r="E28" s="4">
        <f t="shared" si="2"/>
        <v>4</v>
      </c>
      <c r="F28" s="24">
        <f t="shared" si="3"/>
        <v>16</v>
      </c>
      <c r="G28" s="5">
        <f t="shared" si="4"/>
        <v>0.10256410256410256</v>
      </c>
    </row>
    <row r="29" spans="1:7" ht="15.75" customHeight="1">
      <c r="A29" s="3">
        <v>21578</v>
      </c>
      <c r="B29" s="4">
        <v>35</v>
      </c>
      <c r="C29">
        <f t="shared" si="0"/>
        <v>39</v>
      </c>
      <c r="D29">
        <f t="shared" si="1"/>
        <v>-4</v>
      </c>
      <c r="E29" s="4">
        <f t="shared" si="2"/>
        <v>4</v>
      </c>
      <c r="F29" s="24">
        <f t="shared" si="3"/>
        <v>16</v>
      </c>
      <c r="G29" s="5">
        <f t="shared" si="4"/>
        <v>0.11428571428571428</v>
      </c>
    </row>
    <row r="30" spans="1:7" ht="15.75" customHeight="1">
      <c r="A30" s="3">
        <v>21579</v>
      </c>
      <c r="B30" s="4">
        <v>44</v>
      </c>
      <c r="C30">
        <f t="shared" si="0"/>
        <v>35</v>
      </c>
      <c r="D30">
        <f t="shared" si="1"/>
        <v>9</v>
      </c>
      <c r="E30" s="4">
        <f t="shared" si="2"/>
        <v>9</v>
      </c>
      <c r="F30" s="24">
        <f t="shared" si="3"/>
        <v>81</v>
      </c>
      <c r="G30" s="5">
        <f t="shared" si="4"/>
        <v>0.20454545454545456</v>
      </c>
    </row>
    <row r="31" spans="1:7" ht="15.75" customHeight="1">
      <c r="A31" s="3">
        <v>21580</v>
      </c>
      <c r="B31" s="4">
        <v>38</v>
      </c>
      <c r="C31">
        <f t="shared" si="0"/>
        <v>44</v>
      </c>
      <c r="D31">
        <f t="shared" si="1"/>
        <v>-6</v>
      </c>
      <c r="E31" s="4">
        <f t="shared" si="2"/>
        <v>6</v>
      </c>
      <c r="F31" s="24">
        <f t="shared" si="3"/>
        <v>36</v>
      </c>
      <c r="G31" s="5">
        <f t="shared" si="4"/>
        <v>0.15789473684210525</v>
      </c>
    </row>
    <row r="32" spans="1:7" ht="15.75" customHeight="1">
      <c r="A32" s="3">
        <v>21581</v>
      </c>
      <c r="B32" s="4">
        <v>24</v>
      </c>
      <c r="C32">
        <f t="shared" si="0"/>
        <v>38</v>
      </c>
      <c r="D32">
        <f t="shared" si="1"/>
        <v>-14</v>
      </c>
      <c r="E32" s="4">
        <f t="shared" si="2"/>
        <v>14</v>
      </c>
      <c r="F32" s="24">
        <f t="shared" si="3"/>
        <v>196</v>
      </c>
      <c r="G32" s="5">
        <f t="shared" si="4"/>
        <v>0.58333333333333337</v>
      </c>
    </row>
    <row r="33" spans="1:7" ht="15.75" customHeight="1">
      <c r="A33" s="3">
        <v>21582</v>
      </c>
      <c r="B33" s="4">
        <v>23</v>
      </c>
      <c r="C33">
        <f t="shared" si="0"/>
        <v>24</v>
      </c>
      <c r="D33">
        <f t="shared" si="1"/>
        <v>-1</v>
      </c>
      <c r="E33" s="4">
        <f t="shared" si="2"/>
        <v>1</v>
      </c>
      <c r="F33" s="24">
        <f t="shared" si="3"/>
        <v>1</v>
      </c>
      <c r="G33" s="5">
        <f t="shared" si="4"/>
        <v>4.3478260869565216E-2</v>
      </c>
    </row>
    <row r="34" spans="1:7" ht="15.75" customHeight="1">
      <c r="A34" s="3">
        <v>21583</v>
      </c>
      <c r="B34" s="4">
        <v>31</v>
      </c>
      <c r="C34">
        <f t="shared" si="0"/>
        <v>23</v>
      </c>
      <c r="D34">
        <f t="shared" si="1"/>
        <v>8</v>
      </c>
      <c r="E34" s="4">
        <f t="shared" si="2"/>
        <v>8</v>
      </c>
      <c r="F34" s="24">
        <f t="shared" si="3"/>
        <v>64</v>
      </c>
      <c r="G34" s="5">
        <f t="shared" si="4"/>
        <v>0.25806451612903225</v>
      </c>
    </row>
    <row r="35" spans="1:7" ht="15.75" customHeight="1">
      <c r="A35" s="3">
        <v>21584</v>
      </c>
      <c r="B35" s="4">
        <v>44</v>
      </c>
      <c r="C35">
        <f t="shared" si="0"/>
        <v>31</v>
      </c>
      <c r="D35">
        <f t="shared" si="1"/>
        <v>13</v>
      </c>
      <c r="E35" s="4">
        <f t="shared" si="2"/>
        <v>13</v>
      </c>
      <c r="F35" s="24">
        <f t="shared" si="3"/>
        <v>169</v>
      </c>
      <c r="G35" s="5">
        <f t="shared" si="4"/>
        <v>0.29545454545454547</v>
      </c>
    </row>
    <row r="36" spans="1:7" ht="15.75" customHeight="1">
      <c r="A36" s="3">
        <v>21585</v>
      </c>
      <c r="B36" s="4">
        <v>38</v>
      </c>
      <c r="C36">
        <f t="shared" si="0"/>
        <v>44</v>
      </c>
      <c r="D36">
        <f t="shared" si="1"/>
        <v>-6</v>
      </c>
      <c r="E36" s="4">
        <f t="shared" si="2"/>
        <v>6</v>
      </c>
      <c r="F36" s="24">
        <f t="shared" si="3"/>
        <v>36</v>
      </c>
      <c r="G36" s="5">
        <f t="shared" si="4"/>
        <v>0.15789473684210525</v>
      </c>
    </row>
    <row r="37" spans="1:7" ht="15.75" customHeight="1">
      <c r="A37" s="3">
        <v>21586</v>
      </c>
      <c r="B37" s="4">
        <v>50</v>
      </c>
      <c r="C37">
        <f t="shared" si="0"/>
        <v>38</v>
      </c>
      <c r="D37">
        <f t="shared" si="1"/>
        <v>12</v>
      </c>
      <c r="E37" s="4">
        <f t="shared" si="2"/>
        <v>12</v>
      </c>
      <c r="F37" s="24">
        <f t="shared" si="3"/>
        <v>144</v>
      </c>
      <c r="G37" s="5">
        <f t="shared" si="4"/>
        <v>0.24</v>
      </c>
    </row>
    <row r="38" spans="1:7" ht="15.75" customHeight="1">
      <c r="A38" s="3">
        <v>21587</v>
      </c>
      <c r="B38" s="4">
        <v>38</v>
      </c>
      <c r="C38">
        <f t="shared" si="0"/>
        <v>50</v>
      </c>
      <c r="D38">
        <f t="shared" si="1"/>
        <v>-12</v>
      </c>
      <c r="E38" s="4">
        <f t="shared" si="2"/>
        <v>12</v>
      </c>
      <c r="F38" s="24">
        <f t="shared" si="3"/>
        <v>144</v>
      </c>
      <c r="G38" s="5">
        <f t="shared" si="4"/>
        <v>0.31578947368421051</v>
      </c>
    </row>
    <row r="39" spans="1:7" ht="15.75" customHeight="1">
      <c r="A39" s="3">
        <v>21588</v>
      </c>
      <c r="B39" s="4">
        <v>51</v>
      </c>
      <c r="C39">
        <f t="shared" si="0"/>
        <v>38</v>
      </c>
      <c r="D39">
        <f t="shared" si="1"/>
        <v>13</v>
      </c>
      <c r="E39" s="4">
        <f t="shared" si="2"/>
        <v>13</v>
      </c>
      <c r="F39" s="24">
        <f t="shared" si="3"/>
        <v>169</v>
      </c>
      <c r="G39" s="5">
        <f t="shared" si="4"/>
        <v>0.25490196078431371</v>
      </c>
    </row>
    <row r="40" spans="1:7" ht="15.75" customHeight="1">
      <c r="A40" s="3">
        <v>21589</v>
      </c>
      <c r="B40" s="4">
        <v>31</v>
      </c>
      <c r="C40">
        <f t="shared" si="0"/>
        <v>51</v>
      </c>
      <c r="D40">
        <f t="shared" si="1"/>
        <v>-20</v>
      </c>
      <c r="E40" s="4">
        <f t="shared" si="2"/>
        <v>20</v>
      </c>
      <c r="F40" s="24">
        <f t="shared" si="3"/>
        <v>400</v>
      </c>
      <c r="G40" s="5">
        <f t="shared" si="4"/>
        <v>0.64516129032258063</v>
      </c>
    </row>
    <row r="41" spans="1:7" ht="15.75" customHeight="1">
      <c r="A41" s="3">
        <v>21590</v>
      </c>
      <c r="B41" s="4">
        <v>31</v>
      </c>
      <c r="C41">
        <f t="shared" si="0"/>
        <v>31</v>
      </c>
      <c r="D41">
        <f t="shared" si="1"/>
        <v>0</v>
      </c>
      <c r="E41" s="4">
        <f t="shared" si="2"/>
        <v>0</v>
      </c>
      <c r="F41" s="24">
        <f t="shared" si="3"/>
        <v>0</v>
      </c>
      <c r="G41" s="5">
        <f t="shared" si="4"/>
        <v>0</v>
      </c>
    </row>
    <row r="42" spans="1:7" ht="15.75" customHeight="1">
      <c r="A42" s="3">
        <v>21591</v>
      </c>
      <c r="B42" s="4">
        <v>51</v>
      </c>
      <c r="C42">
        <f t="shared" si="0"/>
        <v>31</v>
      </c>
      <c r="D42">
        <f t="shared" si="1"/>
        <v>20</v>
      </c>
      <c r="E42" s="4">
        <f t="shared" si="2"/>
        <v>20</v>
      </c>
      <c r="F42" s="24">
        <f t="shared" si="3"/>
        <v>400</v>
      </c>
      <c r="G42" s="5">
        <f t="shared" si="4"/>
        <v>0.39215686274509803</v>
      </c>
    </row>
    <row r="43" spans="1:7" ht="15.75" customHeight="1">
      <c r="A43" s="3">
        <v>21592</v>
      </c>
      <c r="B43" s="4">
        <v>36</v>
      </c>
      <c r="C43">
        <f t="shared" si="0"/>
        <v>51</v>
      </c>
      <c r="D43">
        <f t="shared" si="1"/>
        <v>-15</v>
      </c>
      <c r="E43" s="4">
        <f t="shared" si="2"/>
        <v>15</v>
      </c>
      <c r="F43" s="24">
        <f t="shared" si="3"/>
        <v>225</v>
      </c>
      <c r="G43" s="5">
        <f t="shared" si="4"/>
        <v>0.41666666666666669</v>
      </c>
    </row>
    <row r="44" spans="1:7" ht="15.75" customHeight="1">
      <c r="A44" s="3">
        <v>21593</v>
      </c>
      <c r="B44" s="4">
        <v>45</v>
      </c>
      <c r="C44">
        <f t="shared" si="0"/>
        <v>36</v>
      </c>
      <c r="D44">
        <f t="shared" si="1"/>
        <v>9</v>
      </c>
      <c r="E44" s="4">
        <f t="shared" si="2"/>
        <v>9</v>
      </c>
      <c r="F44" s="24">
        <f t="shared" si="3"/>
        <v>81</v>
      </c>
      <c r="G44" s="5">
        <f t="shared" si="4"/>
        <v>0.2</v>
      </c>
    </row>
    <row r="45" spans="1:7" ht="15.75" customHeight="1">
      <c r="A45" s="3">
        <v>21594</v>
      </c>
      <c r="B45" s="4">
        <v>51</v>
      </c>
      <c r="C45">
        <f t="shared" si="0"/>
        <v>45</v>
      </c>
      <c r="D45">
        <f t="shared" si="1"/>
        <v>6</v>
      </c>
      <c r="E45" s="4">
        <f t="shared" si="2"/>
        <v>6</v>
      </c>
      <c r="F45" s="24">
        <f t="shared" si="3"/>
        <v>36</v>
      </c>
      <c r="G45" s="5">
        <f t="shared" si="4"/>
        <v>0.11764705882352941</v>
      </c>
    </row>
    <row r="46" spans="1:7" ht="15.75" customHeight="1">
      <c r="A46" s="3">
        <v>21595</v>
      </c>
      <c r="B46" s="4">
        <v>34</v>
      </c>
      <c r="C46">
        <f t="shared" si="0"/>
        <v>51</v>
      </c>
      <c r="D46">
        <f t="shared" si="1"/>
        <v>-17</v>
      </c>
      <c r="E46" s="4">
        <f t="shared" si="2"/>
        <v>17</v>
      </c>
      <c r="F46" s="24">
        <f t="shared" si="3"/>
        <v>289</v>
      </c>
      <c r="G46" s="5">
        <f t="shared" si="4"/>
        <v>0.5</v>
      </c>
    </row>
    <row r="47" spans="1:7" ht="15.75" customHeight="1">
      <c r="A47" s="3">
        <v>21596</v>
      </c>
      <c r="B47" s="4">
        <v>52</v>
      </c>
      <c r="C47">
        <f t="shared" si="0"/>
        <v>34</v>
      </c>
      <c r="D47">
        <f t="shared" si="1"/>
        <v>18</v>
      </c>
      <c r="E47" s="4">
        <f t="shared" si="2"/>
        <v>18</v>
      </c>
      <c r="F47" s="24">
        <f t="shared" si="3"/>
        <v>324</v>
      </c>
      <c r="G47" s="5">
        <f t="shared" si="4"/>
        <v>0.34615384615384615</v>
      </c>
    </row>
    <row r="48" spans="1:7" ht="15.75" customHeight="1">
      <c r="A48" s="3">
        <v>21597</v>
      </c>
      <c r="B48" s="4">
        <v>47</v>
      </c>
      <c r="C48">
        <f t="shared" si="0"/>
        <v>52</v>
      </c>
      <c r="D48">
        <f t="shared" si="1"/>
        <v>-5</v>
      </c>
      <c r="E48" s="4">
        <f t="shared" si="2"/>
        <v>5</v>
      </c>
      <c r="F48" s="24">
        <f t="shared" si="3"/>
        <v>25</v>
      </c>
      <c r="G48" s="5">
        <f t="shared" si="4"/>
        <v>0.10638297872340426</v>
      </c>
    </row>
    <row r="49" spans="1:7" ht="15.75" customHeight="1">
      <c r="A49" s="3">
        <v>21598</v>
      </c>
      <c r="B49" s="4">
        <v>45</v>
      </c>
      <c r="C49">
        <f t="shared" si="0"/>
        <v>47</v>
      </c>
      <c r="D49">
        <f t="shared" si="1"/>
        <v>-2</v>
      </c>
      <c r="E49" s="4">
        <f t="shared" si="2"/>
        <v>2</v>
      </c>
      <c r="F49" s="24">
        <f t="shared" si="3"/>
        <v>4</v>
      </c>
      <c r="G49" s="5">
        <f t="shared" si="4"/>
        <v>4.4444444444444446E-2</v>
      </c>
    </row>
    <row r="50" spans="1:7" ht="15.75" customHeight="1">
      <c r="A50" s="3">
        <v>21599</v>
      </c>
      <c r="B50" s="4">
        <v>46</v>
      </c>
      <c r="C50">
        <f t="shared" si="0"/>
        <v>45</v>
      </c>
      <c r="D50">
        <f t="shared" si="1"/>
        <v>1</v>
      </c>
      <c r="E50" s="4">
        <f t="shared" si="2"/>
        <v>1</v>
      </c>
      <c r="F50" s="24">
        <f t="shared" si="3"/>
        <v>1</v>
      </c>
      <c r="G50" s="5">
        <f t="shared" si="4"/>
        <v>2.1739130434782608E-2</v>
      </c>
    </row>
    <row r="51" spans="1:7" ht="15.75" customHeight="1">
      <c r="A51" s="3">
        <v>21600</v>
      </c>
      <c r="B51" s="4">
        <v>39</v>
      </c>
      <c r="C51">
        <f t="shared" si="0"/>
        <v>46</v>
      </c>
      <c r="D51">
        <f t="shared" si="1"/>
        <v>-7</v>
      </c>
      <c r="E51" s="4">
        <f t="shared" si="2"/>
        <v>7</v>
      </c>
      <c r="F51" s="24">
        <f t="shared" si="3"/>
        <v>49</v>
      </c>
      <c r="G51" s="5">
        <f t="shared" si="4"/>
        <v>0.17948717948717949</v>
      </c>
    </row>
    <row r="52" spans="1:7" ht="15.75" customHeight="1">
      <c r="A52" s="3">
        <v>21601</v>
      </c>
      <c r="B52" s="4">
        <v>48</v>
      </c>
      <c r="C52">
        <f t="shared" si="0"/>
        <v>39</v>
      </c>
      <c r="D52">
        <f t="shared" si="1"/>
        <v>9</v>
      </c>
      <c r="E52" s="4">
        <f t="shared" si="2"/>
        <v>9</v>
      </c>
      <c r="F52" s="24">
        <f t="shared" si="3"/>
        <v>81</v>
      </c>
      <c r="G52" s="5">
        <f t="shared" si="4"/>
        <v>0.1875</v>
      </c>
    </row>
    <row r="53" spans="1:7" ht="15.75" customHeight="1">
      <c r="A53" s="3">
        <v>21602</v>
      </c>
      <c r="B53" s="4">
        <v>37</v>
      </c>
      <c r="C53">
        <f t="shared" si="0"/>
        <v>48</v>
      </c>
      <c r="D53">
        <f t="shared" si="1"/>
        <v>-11</v>
      </c>
      <c r="E53" s="4">
        <f t="shared" si="2"/>
        <v>11</v>
      </c>
      <c r="F53" s="24">
        <f t="shared" si="3"/>
        <v>121</v>
      </c>
      <c r="G53" s="5">
        <f t="shared" si="4"/>
        <v>0.29729729729729731</v>
      </c>
    </row>
    <row r="54" spans="1:7" ht="15.75" customHeight="1">
      <c r="A54" s="3">
        <v>21603</v>
      </c>
      <c r="B54" s="4">
        <v>35</v>
      </c>
      <c r="C54">
        <f t="shared" si="0"/>
        <v>37</v>
      </c>
      <c r="D54">
        <f t="shared" si="1"/>
        <v>-2</v>
      </c>
      <c r="E54" s="4">
        <f t="shared" si="2"/>
        <v>2</v>
      </c>
      <c r="F54" s="24">
        <f t="shared" si="3"/>
        <v>4</v>
      </c>
      <c r="G54" s="5">
        <f t="shared" si="4"/>
        <v>5.7142857142857141E-2</v>
      </c>
    </row>
    <row r="55" spans="1:7" ht="15.75" customHeight="1">
      <c r="A55" s="3">
        <v>21604</v>
      </c>
      <c r="B55" s="4">
        <v>52</v>
      </c>
      <c r="C55">
        <f t="shared" si="0"/>
        <v>35</v>
      </c>
      <c r="D55">
        <f t="shared" si="1"/>
        <v>17</v>
      </c>
      <c r="E55" s="4">
        <f t="shared" si="2"/>
        <v>17</v>
      </c>
      <c r="F55" s="24">
        <f t="shared" si="3"/>
        <v>289</v>
      </c>
      <c r="G55" s="5">
        <f t="shared" si="4"/>
        <v>0.32692307692307693</v>
      </c>
    </row>
    <row r="56" spans="1:7" ht="15.75" customHeight="1">
      <c r="A56" s="3">
        <v>21605</v>
      </c>
      <c r="B56" s="4">
        <v>42</v>
      </c>
      <c r="C56">
        <f t="shared" si="0"/>
        <v>52</v>
      </c>
      <c r="D56">
        <f t="shared" si="1"/>
        <v>-10</v>
      </c>
      <c r="E56" s="4">
        <f t="shared" si="2"/>
        <v>10</v>
      </c>
      <c r="F56" s="24">
        <f t="shared" si="3"/>
        <v>100</v>
      </c>
      <c r="G56" s="5">
        <f t="shared" si="4"/>
        <v>0.23809523809523808</v>
      </c>
    </row>
    <row r="57" spans="1:7" ht="15.75" customHeight="1">
      <c r="A57" s="3">
        <v>21606</v>
      </c>
      <c r="B57" s="4">
        <v>45</v>
      </c>
      <c r="C57">
        <f t="shared" si="0"/>
        <v>42</v>
      </c>
      <c r="D57">
        <f t="shared" si="1"/>
        <v>3</v>
      </c>
      <c r="E57" s="4">
        <f t="shared" si="2"/>
        <v>3</v>
      </c>
      <c r="F57" s="24">
        <f t="shared" si="3"/>
        <v>9</v>
      </c>
      <c r="G57" s="5">
        <f t="shared" si="4"/>
        <v>6.6666666666666666E-2</v>
      </c>
    </row>
    <row r="58" spans="1:7" ht="15.75" customHeight="1">
      <c r="A58" s="3">
        <v>21607</v>
      </c>
      <c r="B58" s="4">
        <v>39</v>
      </c>
      <c r="C58">
        <f t="shared" si="0"/>
        <v>45</v>
      </c>
      <c r="D58">
        <f t="shared" si="1"/>
        <v>-6</v>
      </c>
      <c r="E58" s="4">
        <f t="shared" si="2"/>
        <v>6</v>
      </c>
      <c r="F58" s="24">
        <f t="shared" si="3"/>
        <v>36</v>
      </c>
      <c r="G58" s="5">
        <f t="shared" si="4"/>
        <v>0.15384615384615385</v>
      </c>
    </row>
    <row r="59" spans="1:7" ht="15.75" customHeight="1">
      <c r="A59" s="3">
        <v>21608</v>
      </c>
      <c r="B59" s="4">
        <v>37</v>
      </c>
      <c r="C59">
        <f t="shared" si="0"/>
        <v>39</v>
      </c>
      <c r="D59">
        <f t="shared" si="1"/>
        <v>-2</v>
      </c>
      <c r="E59" s="4">
        <f t="shared" si="2"/>
        <v>2</v>
      </c>
      <c r="F59" s="24">
        <f t="shared" si="3"/>
        <v>4</v>
      </c>
      <c r="G59" s="5">
        <f t="shared" si="4"/>
        <v>5.4054054054054057E-2</v>
      </c>
    </row>
    <row r="60" spans="1:7" ht="15.75" customHeight="1">
      <c r="A60" s="3">
        <v>21609</v>
      </c>
      <c r="B60" s="4">
        <v>30</v>
      </c>
      <c r="C60">
        <f t="shared" si="0"/>
        <v>37</v>
      </c>
      <c r="D60">
        <f t="shared" si="1"/>
        <v>-7</v>
      </c>
      <c r="E60" s="4">
        <f t="shared" si="2"/>
        <v>7</v>
      </c>
      <c r="F60" s="24">
        <f t="shared" si="3"/>
        <v>49</v>
      </c>
      <c r="G60" s="5">
        <f t="shared" si="4"/>
        <v>0.23333333333333334</v>
      </c>
    </row>
    <row r="61" spans="1:7" ht="15.75" customHeight="1">
      <c r="A61" s="3">
        <v>21610</v>
      </c>
      <c r="B61" s="4">
        <v>35</v>
      </c>
      <c r="C61">
        <f t="shared" si="0"/>
        <v>30</v>
      </c>
      <c r="D61">
        <f t="shared" si="1"/>
        <v>5</v>
      </c>
      <c r="E61" s="4">
        <f t="shared" si="2"/>
        <v>5</v>
      </c>
      <c r="F61" s="24">
        <f t="shared" si="3"/>
        <v>25</v>
      </c>
      <c r="G61" s="5">
        <f t="shared" si="4"/>
        <v>0.14285714285714285</v>
      </c>
    </row>
    <row r="62" spans="1:7" ht="15.75" customHeight="1">
      <c r="A62" s="3">
        <v>21611</v>
      </c>
      <c r="B62" s="4">
        <v>28</v>
      </c>
      <c r="C62">
        <f t="shared" si="0"/>
        <v>35</v>
      </c>
      <c r="D62">
        <f t="shared" si="1"/>
        <v>-7</v>
      </c>
      <c r="E62" s="4">
        <f t="shared" si="2"/>
        <v>7</v>
      </c>
      <c r="F62" s="24">
        <f t="shared" si="3"/>
        <v>49</v>
      </c>
      <c r="G62" s="5">
        <f t="shared" si="4"/>
        <v>0.25</v>
      </c>
    </row>
    <row r="63" spans="1:7" ht="15.75" customHeight="1">
      <c r="A63" s="3">
        <v>21612</v>
      </c>
      <c r="B63" s="4">
        <v>45</v>
      </c>
      <c r="C63">
        <f t="shared" si="0"/>
        <v>28</v>
      </c>
      <c r="D63">
        <f t="shared" si="1"/>
        <v>17</v>
      </c>
      <c r="E63" s="4">
        <f t="shared" si="2"/>
        <v>17</v>
      </c>
      <c r="F63" s="24">
        <f t="shared" si="3"/>
        <v>289</v>
      </c>
      <c r="G63" s="5">
        <f t="shared" si="4"/>
        <v>0.37777777777777777</v>
      </c>
    </row>
    <row r="64" spans="1:7" ht="15.75" customHeight="1">
      <c r="A64" s="3">
        <v>21613</v>
      </c>
      <c r="B64" s="4">
        <v>34</v>
      </c>
      <c r="C64">
        <f t="shared" si="0"/>
        <v>45</v>
      </c>
      <c r="D64">
        <f t="shared" si="1"/>
        <v>-11</v>
      </c>
      <c r="E64" s="4">
        <f t="shared" si="2"/>
        <v>11</v>
      </c>
      <c r="F64" s="24">
        <f t="shared" si="3"/>
        <v>121</v>
      </c>
      <c r="G64" s="5">
        <f t="shared" si="4"/>
        <v>0.3235294117647059</v>
      </c>
    </row>
    <row r="65" spans="1:7" ht="15.75" customHeight="1">
      <c r="A65" s="3">
        <v>21614</v>
      </c>
      <c r="B65" s="4">
        <v>36</v>
      </c>
      <c r="C65">
        <f t="shared" si="0"/>
        <v>34</v>
      </c>
      <c r="D65">
        <f t="shared" si="1"/>
        <v>2</v>
      </c>
      <c r="E65" s="4">
        <f t="shared" si="2"/>
        <v>2</v>
      </c>
      <c r="F65" s="24">
        <f t="shared" si="3"/>
        <v>4</v>
      </c>
      <c r="G65" s="5">
        <f t="shared" si="4"/>
        <v>5.5555555555555552E-2</v>
      </c>
    </row>
    <row r="66" spans="1:7" ht="15.75" customHeight="1">
      <c r="A66" s="3">
        <v>21615</v>
      </c>
      <c r="B66" s="4">
        <v>50</v>
      </c>
      <c r="C66">
        <f t="shared" si="0"/>
        <v>36</v>
      </c>
      <c r="D66">
        <f t="shared" si="1"/>
        <v>14</v>
      </c>
      <c r="E66" s="4">
        <f t="shared" si="2"/>
        <v>14</v>
      </c>
      <c r="F66" s="24">
        <f t="shared" si="3"/>
        <v>196</v>
      </c>
      <c r="G66" s="5">
        <f t="shared" si="4"/>
        <v>0.28000000000000003</v>
      </c>
    </row>
    <row r="67" spans="1:7" ht="15.75" customHeight="1">
      <c r="A67" s="3">
        <v>21616</v>
      </c>
      <c r="B67" s="4">
        <v>44</v>
      </c>
      <c r="C67">
        <f t="shared" si="0"/>
        <v>50</v>
      </c>
      <c r="D67">
        <f t="shared" si="1"/>
        <v>-6</v>
      </c>
      <c r="E67" s="4">
        <f t="shared" si="2"/>
        <v>6</v>
      </c>
      <c r="F67" s="24">
        <f t="shared" si="3"/>
        <v>36</v>
      </c>
      <c r="G67" s="5">
        <f t="shared" si="4"/>
        <v>0.13636363636363635</v>
      </c>
    </row>
    <row r="68" spans="1:7" ht="15.75" customHeight="1">
      <c r="A68" s="3">
        <v>21617</v>
      </c>
      <c r="B68" s="4">
        <v>39</v>
      </c>
      <c r="C68">
        <f t="shared" si="0"/>
        <v>44</v>
      </c>
      <c r="D68">
        <f t="shared" si="1"/>
        <v>-5</v>
      </c>
      <c r="E68" s="4">
        <f t="shared" si="2"/>
        <v>5</v>
      </c>
      <c r="F68" s="24">
        <f t="shared" si="3"/>
        <v>25</v>
      </c>
      <c r="G68" s="5">
        <f t="shared" si="4"/>
        <v>0.12820512820512819</v>
      </c>
    </row>
    <row r="69" spans="1:7" ht="15.75" customHeight="1">
      <c r="A69" s="3">
        <v>21618</v>
      </c>
      <c r="B69" s="4">
        <v>32</v>
      </c>
      <c r="C69">
        <f t="shared" ref="C69:C132" si="5">B68</f>
        <v>39</v>
      </c>
      <c r="D69">
        <f t="shared" ref="D69:D132" si="6">B69-C69</f>
        <v>-7</v>
      </c>
      <c r="E69" s="4">
        <f t="shared" ref="E69:E132" si="7">ABS(D69)</f>
        <v>7</v>
      </c>
      <c r="F69" s="24">
        <f t="shared" ref="F69:F132" si="8">E69^2</f>
        <v>49</v>
      </c>
      <c r="G69" s="5">
        <f t="shared" ref="G69:G132" si="9">E69/B69</f>
        <v>0.21875</v>
      </c>
    </row>
    <row r="70" spans="1:7" ht="15.75" customHeight="1">
      <c r="A70" s="3">
        <v>21619</v>
      </c>
      <c r="B70" s="4">
        <v>39</v>
      </c>
      <c r="C70">
        <f t="shared" si="5"/>
        <v>32</v>
      </c>
      <c r="D70">
        <f t="shared" si="6"/>
        <v>7</v>
      </c>
      <c r="E70" s="4">
        <f t="shared" si="7"/>
        <v>7</v>
      </c>
      <c r="F70" s="24">
        <f t="shared" si="8"/>
        <v>49</v>
      </c>
      <c r="G70" s="5">
        <f t="shared" si="9"/>
        <v>0.17948717948717949</v>
      </c>
    </row>
    <row r="71" spans="1:7" ht="15.75" customHeight="1">
      <c r="A71" s="3">
        <v>21620</v>
      </c>
      <c r="B71" s="4">
        <v>45</v>
      </c>
      <c r="C71">
        <f t="shared" si="5"/>
        <v>39</v>
      </c>
      <c r="D71">
        <f t="shared" si="6"/>
        <v>6</v>
      </c>
      <c r="E71" s="4">
        <f t="shared" si="7"/>
        <v>6</v>
      </c>
      <c r="F71" s="24">
        <f t="shared" si="8"/>
        <v>36</v>
      </c>
      <c r="G71" s="5">
        <f t="shared" si="9"/>
        <v>0.13333333333333333</v>
      </c>
    </row>
    <row r="72" spans="1:7" ht="15.75" customHeight="1">
      <c r="A72" s="3">
        <v>21621</v>
      </c>
      <c r="B72" s="4">
        <v>43</v>
      </c>
      <c r="C72">
        <f t="shared" si="5"/>
        <v>45</v>
      </c>
      <c r="D72">
        <f t="shared" si="6"/>
        <v>-2</v>
      </c>
      <c r="E72" s="4">
        <f t="shared" si="7"/>
        <v>2</v>
      </c>
      <c r="F72" s="24">
        <f t="shared" si="8"/>
        <v>4</v>
      </c>
      <c r="G72" s="5">
        <f t="shared" si="9"/>
        <v>4.6511627906976744E-2</v>
      </c>
    </row>
    <row r="73" spans="1:7" ht="15.75" customHeight="1">
      <c r="A73" s="3">
        <v>21622</v>
      </c>
      <c r="B73" s="4">
        <v>39</v>
      </c>
      <c r="C73">
        <f t="shared" si="5"/>
        <v>43</v>
      </c>
      <c r="D73">
        <f t="shared" si="6"/>
        <v>-4</v>
      </c>
      <c r="E73" s="4">
        <f t="shared" si="7"/>
        <v>4</v>
      </c>
      <c r="F73" s="24">
        <f t="shared" si="8"/>
        <v>16</v>
      </c>
      <c r="G73" s="5">
        <f t="shared" si="9"/>
        <v>0.10256410256410256</v>
      </c>
    </row>
    <row r="74" spans="1:7" ht="15.75" customHeight="1">
      <c r="A74" s="3">
        <v>21623</v>
      </c>
      <c r="B74" s="4">
        <v>31</v>
      </c>
      <c r="C74">
        <f t="shared" si="5"/>
        <v>39</v>
      </c>
      <c r="D74">
        <f t="shared" si="6"/>
        <v>-8</v>
      </c>
      <c r="E74" s="4">
        <f t="shared" si="7"/>
        <v>8</v>
      </c>
      <c r="F74" s="24">
        <f t="shared" si="8"/>
        <v>64</v>
      </c>
      <c r="G74" s="5">
        <f t="shared" si="9"/>
        <v>0.25806451612903225</v>
      </c>
    </row>
    <row r="75" spans="1:7" ht="15.75" customHeight="1">
      <c r="A75" s="3">
        <v>21624</v>
      </c>
      <c r="B75" s="4">
        <v>27</v>
      </c>
      <c r="C75">
        <f t="shared" si="5"/>
        <v>31</v>
      </c>
      <c r="D75">
        <f t="shared" si="6"/>
        <v>-4</v>
      </c>
      <c r="E75" s="4">
        <f t="shared" si="7"/>
        <v>4</v>
      </c>
      <c r="F75" s="24">
        <f t="shared" si="8"/>
        <v>16</v>
      </c>
      <c r="G75" s="5">
        <f t="shared" si="9"/>
        <v>0.14814814814814814</v>
      </c>
    </row>
    <row r="76" spans="1:7" ht="15.75" customHeight="1">
      <c r="A76" s="3">
        <v>21625</v>
      </c>
      <c r="B76" s="4">
        <v>30</v>
      </c>
      <c r="C76">
        <f t="shared" si="5"/>
        <v>27</v>
      </c>
      <c r="D76">
        <f t="shared" si="6"/>
        <v>3</v>
      </c>
      <c r="E76" s="4">
        <f t="shared" si="7"/>
        <v>3</v>
      </c>
      <c r="F76" s="24">
        <f t="shared" si="8"/>
        <v>9</v>
      </c>
      <c r="G76" s="5">
        <f t="shared" si="9"/>
        <v>0.1</v>
      </c>
    </row>
    <row r="77" spans="1:7" ht="15.75" customHeight="1">
      <c r="A77" s="3">
        <v>21626</v>
      </c>
      <c r="B77" s="4">
        <v>42</v>
      </c>
      <c r="C77">
        <f t="shared" si="5"/>
        <v>30</v>
      </c>
      <c r="D77">
        <f t="shared" si="6"/>
        <v>12</v>
      </c>
      <c r="E77" s="4">
        <f t="shared" si="7"/>
        <v>12</v>
      </c>
      <c r="F77" s="24">
        <f t="shared" si="8"/>
        <v>144</v>
      </c>
      <c r="G77" s="5">
        <f t="shared" si="9"/>
        <v>0.2857142857142857</v>
      </c>
    </row>
    <row r="78" spans="1:7" ht="15.75" customHeight="1">
      <c r="A78" s="3">
        <v>21627</v>
      </c>
      <c r="B78" s="4">
        <v>46</v>
      </c>
      <c r="C78">
        <f t="shared" si="5"/>
        <v>42</v>
      </c>
      <c r="D78">
        <f t="shared" si="6"/>
        <v>4</v>
      </c>
      <c r="E78" s="4">
        <f t="shared" si="7"/>
        <v>4</v>
      </c>
      <c r="F78" s="24">
        <f t="shared" si="8"/>
        <v>16</v>
      </c>
      <c r="G78" s="5">
        <f t="shared" si="9"/>
        <v>8.6956521739130432E-2</v>
      </c>
    </row>
    <row r="79" spans="1:7" ht="15.75" customHeight="1">
      <c r="A79" s="3">
        <v>21628</v>
      </c>
      <c r="B79" s="4">
        <v>41</v>
      </c>
      <c r="C79">
        <f t="shared" si="5"/>
        <v>46</v>
      </c>
      <c r="D79">
        <f t="shared" si="6"/>
        <v>-5</v>
      </c>
      <c r="E79" s="4">
        <f t="shared" si="7"/>
        <v>5</v>
      </c>
      <c r="F79" s="24">
        <f t="shared" si="8"/>
        <v>25</v>
      </c>
      <c r="G79" s="5">
        <f t="shared" si="9"/>
        <v>0.12195121951219512</v>
      </c>
    </row>
    <row r="80" spans="1:7" ht="15.75" customHeight="1">
      <c r="A80" s="3">
        <v>21629</v>
      </c>
      <c r="B80" s="4">
        <v>36</v>
      </c>
      <c r="C80">
        <f t="shared" si="5"/>
        <v>41</v>
      </c>
      <c r="D80">
        <f t="shared" si="6"/>
        <v>-5</v>
      </c>
      <c r="E80" s="4">
        <f t="shared" si="7"/>
        <v>5</v>
      </c>
      <c r="F80" s="24">
        <f t="shared" si="8"/>
        <v>25</v>
      </c>
      <c r="G80" s="5">
        <f t="shared" si="9"/>
        <v>0.1388888888888889</v>
      </c>
    </row>
    <row r="81" spans="1:7" ht="15.75" customHeight="1">
      <c r="A81" s="3">
        <v>21630</v>
      </c>
      <c r="B81" s="4">
        <v>45</v>
      </c>
      <c r="C81">
        <f t="shared" si="5"/>
        <v>36</v>
      </c>
      <c r="D81">
        <f t="shared" si="6"/>
        <v>9</v>
      </c>
      <c r="E81" s="4">
        <f t="shared" si="7"/>
        <v>9</v>
      </c>
      <c r="F81" s="24">
        <f t="shared" si="8"/>
        <v>81</v>
      </c>
      <c r="G81" s="5">
        <f t="shared" si="9"/>
        <v>0.2</v>
      </c>
    </row>
    <row r="82" spans="1:7" ht="15.75" customHeight="1">
      <c r="A82" s="3">
        <v>21631</v>
      </c>
      <c r="B82" s="4">
        <v>46</v>
      </c>
      <c r="C82">
        <f t="shared" si="5"/>
        <v>45</v>
      </c>
      <c r="D82">
        <f t="shared" si="6"/>
        <v>1</v>
      </c>
      <c r="E82" s="4">
        <f t="shared" si="7"/>
        <v>1</v>
      </c>
      <c r="F82" s="24">
        <f t="shared" si="8"/>
        <v>1</v>
      </c>
      <c r="G82" s="5">
        <f t="shared" si="9"/>
        <v>2.1739130434782608E-2</v>
      </c>
    </row>
    <row r="83" spans="1:7" ht="15.75" customHeight="1">
      <c r="A83" s="3">
        <v>21632</v>
      </c>
      <c r="B83" s="4">
        <v>43</v>
      </c>
      <c r="C83">
        <f t="shared" si="5"/>
        <v>46</v>
      </c>
      <c r="D83">
        <f t="shared" si="6"/>
        <v>-3</v>
      </c>
      <c r="E83" s="4">
        <f t="shared" si="7"/>
        <v>3</v>
      </c>
      <c r="F83" s="24">
        <f t="shared" si="8"/>
        <v>9</v>
      </c>
      <c r="G83" s="5">
        <f t="shared" si="9"/>
        <v>6.9767441860465115E-2</v>
      </c>
    </row>
    <row r="84" spans="1:7" ht="15.75" customHeight="1">
      <c r="A84" s="3">
        <v>21633</v>
      </c>
      <c r="B84" s="4">
        <v>38</v>
      </c>
      <c r="C84">
        <f t="shared" si="5"/>
        <v>43</v>
      </c>
      <c r="D84">
        <f t="shared" si="6"/>
        <v>-5</v>
      </c>
      <c r="E84" s="4">
        <f t="shared" si="7"/>
        <v>5</v>
      </c>
      <c r="F84" s="24">
        <f t="shared" si="8"/>
        <v>25</v>
      </c>
      <c r="G84" s="5">
        <f t="shared" si="9"/>
        <v>0.13157894736842105</v>
      </c>
    </row>
    <row r="85" spans="1:7" ht="15.75" customHeight="1">
      <c r="A85" s="3">
        <v>21634</v>
      </c>
      <c r="B85" s="4">
        <v>34</v>
      </c>
      <c r="C85">
        <f t="shared" si="5"/>
        <v>38</v>
      </c>
      <c r="D85">
        <f t="shared" si="6"/>
        <v>-4</v>
      </c>
      <c r="E85" s="4">
        <f t="shared" si="7"/>
        <v>4</v>
      </c>
      <c r="F85" s="24">
        <f t="shared" si="8"/>
        <v>16</v>
      </c>
      <c r="G85" s="5">
        <f t="shared" si="9"/>
        <v>0.11764705882352941</v>
      </c>
    </row>
    <row r="86" spans="1:7" ht="15.75" customHeight="1">
      <c r="A86" s="3">
        <v>21635</v>
      </c>
      <c r="B86" s="4">
        <v>35</v>
      </c>
      <c r="C86">
        <f t="shared" si="5"/>
        <v>34</v>
      </c>
      <c r="D86">
        <f t="shared" si="6"/>
        <v>1</v>
      </c>
      <c r="E86" s="4">
        <f t="shared" si="7"/>
        <v>1</v>
      </c>
      <c r="F86" s="24">
        <f t="shared" si="8"/>
        <v>1</v>
      </c>
      <c r="G86" s="5">
        <f t="shared" si="9"/>
        <v>2.8571428571428571E-2</v>
      </c>
    </row>
    <row r="87" spans="1:7" ht="15.75" customHeight="1">
      <c r="A87" s="3">
        <v>21636</v>
      </c>
      <c r="B87" s="4">
        <v>56</v>
      </c>
      <c r="C87">
        <f t="shared" si="5"/>
        <v>35</v>
      </c>
      <c r="D87">
        <f t="shared" si="6"/>
        <v>21</v>
      </c>
      <c r="E87" s="4">
        <f t="shared" si="7"/>
        <v>21</v>
      </c>
      <c r="F87" s="24">
        <f t="shared" si="8"/>
        <v>441</v>
      </c>
      <c r="G87" s="5">
        <f t="shared" si="9"/>
        <v>0.375</v>
      </c>
    </row>
    <row r="88" spans="1:7" ht="15.75" customHeight="1">
      <c r="A88" s="3">
        <v>21637</v>
      </c>
      <c r="B88" s="4">
        <v>36</v>
      </c>
      <c r="C88">
        <f t="shared" si="5"/>
        <v>56</v>
      </c>
      <c r="D88">
        <f t="shared" si="6"/>
        <v>-20</v>
      </c>
      <c r="E88" s="4">
        <f t="shared" si="7"/>
        <v>20</v>
      </c>
      <c r="F88" s="24">
        <f t="shared" si="8"/>
        <v>400</v>
      </c>
      <c r="G88" s="5">
        <f t="shared" si="9"/>
        <v>0.55555555555555558</v>
      </c>
    </row>
    <row r="89" spans="1:7" ht="15.75" customHeight="1">
      <c r="A89" s="3">
        <v>21638</v>
      </c>
      <c r="B89" s="4">
        <v>32</v>
      </c>
      <c r="C89">
        <f t="shared" si="5"/>
        <v>36</v>
      </c>
      <c r="D89">
        <f t="shared" si="6"/>
        <v>-4</v>
      </c>
      <c r="E89" s="4">
        <f t="shared" si="7"/>
        <v>4</v>
      </c>
      <c r="F89" s="24">
        <f t="shared" si="8"/>
        <v>16</v>
      </c>
      <c r="G89" s="5">
        <f t="shared" si="9"/>
        <v>0.125</v>
      </c>
    </row>
    <row r="90" spans="1:7" ht="15.75" customHeight="1">
      <c r="A90" s="3">
        <v>21639</v>
      </c>
      <c r="B90" s="4">
        <v>50</v>
      </c>
      <c r="C90">
        <f t="shared" si="5"/>
        <v>32</v>
      </c>
      <c r="D90">
        <f t="shared" si="6"/>
        <v>18</v>
      </c>
      <c r="E90" s="4">
        <f t="shared" si="7"/>
        <v>18</v>
      </c>
      <c r="F90" s="24">
        <f t="shared" si="8"/>
        <v>324</v>
      </c>
      <c r="G90" s="5">
        <f t="shared" si="9"/>
        <v>0.36</v>
      </c>
    </row>
    <row r="91" spans="1:7" ht="15.75" customHeight="1">
      <c r="A91" s="3">
        <v>21640</v>
      </c>
      <c r="B91" s="4">
        <v>41</v>
      </c>
      <c r="C91">
        <f t="shared" si="5"/>
        <v>50</v>
      </c>
      <c r="D91">
        <f t="shared" si="6"/>
        <v>-9</v>
      </c>
      <c r="E91" s="4">
        <f t="shared" si="7"/>
        <v>9</v>
      </c>
      <c r="F91" s="24">
        <f t="shared" si="8"/>
        <v>81</v>
      </c>
      <c r="G91" s="5">
        <f t="shared" si="9"/>
        <v>0.21951219512195122</v>
      </c>
    </row>
    <row r="92" spans="1:7" ht="15.75" customHeight="1">
      <c r="A92" s="3">
        <v>21641</v>
      </c>
      <c r="B92" s="4">
        <v>39</v>
      </c>
      <c r="C92">
        <f t="shared" si="5"/>
        <v>41</v>
      </c>
      <c r="D92">
        <f t="shared" si="6"/>
        <v>-2</v>
      </c>
      <c r="E92" s="4">
        <f t="shared" si="7"/>
        <v>2</v>
      </c>
      <c r="F92" s="24">
        <f t="shared" si="8"/>
        <v>4</v>
      </c>
      <c r="G92" s="5">
        <f t="shared" si="9"/>
        <v>5.128205128205128E-2</v>
      </c>
    </row>
    <row r="93" spans="1:7" ht="15.75" customHeight="1">
      <c r="A93" s="3">
        <v>21642</v>
      </c>
      <c r="B93" s="4">
        <v>41</v>
      </c>
      <c r="C93">
        <f t="shared" si="5"/>
        <v>39</v>
      </c>
      <c r="D93">
        <f t="shared" si="6"/>
        <v>2</v>
      </c>
      <c r="E93" s="4">
        <f t="shared" si="7"/>
        <v>2</v>
      </c>
      <c r="F93" s="24">
        <f t="shared" si="8"/>
        <v>4</v>
      </c>
      <c r="G93" s="5">
        <f t="shared" si="9"/>
        <v>4.878048780487805E-2</v>
      </c>
    </row>
    <row r="94" spans="1:7" ht="15.75" customHeight="1">
      <c r="A94" s="3">
        <v>21643</v>
      </c>
      <c r="B94" s="4">
        <v>47</v>
      </c>
      <c r="C94">
        <f t="shared" si="5"/>
        <v>41</v>
      </c>
      <c r="D94">
        <f t="shared" si="6"/>
        <v>6</v>
      </c>
      <c r="E94" s="4">
        <f t="shared" si="7"/>
        <v>6</v>
      </c>
      <c r="F94" s="24">
        <f t="shared" si="8"/>
        <v>36</v>
      </c>
      <c r="G94" s="5">
        <f t="shared" si="9"/>
        <v>0.1276595744680851</v>
      </c>
    </row>
    <row r="95" spans="1:7" ht="15.75" customHeight="1">
      <c r="A95" s="3">
        <v>21644</v>
      </c>
      <c r="B95" s="4">
        <v>34</v>
      </c>
      <c r="C95">
        <f t="shared" si="5"/>
        <v>47</v>
      </c>
      <c r="D95">
        <f t="shared" si="6"/>
        <v>-13</v>
      </c>
      <c r="E95" s="4">
        <f t="shared" si="7"/>
        <v>13</v>
      </c>
      <c r="F95" s="24">
        <f t="shared" si="8"/>
        <v>169</v>
      </c>
      <c r="G95" s="5">
        <f t="shared" si="9"/>
        <v>0.38235294117647056</v>
      </c>
    </row>
    <row r="96" spans="1:7" ht="15.75" customHeight="1">
      <c r="A96" s="3">
        <v>21645</v>
      </c>
      <c r="B96" s="4">
        <v>36</v>
      </c>
      <c r="C96">
        <f t="shared" si="5"/>
        <v>34</v>
      </c>
      <c r="D96">
        <f t="shared" si="6"/>
        <v>2</v>
      </c>
      <c r="E96" s="4">
        <f t="shared" si="7"/>
        <v>2</v>
      </c>
      <c r="F96" s="24">
        <f t="shared" si="8"/>
        <v>4</v>
      </c>
      <c r="G96" s="5">
        <f t="shared" si="9"/>
        <v>5.5555555555555552E-2</v>
      </c>
    </row>
    <row r="97" spans="1:7" ht="15.75" customHeight="1">
      <c r="A97" s="3">
        <v>21646</v>
      </c>
      <c r="B97" s="4">
        <v>33</v>
      </c>
      <c r="C97">
        <f t="shared" si="5"/>
        <v>36</v>
      </c>
      <c r="D97">
        <f t="shared" si="6"/>
        <v>-3</v>
      </c>
      <c r="E97" s="4">
        <f t="shared" si="7"/>
        <v>3</v>
      </c>
      <c r="F97" s="24">
        <f t="shared" si="8"/>
        <v>9</v>
      </c>
      <c r="G97" s="5">
        <f t="shared" si="9"/>
        <v>9.0909090909090912E-2</v>
      </c>
    </row>
    <row r="98" spans="1:7" ht="15.75" customHeight="1">
      <c r="A98" s="3">
        <v>21647</v>
      </c>
      <c r="B98" s="4">
        <v>35</v>
      </c>
      <c r="C98">
        <f t="shared" si="5"/>
        <v>33</v>
      </c>
      <c r="D98">
        <f t="shared" si="6"/>
        <v>2</v>
      </c>
      <c r="E98" s="4">
        <f t="shared" si="7"/>
        <v>2</v>
      </c>
      <c r="F98" s="24">
        <f t="shared" si="8"/>
        <v>4</v>
      </c>
      <c r="G98" s="5">
        <f t="shared" si="9"/>
        <v>5.7142857142857141E-2</v>
      </c>
    </row>
    <row r="99" spans="1:7" ht="15.75" customHeight="1">
      <c r="A99" s="3">
        <v>21648</v>
      </c>
      <c r="B99" s="4">
        <v>38</v>
      </c>
      <c r="C99">
        <f t="shared" si="5"/>
        <v>35</v>
      </c>
      <c r="D99">
        <f t="shared" si="6"/>
        <v>3</v>
      </c>
      <c r="E99" s="4">
        <f t="shared" si="7"/>
        <v>3</v>
      </c>
      <c r="F99" s="24">
        <f t="shared" si="8"/>
        <v>9</v>
      </c>
      <c r="G99" s="5">
        <f t="shared" si="9"/>
        <v>7.8947368421052627E-2</v>
      </c>
    </row>
    <row r="100" spans="1:7" ht="15.75" customHeight="1">
      <c r="A100" s="3">
        <v>21649</v>
      </c>
      <c r="B100" s="4">
        <v>38</v>
      </c>
      <c r="C100">
        <f t="shared" si="5"/>
        <v>38</v>
      </c>
      <c r="D100">
        <f t="shared" si="6"/>
        <v>0</v>
      </c>
      <c r="E100" s="4">
        <f t="shared" si="7"/>
        <v>0</v>
      </c>
      <c r="F100" s="24">
        <f t="shared" si="8"/>
        <v>0</v>
      </c>
      <c r="G100" s="5">
        <f t="shared" si="9"/>
        <v>0</v>
      </c>
    </row>
    <row r="101" spans="1:7" ht="15.75" customHeight="1">
      <c r="A101" s="3">
        <v>21650</v>
      </c>
      <c r="B101" s="4">
        <v>34</v>
      </c>
      <c r="C101">
        <f t="shared" si="5"/>
        <v>38</v>
      </c>
      <c r="D101">
        <f t="shared" si="6"/>
        <v>-4</v>
      </c>
      <c r="E101" s="4">
        <f t="shared" si="7"/>
        <v>4</v>
      </c>
      <c r="F101" s="24">
        <f t="shared" si="8"/>
        <v>16</v>
      </c>
      <c r="G101" s="5">
        <f t="shared" si="9"/>
        <v>0.11764705882352941</v>
      </c>
    </row>
    <row r="102" spans="1:7" ht="15.75" customHeight="1">
      <c r="A102" s="3">
        <v>21651</v>
      </c>
      <c r="B102" s="4">
        <v>53</v>
      </c>
      <c r="C102">
        <f t="shared" si="5"/>
        <v>34</v>
      </c>
      <c r="D102">
        <f t="shared" si="6"/>
        <v>19</v>
      </c>
      <c r="E102" s="4">
        <f t="shared" si="7"/>
        <v>19</v>
      </c>
      <c r="F102" s="24">
        <f t="shared" si="8"/>
        <v>361</v>
      </c>
      <c r="G102" s="5">
        <f t="shared" si="9"/>
        <v>0.35849056603773582</v>
      </c>
    </row>
    <row r="103" spans="1:7" ht="15.75" customHeight="1">
      <c r="A103" s="3">
        <v>21652</v>
      </c>
      <c r="B103" s="4">
        <v>34</v>
      </c>
      <c r="C103">
        <f t="shared" si="5"/>
        <v>53</v>
      </c>
      <c r="D103">
        <f t="shared" si="6"/>
        <v>-19</v>
      </c>
      <c r="E103" s="4">
        <f t="shared" si="7"/>
        <v>19</v>
      </c>
      <c r="F103" s="24">
        <f t="shared" si="8"/>
        <v>361</v>
      </c>
      <c r="G103" s="5">
        <f t="shared" si="9"/>
        <v>0.55882352941176472</v>
      </c>
    </row>
    <row r="104" spans="1:7" ht="15.75" customHeight="1">
      <c r="A104" s="3">
        <v>21653</v>
      </c>
      <c r="B104" s="4">
        <v>34</v>
      </c>
      <c r="C104">
        <f t="shared" si="5"/>
        <v>34</v>
      </c>
      <c r="D104">
        <f t="shared" si="6"/>
        <v>0</v>
      </c>
      <c r="E104" s="4">
        <f t="shared" si="7"/>
        <v>0</v>
      </c>
      <c r="F104" s="24">
        <f t="shared" si="8"/>
        <v>0</v>
      </c>
      <c r="G104" s="5">
        <f t="shared" si="9"/>
        <v>0</v>
      </c>
    </row>
    <row r="105" spans="1:7" ht="15.75" customHeight="1">
      <c r="A105" s="3">
        <v>21654</v>
      </c>
      <c r="B105" s="4">
        <v>38</v>
      </c>
      <c r="C105">
        <f t="shared" si="5"/>
        <v>34</v>
      </c>
      <c r="D105">
        <f t="shared" si="6"/>
        <v>4</v>
      </c>
      <c r="E105" s="4">
        <f t="shared" si="7"/>
        <v>4</v>
      </c>
      <c r="F105" s="24">
        <f t="shared" si="8"/>
        <v>16</v>
      </c>
      <c r="G105" s="5">
        <f t="shared" si="9"/>
        <v>0.10526315789473684</v>
      </c>
    </row>
    <row r="106" spans="1:7" ht="15.75" customHeight="1">
      <c r="A106" s="3">
        <v>21655</v>
      </c>
      <c r="B106" s="4">
        <v>35</v>
      </c>
      <c r="C106">
        <f t="shared" si="5"/>
        <v>38</v>
      </c>
      <c r="D106">
        <f t="shared" si="6"/>
        <v>-3</v>
      </c>
      <c r="E106" s="4">
        <f t="shared" si="7"/>
        <v>3</v>
      </c>
      <c r="F106" s="24">
        <f t="shared" si="8"/>
        <v>9</v>
      </c>
      <c r="G106" s="5">
        <f t="shared" si="9"/>
        <v>8.5714285714285715E-2</v>
      </c>
    </row>
    <row r="107" spans="1:7" ht="15.75" customHeight="1">
      <c r="A107" s="3">
        <v>21656</v>
      </c>
      <c r="B107" s="4">
        <v>32</v>
      </c>
      <c r="C107">
        <f t="shared" si="5"/>
        <v>35</v>
      </c>
      <c r="D107">
        <f t="shared" si="6"/>
        <v>-3</v>
      </c>
      <c r="E107" s="4">
        <f t="shared" si="7"/>
        <v>3</v>
      </c>
      <c r="F107" s="24">
        <f t="shared" si="8"/>
        <v>9</v>
      </c>
      <c r="G107" s="5">
        <f t="shared" si="9"/>
        <v>9.375E-2</v>
      </c>
    </row>
    <row r="108" spans="1:7" ht="15.75" customHeight="1">
      <c r="A108" s="3">
        <v>21657</v>
      </c>
      <c r="B108" s="4">
        <v>42</v>
      </c>
      <c r="C108">
        <f t="shared" si="5"/>
        <v>32</v>
      </c>
      <c r="D108">
        <f t="shared" si="6"/>
        <v>10</v>
      </c>
      <c r="E108" s="4">
        <f t="shared" si="7"/>
        <v>10</v>
      </c>
      <c r="F108" s="24">
        <f t="shared" si="8"/>
        <v>100</v>
      </c>
      <c r="G108" s="5">
        <f t="shared" si="9"/>
        <v>0.23809523809523808</v>
      </c>
    </row>
    <row r="109" spans="1:7" ht="15.75" customHeight="1">
      <c r="A109" s="3">
        <v>21658</v>
      </c>
      <c r="B109" s="4">
        <v>34</v>
      </c>
      <c r="C109">
        <f t="shared" si="5"/>
        <v>42</v>
      </c>
      <c r="D109">
        <f t="shared" si="6"/>
        <v>-8</v>
      </c>
      <c r="E109" s="4">
        <f t="shared" si="7"/>
        <v>8</v>
      </c>
      <c r="F109" s="24">
        <f t="shared" si="8"/>
        <v>64</v>
      </c>
      <c r="G109" s="5">
        <f t="shared" si="9"/>
        <v>0.23529411764705882</v>
      </c>
    </row>
    <row r="110" spans="1:7" ht="15.75" customHeight="1">
      <c r="A110" s="3">
        <v>21659</v>
      </c>
      <c r="B110" s="4">
        <v>46</v>
      </c>
      <c r="C110">
        <f t="shared" si="5"/>
        <v>34</v>
      </c>
      <c r="D110">
        <f t="shared" si="6"/>
        <v>12</v>
      </c>
      <c r="E110" s="4">
        <f t="shared" si="7"/>
        <v>12</v>
      </c>
      <c r="F110" s="24">
        <f t="shared" si="8"/>
        <v>144</v>
      </c>
      <c r="G110" s="5">
        <f t="shared" si="9"/>
        <v>0.2608695652173913</v>
      </c>
    </row>
    <row r="111" spans="1:7" ht="15.75" customHeight="1">
      <c r="A111" s="3">
        <v>21660</v>
      </c>
      <c r="B111" s="4">
        <v>30</v>
      </c>
      <c r="C111">
        <f t="shared" si="5"/>
        <v>46</v>
      </c>
      <c r="D111">
        <f t="shared" si="6"/>
        <v>-16</v>
      </c>
      <c r="E111" s="4">
        <f t="shared" si="7"/>
        <v>16</v>
      </c>
      <c r="F111" s="24">
        <f t="shared" si="8"/>
        <v>256</v>
      </c>
      <c r="G111" s="5">
        <f t="shared" si="9"/>
        <v>0.53333333333333333</v>
      </c>
    </row>
    <row r="112" spans="1:7" ht="15.75" customHeight="1">
      <c r="A112" s="3">
        <v>21661</v>
      </c>
      <c r="B112" s="4">
        <v>46</v>
      </c>
      <c r="C112">
        <f t="shared" si="5"/>
        <v>30</v>
      </c>
      <c r="D112">
        <f t="shared" si="6"/>
        <v>16</v>
      </c>
      <c r="E112" s="4">
        <f t="shared" si="7"/>
        <v>16</v>
      </c>
      <c r="F112" s="24">
        <f t="shared" si="8"/>
        <v>256</v>
      </c>
      <c r="G112" s="5">
        <f t="shared" si="9"/>
        <v>0.34782608695652173</v>
      </c>
    </row>
    <row r="113" spans="1:7" ht="15.75" customHeight="1">
      <c r="A113" s="3">
        <v>21662</v>
      </c>
      <c r="B113" s="4">
        <v>45</v>
      </c>
      <c r="C113">
        <f t="shared" si="5"/>
        <v>46</v>
      </c>
      <c r="D113">
        <f t="shared" si="6"/>
        <v>-1</v>
      </c>
      <c r="E113" s="4">
        <f t="shared" si="7"/>
        <v>1</v>
      </c>
      <c r="F113" s="24">
        <f t="shared" si="8"/>
        <v>1</v>
      </c>
      <c r="G113" s="5">
        <f t="shared" si="9"/>
        <v>2.2222222222222223E-2</v>
      </c>
    </row>
    <row r="114" spans="1:7" ht="15.75" customHeight="1">
      <c r="A114" s="3">
        <v>21663</v>
      </c>
      <c r="B114" s="4">
        <v>54</v>
      </c>
      <c r="C114">
        <f t="shared" si="5"/>
        <v>45</v>
      </c>
      <c r="D114">
        <f t="shared" si="6"/>
        <v>9</v>
      </c>
      <c r="E114" s="4">
        <f t="shared" si="7"/>
        <v>9</v>
      </c>
      <c r="F114" s="24">
        <f t="shared" si="8"/>
        <v>81</v>
      </c>
      <c r="G114" s="5">
        <f t="shared" si="9"/>
        <v>0.16666666666666666</v>
      </c>
    </row>
    <row r="115" spans="1:7" ht="15.75" customHeight="1">
      <c r="A115" s="3">
        <v>21664</v>
      </c>
      <c r="B115" s="4">
        <v>34</v>
      </c>
      <c r="C115">
        <f t="shared" si="5"/>
        <v>54</v>
      </c>
      <c r="D115">
        <f t="shared" si="6"/>
        <v>-20</v>
      </c>
      <c r="E115" s="4">
        <f t="shared" si="7"/>
        <v>20</v>
      </c>
      <c r="F115" s="24">
        <f t="shared" si="8"/>
        <v>400</v>
      </c>
      <c r="G115" s="5">
        <f t="shared" si="9"/>
        <v>0.58823529411764708</v>
      </c>
    </row>
    <row r="116" spans="1:7" ht="15.75" customHeight="1">
      <c r="A116" s="3">
        <v>21665</v>
      </c>
      <c r="B116" s="4">
        <v>37</v>
      </c>
      <c r="C116">
        <f t="shared" si="5"/>
        <v>34</v>
      </c>
      <c r="D116">
        <f t="shared" si="6"/>
        <v>3</v>
      </c>
      <c r="E116" s="4">
        <f t="shared" si="7"/>
        <v>3</v>
      </c>
      <c r="F116" s="24">
        <f t="shared" si="8"/>
        <v>9</v>
      </c>
      <c r="G116" s="5">
        <f t="shared" si="9"/>
        <v>8.1081081081081086E-2</v>
      </c>
    </row>
    <row r="117" spans="1:7" ht="15.75" customHeight="1">
      <c r="A117" s="3">
        <v>21666</v>
      </c>
      <c r="B117" s="4">
        <v>35</v>
      </c>
      <c r="C117">
        <f t="shared" si="5"/>
        <v>37</v>
      </c>
      <c r="D117">
        <f t="shared" si="6"/>
        <v>-2</v>
      </c>
      <c r="E117" s="4">
        <f t="shared" si="7"/>
        <v>2</v>
      </c>
      <c r="F117" s="24">
        <f t="shared" si="8"/>
        <v>4</v>
      </c>
      <c r="G117" s="5">
        <f t="shared" si="9"/>
        <v>5.7142857142857141E-2</v>
      </c>
    </row>
    <row r="118" spans="1:7" ht="15.75" customHeight="1">
      <c r="A118" s="3">
        <v>21667</v>
      </c>
      <c r="B118" s="4">
        <v>40</v>
      </c>
      <c r="C118">
        <f t="shared" si="5"/>
        <v>35</v>
      </c>
      <c r="D118">
        <f t="shared" si="6"/>
        <v>5</v>
      </c>
      <c r="E118" s="4">
        <f t="shared" si="7"/>
        <v>5</v>
      </c>
      <c r="F118" s="24">
        <f t="shared" si="8"/>
        <v>25</v>
      </c>
      <c r="G118" s="5">
        <f t="shared" si="9"/>
        <v>0.125</v>
      </c>
    </row>
    <row r="119" spans="1:7" ht="15.75" customHeight="1">
      <c r="A119" s="3">
        <v>21668</v>
      </c>
      <c r="B119" s="4">
        <v>42</v>
      </c>
      <c r="C119">
        <f t="shared" si="5"/>
        <v>40</v>
      </c>
      <c r="D119">
        <f t="shared" si="6"/>
        <v>2</v>
      </c>
      <c r="E119" s="4">
        <f t="shared" si="7"/>
        <v>2</v>
      </c>
      <c r="F119" s="24">
        <f t="shared" si="8"/>
        <v>4</v>
      </c>
      <c r="G119" s="5">
        <f t="shared" si="9"/>
        <v>4.7619047619047616E-2</v>
      </c>
    </row>
    <row r="120" spans="1:7" ht="15.75" customHeight="1">
      <c r="A120" s="3">
        <v>21669</v>
      </c>
      <c r="B120" s="4">
        <v>58</v>
      </c>
      <c r="C120">
        <f t="shared" si="5"/>
        <v>42</v>
      </c>
      <c r="D120">
        <f t="shared" si="6"/>
        <v>16</v>
      </c>
      <c r="E120" s="4">
        <f t="shared" si="7"/>
        <v>16</v>
      </c>
      <c r="F120" s="24">
        <f t="shared" si="8"/>
        <v>256</v>
      </c>
      <c r="G120" s="5">
        <f t="shared" si="9"/>
        <v>0.27586206896551724</v>
      </c>
    </row>
    <row r="121" spans="1:7" ht="15.75" customHeight="1">
      <c r="A121" s="3">
        <v>21670</v>
      </c>
      <c r="B121" s="4">
        <v>51</v>
      </c>
      <c r="C121">
        <f t="shared" si="5"/>
        <v>58</v>
      </c>
      <c r="D121">
        <f t="shared" si="6"/>
        <v>-7</v>
      </c>
      <c r="E121" s="4">
        <f t="shared" si="7"/>
        <v>7</v>
      </c>
      <c r="F121" s="24">
        <f t="shared" si="8"/>
        <v>49</v>
      </c>
      <c r="G121" s="5">
        <f t="shared" si="9"/>
        <v>0.13725490196078433</v>
      </c>
    </row>
    <row r="122" spans="1:7" ht="15.75" customHeight="1">
      <c r="A122" s="3">
        <v>21671</v>
      </c>
      <c r="B122" s="4">
        <v>32</v>
      </c>
      <c r="C122">
        <f t="shared" si="5"/>
        <v>51</v>
      </c>
      <c r="D122">
        <f t="shared" si="6"/>
        <v>-19</v>
      </c>
      <c r="E122" s="4">
        <f t="shared" si="7"/>
        <v>19</v>
      </c>
      <c r="F122" s="24">
        <f t="shared" si="8"/>
        <v>361</v>
      </c>
      <c r="G122" s="5">
        <f t="shared" si="9"/>
        <v>0.59375</v>
      </c>
    </row>
    <row r="123" spans="1:7" ht="15.75" customHeight="1">
      <c r="A123" s="3">
        <v>21672</v>
      </c>
      <c r="B123" s="4">
        <v>35</v>
      </c>
      <c r="C123">
        <f t="shared" si="5"/>
        <v>32</v>
      </c>
      <c r="D123">
        <f t="shared" si="6"/>
        <v>3</v>
      </c>
      <c r="E123" s="4">
        <f t="shared" si="7"/>
        <v>3</v>
      </c>
      <c r="F123" s="24">
        <f t="shared" si="8"/>
        <v>9</v>
      </c>
      <c r="G123" s="5">
        <f t="shared" si="9"/>
        <v>8.5714285714285715E-2</v>
      </c>
    </row>
    <row r="124" spans="1:7" ht="15.75" customHeight="1">
      <c r="A124" s="3">
        <v>21673</v>
      </c>
      <c r="B124" s="4">
        <v>38</v>
      </c>
      <c r="C124">
        <f t="shared" si="5"/>
        <v>35</v>
      </c>
      <c r="D124">
        <f t="shared" si="6"/>
        <v>3</v>
      </c>
      <c r="E124" s="4">
        <f t="shared" si="7"/>
        <v>3</v>
      </c>
      <c r="F124" s="24">
        <f t="shared" si="8"/>
        <v>9</v>
      </c>
      <c r="G124" s="5">
        <f t="shared" si="9"/>
        <v>7.8947368421052627E-2</v>
      </c>
    </row>
    <row r="125" spans="1:7" ht="15.75" customHeight="1">
      <c r="A125" s="3">
        <v>21674</v>
      </c>
      <c r="B125" s="4">
        <v>33</v>
      </c>
      <c r="C125">
        <f t="shared" si="5"/>
        <v>38</v>
      </c>
      <c r="D125">
        <f t="shared" si="6"/>
        <v>-5</v>
      </c>
      <c r="E125" s="4">
        <f t="shared" si="7"/>
        <v>5</v>
      </c>
      <c r="F125" s="24">
        <f t="shared" si="8"/>
        <v>25</v>
      </c>
      <c r="G125" s="5">
        <f t="shared" si="9"/>
        <v>0.15151515151515152</v>
      </c>
    </row>
    <row r="126" spans="1:7" ht="15.75" customHeight="1">
      <c r="A126" s="3">
        <v>21675</v>
      </c>
      <c r="B126" s="4">
        <v>39</v>
      </c>
      <c r="C126">
        <f t="shared" si="5"/>
        <v>33</v>
      </c>
      <c r="D126">
        <f t="shared" si="6"/>
        <v>6</v>
      </c>
      <c r="E126" s="4">
        <f t="shared" si="7"/>
        <v>6</v>
      </c>
      <c r="F126" s="24">
        <f t="shared" si="8"/>
        <v>36</v>
      </c>
      <c r="G126" s="5">
        <f t="shared" si="9"/>
        <v>0.15384615384615385</v>
      </c>
    </row>
    <row r="127" spans="1:7" ht="15.75" customHeight="1">
      <c r="A127" s="3">
        <v>21676</v>
      </c>
      <c r="B127" s="4">
        <v>47</v>
      </c>
      <c r="C127">
        <f t="shared" si="5"/>
        <v>39</v>
      </c>
      <c r="D127">
        <f t="shared" si="6"/>
        <v>8</v>
      </c>
      <c r="E127" s="4">
        <f t="shared" si="7"/>
        <v>8</v>
      </c>
      <c r="F127" s="24">
        <f t="shared" si="8"/>
        <v>64</v>
      </c>
      <c r="G127" s="5">
        <f t="shared" si="9"/>
        <v>0.1702127659574468</v>
      </c>
    </row>
    <row r="128" spans="1:7" ht="15.75" customHeight="1">
      <c r="A128" s="3">
        <v>21677</v>
      </c>
      <c r="B128" s="4">
        <v>38</v>
      </c>
      <c r="C128">
        <f t="shared" si="5"/>
        <v>47</v>
      </c>
      <c r="D128">
        <f t="shared" si="6"/>
        <v>-9</v>
      </c>
      <c r="E128" s="4">
        <f t="shared" si="7"/>
        <v>9</v>
      </c>
      <c r="F128" s="24">
        <f t="shared" si="8"/>
        <v>81</v>
      </c>
      <c r="G128" s="5">
        <f t="shared" si="9"/>
        <v>0.23684210526315788</v>
      </c>
    </row>
    <row r="129" spans="1:7" ht="15.75" customHeight="1">
      <c r="A129" s="3">
        <v>21678</v>
      </c>
      <c r="B129" s="4">
        <v>52</v>
      </c>
      <c r="C129">
        <f t="shared" si="5"/>
        <v>38</v>
      </c>
      <c r="D129">
        <f t="shared" si="6"/>
        <v>14</v>
      </c>
      <c r="E129" s="4">
        <f t="shared" si="7"/>
        <v>14</v>
      </c>
      <c r="F129" s="24">
        <f t="shared" si="8"/>
        <v>196</v>
      </c>
      <c r="G129" s="5">
        <f t="shared" si="9"/>
        <v>0.26923076923076922</v>
      </c>
    </row>
    <row r="130" spans="1:7" ht="15.75" customHeight="1">
      <c r="A130" s="3">
        <v>21679</v>
      </c>
      <c r="B130" s="4">
        <v>30</v>
      </c>
      <c r="C130">
        <f t="shared" si="5"/>
        <v>52</v>
      </c>
      <c r="D130">
        <f t="shared" si="6"/>
        <v>-22</v>
      </c>
      <c r="E130" s="4">
        <f t="shared" si="7"/>
        <v>22</v>
      </c>
      <c r="F130" s="24">
        <f t="shared" si="8"/>
        <v>484</v>
      </c>
      <c r="G130" s="5">
        <f t="shared" si="9"/>
        <v>0.73333333333333328</v>
      </c>
    </row>
    <row r="131" spans="1:7" ht="15.75" customHeight="1">
      <c r="A131" s="3">
        <v>21680</v>
      </c>
      <c r="B131" s="4">
        <v>34</v>
      </c>
      <c r="C131">
        <f t="shared" si="5"/>
        <v>30</v>
      </c>
      <c r="D131">
        <f t="shared" si="6"/>
        <v>4</v>
      </c>
      <c r="E131" s="4">
        <f t="shared" si="7"/>
        <v>4</v>
      </c>
      <c r="F131" s="24">
        <f t="shared" si="8"/>
        <v>16</v>
      </c>
      <c r="G131" s="5">
        <f t="shared" si="9"/>
        <v>0.11764705882352941</v>
      </c>
    </row>
    <row r="132" spans="1:7" ht="15.75" customHeight="1">
      <c r="A132" s="3">
        <v>21681</v>
      </c>
      <c r="B132" s="4">
        <v>40</v>
      </c>
      <c r="C132">
        <f t="shared" si="5"/>
        <v>34</v>
      </c>
      <c r="D132">
        <f t="shared" si="6"/>
        <v>6</v>
      </c>
      <c r="E132" s="4">
        <f t="shared" si="7"/>
        <v>6</v>
      </c>
      <c r="F132" s="24">
        <f t="shared" si="8"/>
        <v>36</v>
      </c>
      <c r="G132" s="5">
        <f t="shared" si="9"/>
        <v>0.15</v>
      </c>
    </row>
    <row r="133" spans="1:7" ht="15.75" customHeight="1">
      <c r="A133" s="3">
        <v>21682</v>
      </c>
      <c r="B133" s="4">
        <v>35</v>
      </c>
      <c r="C133">
        <f t="shared" ref="C133:C196" si="10">B132</f>
        <v>40</v>
      </c>
      <c r="D133">
        <f t="shared" ref="D133:D196" si="11">B133-C133</f>
        <v>-5</v>
      </c>
      <c r="E133" s="4">
        <f t="shared" ref="E133:E196" si="12">ABS(D133)</f>
        <v>5</v>
      </c>
      <c r="F133" s="24">
        <f t="shared" ref="F133:F196" si="13">E133^2</f>
        <v>25</v>
      </c>
      <c r="G133" s="5">
        <f t="shared" ref="G133:G196" si="14">E133/B133</f>
        <v>0.14285714285714285</v>
      </c>
    </row>
    <row r="134" spans="1:7" ht="15.75" customHeight="1">
      <c r="A134" s="3">
        <v>21683</v>
      </c>
      <c r="B134" s="4">
        <v>42</v>
      </c>
      <c r="C134">
        <f t="shared" si="10"/>
        <v>35</v>
      </c>
      <c r="D134">
        <f t="shared" si="11"/>
        <v>7</v>
      </c>
      <c r="E134" s="4">
        <f t="shared" si="12"/>
        <v>7</v>
      </c>
      <c r="F134" s="24">
        <f t="shared" si="13"/>
        <v>49</v>
      </c>
      <c r="G134" s="5">
        <f t="shared" si="14"/>
        <v>0.16666666666666666</v>
      </c>
    </row>
    <row r="135" spans="1:7" ht="15.75" customHeight="1">
      <c r="A135" s="3">
        <v>21684</v>
      </c>
      <c r="B135" s="4">
        <v>41</v>
      </c>
      <c r="C135">
        <f t="shared" si="10"/>
        <v>42</v>
      </c>
      <c r="D135">
        <f t="shared" si="11"/>
        <v>-1</v>
      </c>
      <c r="E135" s="4">
        <f t="shared" si="12"/>
        <v>1</v>
      </c>
      <c r="F135" s="24">
        <f t="shared" si="13"/>
        <v>1</v>
      </c>
      <c r="G135" s="5">
        <f t="shared" si="14"/>
        <v>2.4390243902439025E-2</v>
      </c>
    </row>
    <row r="136" spans="1:7" ht="15.75" customHeight="1">
      <c r="A136" s="3">
        <v>21685</v>
      </c>
      <c r="B136" s="4">
        <v>42</v>
      </c>
      <c r="C136">
        <f t="shared" si="10"/>
        <v>41</v>
      </c>
      <c r="D136">
        <f t="shared" si="11"/>
        <v>1</v>
      </c>
      <c r="E136" s="4">
        <f t="shared" si="12"/>
        <v>1</v>
      </c>
      <c r="F136" s="24">
        <f t="shared" si="13"/>
        <v>1</v>
      </c>
      <c r="G136" s="5">
        <f t="shared" si="14"/>
        <v>2.3809523809523808E-2</v>
      </c>
    </row>
    <row r="137" spans="1:7" ht="15.75" customHeight="1">
      <c r="A137" s="3">
        <v>21686</v>
      </c>
      <c r="B137" s="4">
        <v>38</v>
      </c>
      <c r="C137">
        <f t="shared" si="10"/>
        <v>42</v>
      </c>
      <c r="D137">
        <f t="shared" si="11"/>
        <v>-4</v>
      </c>
      <c r="E137" s="4">
        <f t="shared" si="12"/>
        <v>4</v>
      </c>
      <c r="F137" s="24">
        <f t="shared" si="13"/>
        <v>16</v>
      </c>
      <c r="G137" s="5">
        <f t="shared" si="14"/>
        <v>0.10526315789473684</v>
      </c>
    </row>
    <row r="138" spans="1:7" ht="15.75" customHeight="1">
      <c r="A138" s="3">
        <v>21687</v>
      </c>
      <c r="B138" s="4">
        <v>24</v>
      </c>
      <c r="C138">
        <f t="shared" si="10"/>
        <v>38</v>
      </c>
      <c r="D138">
        <f t="shared" si="11"/>
        <v>-14</v>
      </c>
      <c r="E138" s="4">
        <f t="shared" si="12"/>
        <v>14</v>
      </c>
      <c r="F138" s="24">
        <f t="shared" si="13"/>
        <v>196</v>
      </c>
      <c r="G138" s="5">
        <f t="shared" si="14"/>
        <v>0.58333333333333337</v>
      </c>
    </row>
    <row r="139" spans="1:7" ht="15.75" customHeight="1">
      <c r="A139" s="3">
        <v>21688</v>
      </c>
      <c r="B139" s="4">
        <v>34</v>
      </c>
      <c r="C139">
        <f t="shared" si="10"/>
        <v>24</v>
      </c>
      <c r="D139">
        <f t="shared" si="11"/>
        <v>10</v>
      </c>
      <c r="E139" s="4">
        <f t="shared" si="12"/>
        <v>10</v>
      </c>
      <c r="F139" s="24">
        <f t="shared" si="13"/>
        <v>100</v>
      </c>
      <c r="G139" s="5">
        <f t="shared" si="14"/>
        <v>0.29411764705882354</v>
      </c>
    </row>
    <row r="140" spans="1:7" ht="15.75" customHeight="1">
      <c r="A140" s="3">
        <v>21689</v>
      </c>
      <c r="B140" s="4">
        <v>43</v>
      </c>
      <c r="C140">
        <f t="shared" si="10"/>
        <v>34</v>
      </c>
      <c r="D140">
        <f t="shared" si="11"/>
        <v>9</v>
      </c>
      <c r="E140" s="4">
        <f t="shared" si="12"/>
        <v>9</v>
      </c>
      <c r="F140" s="24">
        <f t="shared" si="13"/>
        <v>81</v>
      </c>
      <c r="G140" s="5">
        <f t="shared" si="14"/>
        <v>0.20930232558139536</v>
      </c>
    </row>
    <row r="141" spans="1:7" ht="15.75" customHeight="1">
      <c r="A141" s="3">
        <v>21690</v>
      </c>
      <c r="B141" s="4">
        <v>36</v>
      </c>
      <c r="C141">
        <f t="shared" si="10"/>
        <v>43</v>
      </c>
      <c r="D141">
        <f t="shared" si="11"/>
        <v>-7</v>
      </c>
      <c r="E141" s="4">
        <f t="shared" si="12"/>
        <v>7</v>
      </c>
      <c r="F141" s="24">
        <f t="shared" si="13"/>
        <v>49</v>
      </c>
      <c r="G141" s="5">
        <f t="shared" si="14"/>
        <v>0.19444444444444445</v>
      </c>
    </row>
    <row r="142" spans="1:7" ht="15.75" customHeight="1">
      <c r="A142" s="3">
        <v>21691</v>
      </c>
      <c r="B142" s="4">
        <v>55</v>
      </c>
      <c r="C142">
        <f t="shared" si="10"/>
        <v>36</v>
      </c>
      <c r="D142">
        <f t="shared" si="11"/>
        <v>19</v>
      </c>
      <c r="E142" s="4">
        <f t="shared" si="12"/>
        <v>19</v>
      </c>
      <c r="F142" s="24">
        <f t="shared" si="13"/>
        <v>361</v>
      </c>
      <c r="G142" s="5">
        <f t="shared" si="14"/>
        <v>0.34545454545454546</v>
      </c>
    </row>
    <row r="143" spans="1:7" ht="15.75" customHeight="1">
      <c r="A143" s="3">
        <v>21692</v>
      </c>
      <c r="B143" s="4">
        <v>41</v>
      </c>
      <c r="C143">
        <f t="shared" si="10"/>
        <v>55</v>
      </c>
      <c r="D143">
        <f t="shared" si="11"/>
        <v>-14</v>
      </c>
      <c r="E143" s="4">
        <f t="shared" si="12"/>
        <v>14</v>
      </c>
      <c r="F143" s="24">
        <f t="shared" si="13"/>
        <v>196</v>
      </c>
      <c r="G143" s="5">
        <f t="shared" si="14"/>
        <v>0.34146341463414637</v>
      </c>
    </row>
    <row r="144" spans="1:7" ht="15.75" customHeight="1">
      <c r="A144" s="3">
        <v>21693</v>
      </c>
      <c r="B144" s="4">
        <v>45</v>
      </c>
      <c r="C144">
        <f t="shared" si="10"/>
        <v>41</v>
      </c>
      <c r="D144">
        <f t="shared" si="11"/>
        <v>4</v>
      </c>
      <c r="E144" s="4">
        <f t="shared" si="12"/>
        <v>4</v>
      </c>
      <c r="F144" s="24">
        <f t="shared" si="13"/>
        <v>16</v>
      </c>
      <c r="G144" s="5">
        <f t="shared" si="14"/>
        <v>8.8888888888888892E-2</v>
      </c>
    </row>
    <row r="145" spans="1:7" ht="15.75" customHeight="1">
      <c r="A145" s="3">
        <v>21694</v>
      </c>
      <c r="B145" s="4">
        <v>41</v>
      </c>
      <c r="C145">
        <f t="shared" si="10"/>
        <v>45</v>
      </c>
      <c r="D145">
        <f t="shared" si="11"/>
        <v>-4</v>
      </c>
      <c r="E145" s="4">
        <f t="shared" si="12"/>
        <v>4</v>
      </c>
      <c r="F145" s="24">
        <f t="shared" si="13"/>
        <v>16</v>
      </c>
      <c r="G145" s="5">
        <f t="shared" si="14"/>
        <v>9.7560975609756101E-2</v>
      </c>
    </row>
    <row r="146" spans="1:7" ht="15.75" customHeight="1">
      <c r="A146" s="3">
        <v>21695</v>
      </c>
      <c r="B146" s="4">
        <v>37</v>
      </c>
      <c r="C146">
        <f t="shared" si="10"/>
        <v>41</v>
      </c>
      <c r="D146">
        <f t="shared" si="11"/>
        <v>-4</v>
      </c>
      <c r="E146" s="4">
        <f t="shared" si="12"/>
        <v>4</v>
      </c>
      <c r="F146" s="24">
        <f t="shared" si="13"/>
        <v>16</v>
      </c>
      <c r="G146" s="5">
        <f t="shared" si="14"/>
        <v>0.10810810810810811</v>
      </c>
    </row>
    <row r="147" spans="1:7" ht="15.75" customHeight="1">
      <c r="A147" s="3">
        <v>21696</v>
      </c>
      <c r="B147" s="4">
        <v>43</v>
      </c>
      <c r="C147">
        <f t="shared" si="10"/>
        <v>37</v>
      </c>
      <c r="D147">
        <f t="shared" si="11"/>
        <v>6</v>
      </c>
      <c r="E147" s="4">
        <f t="shared" si="12"/>
        <v>6</v>
      </c>
      <c r="F147" s="24">
        <f t="shared" si="13"/>
        <v>36</v>
      </c>
      <c r="G147" s="5">
        <f t="shared" si="14"/>
        <v>0.13953488372093023</v>
      </c>
    </row>
    <row r="148" spans="1:7" ht="15.75" customHeight="1">
      <c r="A148" s="3">
        <v>21697</v>
      </c>
      <c r="B148" s="4">
        <v>39</v>
      </c>
      <c r="C148">
        <f t="shared" si="10"/>
        <v>43</v>
      </c>
      <c r="D148">
        <f t="shared" si="11"/>
        <v>-4</v>
      </c>
      <c r="E148" s="4">
        <f t="shared" si="12"/>
        <v>4</v>
      </c>
      <c r="F148" s="24">
        <f t="shared" si="13"/>
        <v>16</v>
      </c>
      <c r="G148" s="5">
        <f t="shared" si="14"/>
        <v>0.10256410256410256</v>
      </c>
    </row>
    <row r="149" spans="1:7" ht="15.75" customHeight="1">
      <c r="A149" s="3">
        <v>21698</v>
      </c>
      <c r="B149" s="4">
        <v>33</v>
      </c>
      <c r="C149">
        <f t="shared" si="10"/>
        <v>39</v>
      </c>
      <c r="D149">
        <f t="shared" si="11"/>
        <v>-6</v>
      </c>
      <c r="E149" s="4">
        <f t="shared" si="12"/>
        <v>6</v>
      </c>
      <c r="F149" s="24">
        <f t="shared" si="13"/>
        <v>36</v>
      </c>
      <c r="G149" s="5">
        <f t="shared" si="14"/>
        <v>0.18181818181818182</v>
      </c>
    </row>
    <row r="150" spans="1:7" ht="15.75" customHeight="1">
      <c r="A150" s="3">
        <v>21699</v>
      </c>
      <c r="B150" s="4">
        <v>43</v>
      </c>
      <c r="C150">
        <f t="shared" si="10"/>
        <v>33</v>
      </c>
      <c r="D150">
        <f t="shared" si="11"/>
        <v>10</v>
      </c>
      <c r="E150" s="4">
        <f t="shared" si="12"/>
        <v>10</v>
      </c>
      <c r="F150" s="24">
        <f t="shared" si="13"/>
        <v>100</v>
      </c>
      <c r="G150" s="5">
        <f t="shared" si="14"/>
        <v>0.23255813953488372</v>
      </c>
    </row>
    <row r="151" spans="1:7" ht="15.75" customHeight="1">
      <c r="A151" s="3">
        <v>21700</v>
      </c>
      <c r="B151" s="4">
        <v>40</v>
      </c>
      <c r="C151">
        <f t="shared" si="10"/>
        <v>43</v>
      </c>
      <c r="D151">
        <f t="shared" si="11"/>
        <v>-3</v>
      </c>
      <c r="E151" s="4">
        <f t="shared" si="12"/>
        <v>3</v>
      </c>
      <c r="F151" s="24">
        <f t="shared" si="13"/>
        <v>9</v>
      </c>
      <c r="G151" s="5">
        <f t="shared" si="14"/>
        <v>7.4999999999999997E-2</v>
      </c>
    </row>
    <row r="152" spans="1:7" ht="15.75" customHeight="1">
      <c r="A152" s="3">
        <v>21701</v>
      </c>
      <c r="B152" s="4">
        <v>38</v>
      </c>
      <c r="C152">
        <f t="shared" si="10"/>
        <v>40</v>
      </c>
      <c r="D152">
        <f t="shared" si="11"/>
        <v>-2</v>
      </c>
      <c r="E152" s="4">
        <f t="shared" si="12"/>
        <v>2</v>
      </c>
      <c r="F152" s="24">
        <f t="shared" si="13"/>
        <v>4</v>
      </c>
      <c r="G152" s="5">
        <f t="shared" si="14"/>
        <v>5.2631578947368418E-2</v>
      </c>
    </row>
    <row r="153" spans="1:7" ht="15.75" customHeight="1">
      <c r="A153" s="3">
        <v>21702</v>
      </c>
      <c r="B153" s="4">
        <v>45</v>
      </c>
      <c r="C153">
        <f t="shared" si="10"/>
        <v>38</v>
      </c>
      <c r="D153">
        <f t="shared" si="11"/>
        <v>7</v>
      </c>
      <c r="E153" s="4">
        <f t="shared" si="12"/>
        <v>7</v>
      </c>
      <c r="F153" s="24">
        <f t="shared" si="13"/>
        <v>49</v>
      </c>
      <c r="G153" s="5">
        <f t="shared" si="14"/>
        <v>0.15555555555555556</v>
      </c>
    </row>
    <row r="154" spans="1:7" ht="15.75" customHeight="1">
      <c r="A154" s="3">
        <v>21703</v>
      </c>
      <c r="B154" s="4">
        <v>46</v>
      </c>
      <c r="C154">
        <f t="shared" si="10"/>
        <v>45</v>
      </c>
      <c r="D154">
        <f t="shared" si="11"/>
        <v>1</v>
      </c>
      <c r="E154" s="4">
        <f t="shared" si="12"/>
        <v>1</v>
      </c>
      <c r="F154" s="24">
        <f t="shared" si="13"/>
        <v>1</v>
      </c>
      <c r="G154" s="5">
        <f t="shared" si="14"/>
        <v>2.1739130434782608E-2</v>
      </c>
    </row>
    <row r="155" spans="1:7" ht="15.75" customHeight="1">
      <c r="A155" s="3">
        <v>21704</v>
      </c>
      <c r="B155" s="4">
        <v>34</v>
      </c>
      <c r="C155">
        <f t="shared" si="10"/>
        <v>46</v>
      </c>
      <c r="D155">
        <f t="shared" si="11"/>
        <v>-12</v>
      </c>
      <c r="E155" s="4">
        <f t="shared" si="12"/>
        <v>12</v>
      </c>
      <c r="F155" s="24">
        <f t="shared" si="13"/>
        <v>144</v>
      </c>
      <c r="G155" s="5">
        <f t="shared" si="14"/>
        <v>0.35294117647058826</v>
      </c>
    </row>
    <row r="156" spans="1:7" ht="15.75" customHeight="1">
      <c r="A156" s="3">
        <v>21705</v>
      </c>
      <c r="B156" s="4">
        <v>35</v>
      </c>
      <c r="C156">
        <f t="shared" si="10"/>
        <v>34</v>
      </c>
      <c r="D156">
        <f t="shared" si="11"/>
        <v>1</v>
      </c>
      <c r="E156" s="4">
        <f t="shared" si="12"/>
        <v>1</v>
      </c>
      <c r="F156" s="24">
        <f t="shared" si="13"/>
        <v>1</v>
      </c>
      <c r="G156" s="5">
        <f t="shared" si="14"/>
        <v>2.8571428571428571E-2</v>
      </c>
    </row>
    <row r="157" spans="1:7" ht="15.75" customHeight="1">
      <c r="A157" s="3">
        <v>21706</v>
      </c>
      <c r="B157" s="4">
        <v>48</v>
      </c>
      <c r="C157">
        <f t="shared" si="10"/>
        <v>35</v>
      </c>
      <c r="D157">
        <f t="shared" si="11"/>
        <v>13</v>
      </c>
      <c r="E157" s="4">
        <f t="shared" si="12"/>
        <v>13</v>
      </c>
      <c r="F157" s="24">
        <f t="shared" si="13"/>
        <v>169</v>
      </c>
      <c r="G157" s="5">
        <f t="shared" si="14"/>
        <v>0.27083333333333331</v>
      </c>
    </row>
    <row r="158" spans="1:7" ht="15.75" customHeight="1">
      <c r="A158" s="3">
        <v>21707</v>
      </c>
      <c r="B158" s="4">
        <v>51</v>
      </c>
      <c r="C158">
        <f t="shared" si="10"/>
        <v>48</v>
      </c>
      <c r="D158">
        <f t="shared" si="11"/>
        <v>3</v>
      </c>
      <c r="E158" s="4">
        <f t="shared" si="12"/>
        <v>3</v>
      </c>
      <c r="F158" s="24">
        <f t="shared" si="13"/>
        <v>9</v>
      </c>
      <c r="G158" s="5">
        <f t="shared" si="14"/>
        <v>5.8823529411764705E-2</v>
      </c>
    </row>
    <row r="159" spans="1:7" ht="15.75" customHeight="1">
      <c r="A159" s="3">
        <v>21708</v>
      </c>
      <c r="B159" s="4">
        <v>36</v>
      </c>
      <c r="C159">
        <f t="shared" si="10"/>
        <v>51</v>
      </c>
      <c r="D159">
        <f t="shared" si="11"/>
        <v>-15</v>
      </c>
      <c r="E159" s="4">
        <f t="shared" si="12"/>
        <v>15</v>
      </c>
      <c r="F159" s="24">
        <f t="shared" si="13"/>
        <v>225</v>
      </c>
      <c r="G159" s="5">
        <f t="shared" si="14"/>
        <v>0.41666666666666669</v>
      </c>
    </row>
    <row r="160" spans="1:7" ht="15.75" customHeight="1">
      <c r="A160" s="3">
        <v>21709</v>
      </c>
      <c r="B160" s="4">
        <v>33</v>
      </c>
      <c r="C160">
        <f t="shared" si="10"/>
        <v>36</v>
      </c>
      <c r="D160">
        <f t="shared" si="11"/>
        <v>-3</v>
      </c>
      <c r="E160" s="4">
        <f t="shared" si="12"/>
        <v>3</v>
      </c>
      <c r="F160" s="24">
        <f t="shared" si="13"/>
        <v>9</v>
      </c>
      <c r="G160" s="5">
        <f t="shared" si="14"/>
        <v>9.0909090909090912E-2</v>
      </c>
    </row>
    <row r="161" spans="1:7" ht="15.75" customHeight="1">
      <c r="A161" s="3">
        <v>21710</v>
      </c>
      <c r="B161" s="4">
        <v>46</v>
      </c>
      <c r="C161">
        <f t="shared" si="10"/>
        <v>33</v>
      </c>
      <c r="D161">
        <f t="shared" si="11"/>
        <v>13</v>
      </c>
      <c r="E161" s="4">
        <f t="shared" si="12"/>
        <v>13</v>
      </c>
      <c r="F161" s="24">
        <f t="shared" si="13"/>
        <v>169</v>
      </c>
      <c r="G161" s="5">
        <f t="shared" si="14"/>
        <v>0.28260869565217389</v>
      </c>
    </row>
    <row r="162" spans="1:7" ht="15.75" customHeight="1">
      <c r="A162" s="3">
        <v>21711</v>
      </c>
      <c r="B162" s="4">
        <v>42</v>
      </c>
      <c r="C162">
        <f t="shared" si="10"/>
        <v>46</v>
      </c>
      <c r="D162">
        <f t="shared" si="11"/>
        <v>-4</v>
      </c>
      <c r="E162" s="4">
        <f t="shared" si="12"/>
        <v>4</v>
      </c>
      <c r="F162" s="24">
        <f t="shared" si="13"/>
        <v>16</v>
      </c>
      <c r="G162" s="5">
        <f t="shared" si="14"/>
        <v>9.5238095238095233E-2</v>
      </c>
    </row>
    <row r="163" spans="1:7" ht="15.75" customHeight="1">
      <c r="A163" s="3">
        <v>21712</v>
      </c>
      <c r="B163" s="4">
        <v>48</v>
      </c>
      <c r="C163">
        <f t="shared" si="10"/>
        <v>42</v>
      </c>
      <c r="D163">
        <f t="shared" si="11"/>
        <v>6</v>
      </c>
      <c r="E163" s="4">
        <f t="shared" si="12"/>
        <v>6</v>
      </c>
      <c r="F163" s="24">
        <f t="shared" si="13"/>
        <v>36</v>
      </c>
      <c r="G163" s="5">
        <f t="shared" si="14"/>
        <v>0.125</v>
      </c>
    </row>
    <row r="164" spans="1:7" ht="15.75" customHeight="1">
      <c r="A164" s="3">
        <v>21713</v>
      </c>
      <c r="B164" s="4">
        <v>34</v>
      </c>
      <c r="C164">
        <f t="shared" si="10"/>
        <v>48</v>
      </c>
      <c r="D164">
        <f t="shared" si="11"/>
        <v>-14</v>
      </c>
      <c r="E164" s="4">
        <f t="shared" si="12"/>
        <v>14</v>
      </c>
      <c r="F164" s="24">
        <f t="shared" si="13"/>
        <v>196</v>
      </c>
      <c r="G164" s="5">
        <f t="shared" si="14"/>
        <v>0.41176470588235292</v>
      </c>
    </row>
    <row r="165" spans="1:7" ht="15.75" customHeight="1">
      <c r="A165" s="3">
        <v>21714</v>
      </c>
      <c r="B165" s="4">
        <v>41</v>
      </c>
      <c r="C165">
        <f t="shared" si="10"/>
        <v>34</v>
      </c>
      <c r="D165">
        <f t="shared" si="11"/>
        <v>7</v>
      </c>
      <c r="E165" s="4">
        <f t="shared" si="12"/>
        <v>7</v>
      </c>
      <c r="F165" s="24">
        <f t="shared" si="13"/>
        <v>49</v>
      </c>
      <c r="G165" s="5">
        <f t="shared" si="14"/>
        <v>0.17073170731707318</v>
      </c>
    </row>
    <row r="166" spans="1:7" ht="15.75" customHeight="1">
      <c r="A166" s="3">
        <v>21715</v>
      </c>
      <c r="B166" s="4">
        <v>35</v>
      </c>
      <c r="C166">
        <f t="shared" si="10"/>
        <v>41</v>
      </c>
      <c r="D166">
        <f t="shared" si="11"/>
        <v>-6</v>
      </c>
      <c r="E166" s="4">
        <f t="shared" si="12"/>
        <v>6</v>
      </c>
      <c r="F166" s="24">
        <f t="shared" si="13"/>
        <v>36</v>
      </c>
      <c r="G166" s="5">
        <f t="shared" si="14"/>
        <v>0.17142857142857143</v>
      </c>
    </row>
    <row r="167" spans="1:7" ht="15.75" customHeight="1">
      <c r="A167" s="3">
        <v>21716</v>
      </c>
      <c r="B167" s="4">
        <v>40</v>
      </c>
      <c r="C167">
        <f t="shared" si="10"/>
        <v>35</v>
      </c>
      <c r="D167">
        <f t="shared" si="11"/>
        <v>5</v>
      </c>
      <c r="E167" s="4">
        <f t="shared" si="12"/>
        <v>5</v>
      </c>
      <c r="F167" s="24">
        <f t="shared" si="13"/>
        <v>25</v>
      </c>
      <c r="G167" s="5">
        <f t="shared" si="14"/>
        <v>0.125</v>
      </c>
    </row>
    <row r="168" spans="1:7" ht="15.75" customHeight="1">
      <c r="A168" s="3">
        <v>21717</v>
      </c>
      <c r="B168" s="4">
        <v>34</v>
      </c>
      <c r="C168">
        <f t="shared" si="10"/>
        <v>40</v>
      </c>
      <c r="D168">
        <f t="shared" si="11"/>
        <v>-6</v>
      </c>
      <c r="E168" s="4">
        <f t="shared" si="12"/>
        <v>6</v>
      </c>
      <c r="F168" s="24">
        <f t="shared" si="13"/>
        <v>36</v>
      </c>
      <c r="G168" s="5">
        <f t="shared" si="14"/>
        <v>0.17647058823529413</v>
      </c>
    </row>
    <row r="169" spans="1:7" ht="15.75" customHeight="1">
      <c r="A169" s="3">
        <v>21718</v>
      </c>
      <c r="B169" s="4">
        <v>30</v>
      </c>
      <c r="C169">
        <f t="shared" si="10"/>
        <v>34</v>
      </c>
      <c r="D169">
        <f t="shared" si="11"/>
        <v>-4</v>
      </c>
      <c r="E169" s="4">
        <f t="shared" si="12"/>
        <v>4</v>
      </c>
      <c r="F169" s="24">
        <f t="shared" si="13"/>
        <v>16</v>
      </c>
      <c r="G169" s="5">
        <f t="shared" si="14"/>
        <v>0.13333333333333333</v>
      </c>
    </row>
    <row r="170" spans="1:7" ht="15.75" customHeight="1">
      <c r="A170" s="3">
        <v>21719</v>
      </c>
      <c r="B170" s="4">
        <v>36</v>
      </c>
      <c r="C170">
        <f t="shared" si="10"/>
        <v>30</v>
      </c>
      <c r="D170">
        <f t="shared" si="11"/>
        <v>6</v>
      </c>
      <c r="E170" s="4">
        <f t="shared" si="12"/>
        <v>6</v>
      </c>
      <c r="F170" s="24">
        <f t="shared" si="13"/>
        <v>36</v>
      </c>
      <c r="G170" s="5">
        <f t="shared" si="14"/>
        <v>0.16666666666666666</v>
      </c>
    </row>
    <row r="171" spans="1:7" ht="15.75" customHeight="1">
      <c r="A171" s="3">
        <v>21720</v>
      </c>
      <c r="B171" s="4">
        <v>40</v>
      </c>
      <c r="C171">
        <f t="shared" si="10"/>
        <v>36</v>
      </c>
      <c r="D171">
        <f t="shared" si="11"/>
        <v>4</v>
      </c>
      <c r="E171" s="4">
        <f t="shared" si="12"/>
        <v>4</v>
      </c>
      <c r="F171" s="24">
        <f t="shared" si="13"/>
        <v>16</v>
      </c>
      <c r="G171" s="5">
        <f t="shared" si="14"/>
        <v>0.1</v>
      </c>
    </row>
    <row r="172" spans="1:7" ht="15.75" customHeight="1">
      <c r="A172" s="3">
        <v>21721</v>
      </c>
      <c r="B172" s="4">
        <v>39</v>
      </c>
      <c r="C172">
        <f t="shared" si="10"/>
        <v>40</v>
      </c>
      <c r="D172">
        <f t="shared" si="11"/>
        <v>-1</v>
      </c>
      <c r="E172" s="4">
        <f t="shared" si="12"/>
        <v>1</v>
      </c>
      <c r="F172" s="24">
        <f t="shared" si="13"/>
        <v>1</v>
      </c>
      <c r="G172" s="5">
        <f t="shared" si="14"/>
        <v>2.564102564102564E-2</v>
      </c>
    </row>
    <row r="173" spans="1:7" ht="15.75" customHeight="1">
      <c r="A173" s="3">
        <v>21722</v>
      </c>
      <c r="B173" s="4">
        <v>45</v>
      </c>
      <c r="C173">
        <f t="shared" si="10"/>
        <v>39</v>
      </c>
      <c r="D173">
        <f t="shared" si="11"/>
        <v>6</v>
      </c>
      <c r="E173" s="4">
        <f t="shared" si="12"/>
        <v>6</v>
      </c>
      <c r="F173" s="24">
        <f t="shared" si="13"/>
        <v>36</v>
      </c>
      <c r="G173" s="5">
        <f t="shared" si="14"/>
        <v>0.13333333333333333</v>
      </c>
    </row>
    <row r="174" spans="1:7" ht="15.75" customHeight="1">
      <c r="A174" s="3">
        <v>21723</v>
      </c>
      <c r="B174" s="4">
        <v>38</v>
      </c>
      <c r="C174">
        <f t="shared" si="10"/>
        <v>45</v>
      </c>
      <c r="D174">
        <f t="shared" si="11"/>
        <v>-7</v>
      </c>
      <c r="E174" s="4">
        <f t="shared" si="12"/>
        <v>7</v>
      </c>
      <c r="F174" s="24">
        <f t="shared" si="13"/>
        <v>49</v>
      </c>
      <c r="G174" s="5">
        <f t="shared" si="14"/>
        <v>0.18421052631578946</v>
      </c>
    </row>
    <row r="175" spans="1:7" ht="15.75" customHeight="1">
      <c r="A175" s="3">
        <v>21724</v>
      </c>
      <c r="B175" s="4">
        <v>47</v>
      </c>
      <c r="C175">
        <f t="shared" si="10"/>
        <v>38</v>
      </c>
      <c r="D175">
        <f t="shared" si="11"/>
        <v>9</v>
      </c>
      <c r="E175" s="4">
        <f t="shared" si="12"/>
        <v>9</v>
      </c>
      <c r="F175" s="24">
        <f t="shared" si="13"/>
        <v>81</v>
      </c>
      <c r="G175" s="5">
        <f t="shared" si="14"/>
        <v>0.19148936170212766</v>
      </c>
    </row>
    <row r="176" spans="1:7" ht="15.75" customHeight="1">
      <c r="A176" s="3">
        <v>21725</v>
      </c>
      <c r="B176" s="4">
        <v>33</v>
      </c>
      <c r="C176">
        <f t="shared" si="10"/>
        <v>47</v>
      </c>
      <c r="D176">
        <f t="shared" si="11"/>
        <v>-14</v>
      </c>
      <c r="E176" s="4">
        <f t="shared" si="12"/>
        <v>14</v>
      </c>
      <c r="F176" s="24">
        <f t="shared" si="13"/>
        <v>196</v>
      </c>
      <c r="G176" s="5">
        <f t="shared" si="14"/>
        <v>0.42424242424242425</v>
      </c>
    </row>
    <row r="177" spans="1:7" ht="15.75" customHeight="1">
      <c r="A177" s="3">
        <v>21726</v>
      </c>
      <c r="B177" s="4">
        <v>30</v>
      </c>
      <c r="C177">
        <f t="shared" si="10"/>
        <v>33</v>
      </c>
      <c r="D177">
        <f t="shared" si="11"/>
        <v>-3</v>
      </c>
      <c r="E177" s="4">
        <f t="shared" si="12"/>
        <v>3</v>
      </c>
      <c r="F177" s="24">
        <f t="shared" si="13"/>
        <v>9</v>
      </c>
      <c r="G177" s="5">
        <f t="shared" si="14"/>
        <v>0.1</v>
      </c>
    </row>
    <row r="178" spans="1:7" ht="15.75" customHeight="1">
      <c r="A178" s="3">
        <v>21727</v>
      </c>
      <c r="B178" s="4">
        <v>42</v>
      </c>
      <c r="C178">
        <f t="shared" si="10"/>
        <v>30</v>
      </c>
      <c r="D178">
        <f t="shared" si="11"/>
        <v>12</v>
      </c>
      <c r="E178" s="4">
        <f t="shared" si="12"/>
        <v>12</v>
      </c>
      <c r="F178" s="24">
        <f t="shared" si="13"/>
        <v>144</v>
      </c>
      <c r="G178" s="5">
        <f t="shared" si="14"/>
        <v>0.2857142857142857</v>
      </c>
    </row>
    <row r="179" spans="1:7" ht="15.75" customHeight="1">
      <c r="A179" s="3">
        <v>21728</v>
      </c>
      <c r="B179" s="4">
        <v>43</v>
      </c>
      <c r="C179">
        <f t="shared" si="10"/>
        <v>42</v>
      </c>
      <c r="D179">
        <f t="shared" si="11"/>
        <v>1</v>
      </c>
      <c r="E179" s="4">
        <f t="shared" si="12"/>
        <v>1</v>
      </c>
      <c r="F179" s="24">
        <f t="shared" si="13"/>
        <v>1</v>
      </c>
      <c r="G179" s="5">
        <f t="shared" si="14"/>
        <v>2.3255813953488372E-2</v>
      </c>
    </row>
    <row r="180" spans="1:7" ht="15.75" customHeight="1">
      <c r="A180" s="3">
        <v>21729</v>
      </c>
      <c r="B180" s="4">
        <v>41</v>
      </c>
      <c r="C180">
        <f t="shared" si="10"/>
        <v>43</v>
      </c>
      <c r="D180">
        <f t="shared" si="11"/>
        <v>-2</v>
      </c>
      <c r="E180" s="4">
        <f t="shared" si="12"/>
        <v>2</v>
      </c>
      <c r="F180" s="24">
        <f t="shared" si="13"/>
        <v>4</v>
      </c>
      <c r="G180" s="5">
        <f t="shared" si="14"/>
        <v>4.878048780487805E-2</v>
      </c>
    </row>
    <row r="181" spans="1:7" ht="15.75" customHeight="1">
      <c r="A181" s="3">
        <v>21730</v>
      </c>
      <c r="B181" s="4">
        <v>41</v>
      </c>
      <c r="C181">
        <f t="shared" si="10"/>
        <v>41</v>
      </c>
      <c r="D181">
        <f t="shared" si="11"/>
        <v>0</v>
      </c>
      <c r="E181" s="4">
        <f t="shared" si="12"/>
        <v>0</v>
      </c>
      <c r="F181" s="24">
        <f t="shared" si="13"/>
        <v>0</v>
      </c>
      <c r="G181" s="5">
        <f t="shared" si="14"/>
        <v>0</v>
      </c>
    </row>
    <row r="182" spans="1:7" ht="15.75" customHeight="1">
      <c r="A182" s="3">
        <v>21731</v>
      </c>
      <c r="B182" s="4">
        <v>59</v>
      </c>
      <c r="C182">
        <f t="shared" si="10"/>
        <v>41</v>
      </c>
      <c r="D182">
        <f t="shared" si="11"/>
        <v>18</v>
      </c>
      <c r="E182" s="4">
        <f t="shared" si="12"/>
        <v>18</v>
      </c>
      <c r="F182" s="24">
        <f t="shared" si="13"/>
        <v>324</v>
      </c>
      <c r="G182" s="5">
        <f t="shared" si="14"/>
        <v>0.30508474576271188</v>
      </c>
    </row>
    <row r="183" spans="1:7" ht="15.75" customHeight="1">
      <c r="A183" s="3">
        <v>21732</v>
      </c>
      <c r="B183" s="4">
        <v>43</v>
      </c>
      <c r="C183">
        <f t="shared" si="10"/>
        <v>59</v>
      </c>
      <c r="D183">
        <f t="shared" si="11"/>
        <v>-16</v>
      </c>
      <c r="E183" s="4">
        <f t="shared" si="12"/>
        <v>16</v>
      </c>
      <c r="F183" s="24">
        <f t="shared" si="13"/>
        <v>256</v>
      </c>
      <c r="G183" s="5">
        <f t="shared" si="14"/>
        <v>0.37209302325581395</v>
      </c>
    </row>
    <row r="184" spans="1:7" ht="15.75" customHeight="1">
      <c r="A184" s="3">
        <v>21733</v>
      </c>
      <c r="B184" s="4">
        <v>45</v>
      </c>
      <c r="C184">
        <f t="shared" si="10"/>
        <v>43</v>
      </c>
      <c r="D184">
        <f t="shared" si="11"/>
        <v>2</v>
      </c>
      <c r="E184" s="4">
        <f t="shared" si="12"/>
        <v>2</v>
      </c>
      <c r="F184" s="24">
        <f t="shared" si="13"/>
        <v>4</v>
      </c>
      <c r="G184" s="5">
        <f t="shared" si="14"/>
        <v>4.4444444444444446E-2</v>
      </c>
    </row>
    <row r="185" spans="1:7" ht="15.75" customHeight="1">
      <c r="A185" s="3">
        <v>21734</v>
      </c>
      <c r="B185" s="4">
        <v>38</v>
      </c>
      <c r="C185">
        <f t="shared" si="10"/>
        <v>45</v>
      </c>
      <c r="D185">
        <f t="shared" si="11"/>
        <v>-7</v>
      </c>
      <c r="E185" s="4">
        <f t="shared" si="12"/>
        <v>7</v>
      </c>
      <c r="F185" s="24">
        <f t="shared" si="13"/>
        <v>49</v>
      </c>
      <c r="G185" s="5">
        <f t="shared" si="14"/>
        <v>0.18421052631578946</v>
      </c>
    </row>
    <row r="186" spans="1:7" ht="15.75" customHeight="1">
      <c r="A186" s="3">
        <v>21735</v>
      </c>
      <c r="B186" s="4">
        <v>37</v>
      </c>
      <c r="C186">
        <f t="shared" si="10"/>
        <v>38</v>
      </c>
      <c r="D186">
        <f t="shared" si="11"/>
        <v>-1</v>
      </c>
      <c r="E186" s="4">
        <f t="shared" si="12"/>
        <v>1</v>
      </c>
      <c r="F186" s="24">
        <f t="shared" si="13"/>
        <v>1</v>
      </c>
      <c r="G186" s="5">
        <f t="shared" si="14"/>
        <v>2.7027027027027029E-2</v>
      </c>
    </row>
    <row r="187" spans="1:7" ht="15.75" customHeight="1">
      <c r="A187" s="3">
        <v>21736</v>
      </c>
      <c r="B187" s="4">
        <v>45</v>
      </c>
      <c r="C187">
        <f t="shared" si="10"/>
        <v>37</v>
      </c>
      <c r="D187">
        <f t="shared" si="11"/>
        <v>8</v>
      </c>
      <c r="E187" s="4">
        <f t="shared" si="12"/>
        <v>8</v>
      </c>
      <c r="F187" s="24">
        <f t="shared" si="13"/>
        <v>64</v>
      </c>
      <c r="G187" s="5">
        <f t="shared" si="14"/>
        <v>0.17777777777777778</v>
      </c>
    </row>
    <row r="188" spans="1:7" ht="15.75" customHeight="1">
      <c r="A188" s="3">
        <v>21737</v>
      </c>
      <c r="B188" s="4">
        <v>42</v>
      </c>
      <c r="C188">
        <f t="shared" si="10"/>
        <v>45</v>
      </c>
      <c r="D188">
        <f t="shared" si="11"/>
        <v>-3</v>
      </c>
      <c r="E188" s="4">
        <f t="shared" si="12"/>
        <v>3</v>
      </c>
      <c r="F188" s="24">
        <f t="shared" si="13"/>
        <v>9</v>
      </c>
      <c r="G188" s="5">
        <f t="shared" si="14"/>
        <v>7.1428571428571425E-2</v>
      </c>
    </row>
    <row r="189" spans="1:7" ht="15.75" customHeight="1">
      <c r="A189" s="3">
        <v>21738</v>
      </c>
      <c r="B189" s="4">
        <v>57</v>
      </c>
      <c r="C189">
        <f t="shared" si="10"/>
        <v>42</v>
      </c>
      <c r="D189">
        <f t="shared" si="11"/>
        <v>15</v>
      </c>
      <c r="E189" s="4">
        <f t="shared" si="12"/>
        <v>15</v>
      </c>
      <c r="F189" s="24">
        <f t="shared" si="13"/>
        <v>225</v>
      </c>
      <c r="G189" s="5">
        <f t="shared" si="14"/>
        <v>0.26315789473684209</v>
      </c>
    </row>
    <row r="190" spans="1:7" ht="15.75" customHeight="1">
      <c r="A190" s="3">
        <v>21739</v>
      </c>
      <c r="B190" s="4">
        <v>46</v>
      </c>
      <c r="C190">
        <f t="shared" si="10"/>
        <v>57</v>
      </c>
      <c r="D190">
        <f t="shared" si="11"/>
        <v>-11</v>
      </c>
      <c r="E190" s="4">
        <f t="shared" si="12"/>
        <v>11</v>
      </c>
      <c r="F190" s="24">
        <f t="shared" si="13"/>
        <v>121</v>
      </c>
      <c r="G190" s="5">
        <f t="shared" si="14"/>
        <v>0.2391304347826087</v>
      </c>
    </row>
    <row r="191" spans="1:7" ht="15.75" customHeight="1">
      <c r="A191" s="3">
        <v>21740</v>
      </c>
      <c r="B191" s="4">
        <v>51</v>
      </c>
      <c r="C191">
        <f t="shared" si="10"/>
        <v>46</v>
      </c>
      <c r="D191">
        <f t="shared" si="11"/>
        <v>5</v>
      </c>
      <c r="E191" s="4">
        <f t="shared" si="12"/>
        <v>5</v>
      </c>
      <c r="F191" s="24">
        <f t="shared" si="13"/>
        <v>25</v>
      </c>
      <c r="G191" s="5">
        <f t="shared" si="14"/>
        <v>9.8039215686274508E-2</v>
      </c>
    </row>
    <row r="192" spans="1:7" ht="15.75" customHeight="1">
      <c r="A192" s="3">
        <v>21741</v>
      </c>
      <c r="B192" s="4">
        <v>41</v>
      </c>
      <c r="C192">
        <f t="shared" si="10"/>
        <v>51</v>
      </c>
      <c r="D192">
        <f t="shared" si="11"/>
        <v>-10</v>
      </c>
      <c r="E192" s="4">
        <f t="shared" si="12"/>
        <v>10</v>
      </c>
      <c r="F192" s="24">
        <f t="shared" si="13"/>
        <v>100</v>
      </c>
      <c r="G192" s="5">
        <f t="shared" si="14"/>
        <v>0.24390243902439024</v>
      </c>
    </row>
    <row r="193" spans="1:7" ht="15.75" customHeight="1">
      <c r="A193" s="3">
        <v>21742</v>
      </c>
      <c r="B193" s="4">
        <v>47</v>
      </c>
      <c r="C193">
        <f t="shared" si="10"/>
        <v>41</v>
      </c>
      <c r="D193">
        <f t="shared" si="11"/>
        <v>6</v>
      </c>
      <c r="E193" s="4">
        <f t="shared" si="12"/>
        <v>6</v>
      </c>
      <c r="F193" s="24">
        <f t="shared" si="13"/>
        <v>36</v>
      </c>
      <c r="G193" s="5">
        <f t="shared" si="14"/>
        <v>0.1276595744680851</v>
      </c>
    </row>
    <row r="194" spans="1:7" ht="15.75" customHeight="1">
      <c r="A194" s="3">
        <v>21743</v>
      </c>
      <c r="B194" s="4">
        <v>26</v>
      </c>
      <c r="C194">
        <f t="shared" si="10"/>
        <v>47</v>
      </c>
      <c r="D194">
        <f t="shared" si="11"/>
        <v>-21</v>
      </c>
      <c r="E194" s="4">
        <f t="shared" si="12"/>
        <v>21</v>
      </c>
      <c r="F194" s="24">
        <f t="shared" si="13"/>
        <v>441</v>
      </c>
      <c r="G194" s="5">
        <f t="shared" si="14"/>
        <v>0.80769230769230771</v>
      </c>
    </row>
    <row r="195" spans="1:7" ht="15.75" customHeight="1">
      <c r="A195" s="3">
        <v>21744</v>
      </c>
      <c r="B195" s="4">
        <v>35</v>
      </c>
      <c r="C195">
        <f t="shared" si="10"/>
        <v>26</v>
      </c>
      <c r="D195">
        <f t="shared" si="11"/>
        <v>9</v>
      </c>
      <c r="E195" s="4">
        <f t="shared" si="12"/>
        <v>9</v>
      </c>
      <c r="F195" s="24">
        <f t="shared" si="13"/>
        <v>81</v>
      </c>
      <c r="G195" s="5">
        <f t="shared" si="14"/>
        <v>0.25714285714285712</v>
      </c>
    </row>
    <row r="196" spans="1:7" ht="15.75" customHeight="1">
      <c r="A196" s="3">
        <v>21745</v>
      </c>
      <c r="B196" s="4">
        <v>44</v>
      </c>
      <c r="C196">
        <f t="shared" si="10"/>
        <v>35</v>
      </c>
      <c r="D196">
        <f t="shared" si="11"/>
        <v>9</v>
      </c>
      <c r="E196" s="4">
        <f t="shared" si="12"/>
        <v>9</v>
      </c>
      <c r="F196" s="24">
        <f t="shared" si="13"/>
        <v>81</v>
      </c>
      <c r="G196" s="5">
        <f t="shared" si="14"/>
        <v>0.20454545454545456</v>
      </c>
    </row>
    <row r="197" spans="1:7" ht="15.75" customHeight="1">
      <c r="A197" s="3">
        <v>21746</v>
      </c>
      <c r="B197" s="4">
        <v>41</v>
      </c>
      <c r="C197">
        <f t="shared" ref="C197:C260" si="15">B196</f>
        <v>44</v>
      </c>
      <c r="D197">
        <f t="shared" ref="D197:D260" si="16">B197-C197</f>
        <v>-3</v>
      </c>
      <c r="E197" s="4">
        <f t="shared" ref="E197:E260" si="17">ABS(D197)</f>
        <v>3</v>
      </c>
      <c r="F197" s="24">
        <f t="shared" ref="F197:F260" si="18">E197^2</f>
        <v>9</v>
      </c>
      <c r="G197" s="5">
        <f t="shared" ref="G197:G260" si="19">E197/B197</f>
        <v>7.3170731707317069E-2</v>
      </c>
    </row>
    <row r="198" spans="1:7" ht="15.75" customHeight="1">
      <c r="A198" s="3">
        <v>21747</v>
      </c>
      <c r="B198" s="4">
        <v>42</v>
      </c>
      <c r="C198">
        <f t="shared" si="15"/>
        <v>41</v>
      </c>
      <c r="D198">
        <f t="shared" si="16"/>
        <v>1</v>
      </c>
      <c r="E198" s="4">
        <f t="shared" si="17"/>
        <v>1</v>
      </c>
      <c r="F198" s="24">
        <f t="shared" si="18"/>
        <v>1</v>
      </c>
      <c r="G198" s="5">
        <f t="shared" si="19"/>
        <v>2.3809523809523808E-2</v>
      </c>
    </row>
    <row r="199" spans="1:7" ht="15.75" customHeight="1">
      <c r="A199" s="3">
        <v>21748</v>
      </c>
      <c r="B199" s="4">
        <v>36</v>
      </c>
      <c r="C199">
        <f t="shared" si="15"/>
        <v>42</v>
      </c>
      <c r="D199">
        <f t="shared" si="16"/>
        <v>-6</v>
      </c>
      <c r="E199" s="4">
        <f t="shared" si="17"/>
        <v>6</v>
      </c>
      <c r="F199" s="24">
        <f t="shared" si="18"/>
        <v>36</v>
      </c>
      <c r="G199" s="5">
        <f t="shared" si="19"/>
        <v>0.16666666666666666</v>
      </c>
    </row>
    <row r="200" spans="1:7" ht="15.75" customHeight="1">
      <c r="A200" s="3">
        <v>21749</v>
      </c>
      <c r="B200" s="4">
        <v>45</v>
      </c>
      <c r="C200">
        <f t="shared" si="15"/>
        <v>36</v>
      </c>
      <c r="D200">
        <f t="shared" si="16"/>
        <v>9</v>
      </c>
      <c r="E200" s="4">
        <f t="shared" si="17"/>
        <v>9</v>
      </c>
      <c r="F200" s="24">
        <f t="shared" si="18"/>
        <v>81</v>
      </c>
      <c r="G200" s="5">
        <f t="shared" si="19"/>
        <v>0.2</v>
      </c>
    </row>
    <row r="201" spans="1:7" ht="15.75" customHeight="1">
      <c r="A201" s="3">
        <v>21750</v>
      </c>
      <c r="B201" s="4">
        <v>45</v>
      </c>
      <c r="C201">
        <f t="shared" si="15"/>
        <v>45</v>
      </c>
      <c r="D201">
        <f t="shared" si="16"/>
        <v>0</v>
      </c>
      <c r="E201" s="4">
        <f t="shared" si="17"/>
        <v>0</v>
      </c>
      <c r="F201" s="24">
        <f t="shared" si="18"/>
        <v>0</v>
      </c>
      <c r="G201" s="5">
        <f t="shared" si="19"/>
        <v>0</v>
      </c>
    </row>
    <row r="202" spans="1:7" ht="15.75" customHeight="1">
      <c r="A202" s="3">
        <v>21751</v>
      </c>
      <c r="B202" s="4">
        <v>45</v>
      </c>
      <c r="C202">
        <f t="shared" si="15"/>
        <v>45</v>
      </c>
      <c r="D202">
        <f t="shared" si="16"/>
        <v>0</v>
      </c>
      <c r="E202" s="4">
        <f t="shared" si="17"/>
        <v>0</v>
      </c>
      <c r="F202" s="24">
        <f t="shared" si="18"/>
        <v>0</v>
      </c>
      <c r="G202" s="5">
        <f t="shared" si="19"/>
        <v>0</v>
      </c>
    </row>
    <row r="203" spans="1:7" ht="15.75" customHeight="1">
      <c r="A203" s="3">
        <v>21752</v>
      </c>
      <c r="B203" s="4">
        <v>47</v>
      </c>
      <c r="C203">
        <f t="shared" si="15"/>
        <v>45</v>
      </c>
      <c r="D203">
        <f t="shared" si="16"/>
        <v>2</v>
      </c>
      <c r="E203" s="4">
        <f t="shared" si="17"/>
        <v>2</v>
      </c>
      <c r="F203" s="24">
        <f t="shared" si="18"/>
        <v>4</v>
      </c>
      <c r="G203" s="5">
        <f t="shared" si="19"/>
        <v>4.2553191489361701E-2</v>
      </c>
    </row>
    <row r="204" spans="1:7" ht="15.75" customHeight="1">
      <c r="A204" s="3">
        <v>21753</v>
      </c>
      <c r="B204" s="4">
        <v>38</v>
      </c>
      <c r="C204">
        <f t="shared" si="15"/>
        <v>47</v>
      </c>
      <c r="D204">
        <f t="shared" si="16"/>
        <v>-9</v>
      </c>
      <c r="E204" s="4">
        <f t="shared" si="17"/>
        <v>9</v>
      </c>
      <c r="F204" s="24">
        <f t="shared" si="18"/>
        <v>81</v>
      </c>
      <c r="G204" s="5">
        <f t="shared" si="19"/>
        <v>0.23684210526315788</v>
      </c>
    </row>
    <row r="205" spans="1:7" ht="15.75" customHeight="1">
      <c r="A205" s="3">
        <v>21754</v>
      </c>
      <c r="B205" s="4">
        <v>42</v>
      </c>
      <c r="C205">
        <f t="shared" si="15"/>
        <v>38</v>
      </c>
      <c r="D205">
        <f t="shared" si="16"/>
        <v>4</v>
      </c>
      <c r="E205" s="4">
        <f t="shared" si="17"/>
        <v>4</v>
      </c>
      <c r="F205" s="24">
        <f t="shared" si="18"/>
        <v>16</v>
      </c>
      <c r="G205" s="5">
        <f t="shared" si="19"/>
        <v>9.5238095238095233E-2</v>
      </c>
    </row>
    <row r="206" spans="1:7" ht="15.75" customHeight="1">
      <c r="A206" s="3">
        <v>21755</v>
      </c>
      <c r="B206" s="4">
        <v>35</v>
      </c>
      <c r="C206">
        <f t="shared" si="15"/>
        <v>42</v>
      </c>
      <c r="D206">
        <f t="shared" si="16"/>
        <v>-7</v>
      </c>
      <c r="E206" s="4">
        <f t="shared" si="17"/>
        <v>7</v>
      </c>
      <c r="F206" s="24">
        <f t="shared" si="18"/>
        <v>49</v>
      </c>
      <c r="G206" s="5">
        <f t="shared" si="19"/>
        <v>0.2</v>
      </c>
    </row>
    <row r="207" spans="1:7" ht="15.75" customHeight="1">
      <c r="A207" s="3">
        <v>21756</v>
      </c>
      <c r="B207" s="4">
        <v>36</v>
      </c>
      <c r="C207">
        <f t="shared" si="15"/>
        <v>35</v>
      </c>
      <c r="D207">
        <f t="shared" si="16"/>
        <v>1</v>
      </c>
      <c r="E207" s="4">
        <f t="shared" si="17"/>
        <v>1</v>
      </c>
      <c r="F207" s="24">
        <f t="shared" si="18"/>
        <v>1</v>
      </c>
      <c r="G207" s="5">
        <f t="shared" si="19"/>
        <v>2.7777777777777776E-2</v>
      </c>
    </row>
    <row r="208" spans="1:7" ht="15.75" customHeight="1">
      <c r="A208" s="3">
        <v>21757</v>
      </c>
      <c r="B208" s="4">
        <v>39</v>
      </c>
      <c r="C208">
        <f t="shared" si="15"/>
        <v>36</v>
      </c>
      <c r="D208">
        <f t="shared" si="16"/>
        <v>3</v>
      </c>
      <c r="E208" s="4">
        <f t="shared" si="17"/>
        <v>3</v>
      </c>
      <c r="F208" s="24">
        <f t="shared" si="18"/>
        <v>9</v>
      </c>
      <c r="G208" s="5">
        <f t="shared" si="19"/>
        <v>7.6923076923076927E-2</v>
      </c>
    </row>
    <row r="209" spans="1:7" ht="15.75" customHeight="1">
      <c r="A209" s="3">
        <v>21758</v>
      </c>
      <c r="B209" s="4">
        <v>45</v>
      </c>
      <c r="C209">
        <f t="shared" si="15"/>
        <v>39</v>
      </c>
      <c r="D209">
        <f t="shared" si="16"/>
        <v>6</v>
      </c>
      <c r="E209" s="4">
        <f t="shared" si="17"/>
        <v>6</v>
      </c>
      <c r="F209" s="24">
        <f t="shared" si="18"/>
        <v>36</v>
      </c>
      <c r="G209" s="5">
        <f t="shared" si="19"/>
        <v>0.13333333333333333</v>
      </c>
    </row>
    <row r="210" spans="1:7" ht="15.75" customHeight="1">
      <c r="A210" s="3">
        <v>21759</v>
      </c>
      <c r="B210" s="4">
        <v>43</v>
      </c>
      <c r="C210">
        <f t="shared" si="15"/>
        <v>45</v>
      </c>
      <c r="D210">
        <f t="shared" si="16"/>
        <v>-2</v>
      </c>
      <c r="E210" s="4">
        <f t="shared" si="17"/>
        <v>2</v>
      </c>
      <c r="F210" s="24">
        <f t="shared" si="18"/>
        <v>4</v>
      </c>
      <c r="G210" s="5">
        <f t="shared" si="19"/>
        <v>4.6511627906976744E-2</v>
      </c>
    </row>
    <row r="211" spans="1:7" ht="15.75" customHeight="1">
      <c r="A211" s="3">
        <v>21760</v>
      </c>
      <c r="B211" s="4">
        <v>47</v>
      </c>
      <c r="C211">
        <f t="shared" si="15"/>
        <v>43</v>
      </c>
      <c r="D211">
        <f t="shared" si="16"/>
        <v>4</v>
      </c>
      <c r="E211" s="4">
        <f t="shared" si="17"/>
        <v>4</v>
      </c>
      <c r="F211" s="24">
        <f t="shared" si="18"/>
        <v>16</v>
      </c>
      <c r="G211" s="5">
        <f t="shared" si="19"/>
        <v>8.5106382978723402E-2</v>
      </c>
    </row>
    <row r="212" spans="1:7" ht="15.75" customHeight="1">
      <c r="A212" s="3">
        <v>21761</v>
      </c>
      <c r="B212" s="4">
        <v>36</v>
      </c>
      <c r="C212">
        <f t="shared" si="15"/>
        <v>47</v>
      </c>
      <c r="D212">
        <f t="shared" si="16"/>
        <v>-11</v>
      </c>
      <c r="E212" s="4">
        <f t="shared" si="17"/>
        <v>11</v>
      </c>
      <c r="F212" s="24">
        <f t="shared" si="18"/>
        <v>121</v>
      </c>
      <c r="G212" s="5">
        <f t="shared" si="19"/>
        <v>0.30555555555555558</v>
      </c>
    </row>
    <row r="213" spans="1:7" ht="15.75" customHeight="1">
      <c r="A213" s="3">
        <v>21762</v>
      </c>
      <c r="B213" s="4">
        <v>41</v>
      </c>
      <c r="C213">
        <f t="shared" si="15"/>
        <v>36</v>
      </c>
      <c r="D213">
        <f t="shared" si="16"/>
        <v>5</v>
      </c>
      <c r="E213" s="4">
        <f t="shared" si="17"/>
        <v>5</v>
      </c>
      <c r="F213" s="24">
        <f t="shared" si="18"/>
        <v>25</v>
      </c>
      <c r="G213" s="5">
        <f t="shared" si="19"/>
        <v>0.12195121951219512</v>
      </c>
    </row>
    <row r="214" spans="1:7" ht="15.75" customHeight="1">
      <c r="A214" s="3">
        <v>21763</v>
      </c>
      <c r="B214" s="4">
        <v>50</v>
      </c>
      <c r="C214">
        <f t="shared" si="15"/>
        <v>41</v>
      </c>
      <c r="D214">
        <f t="shared" si="16"/>
        <v>9</v>
      </c>
      <c r="E214" s="4">
        <f t="shared" si="17"/>
        <v>9</v>
      </c>
      <c r="F214" s="24">
        <f t="shared" si="18"/>
        <v>81</v>
      </c>
      <c r="G214" s="5">
        <f t="shared" si="19"/>
        <v>0.18</v>
      </c>
    </row>
    <row r="215" spans="1:7" ht="15.75" customHeight="1">
      <c r="A215" s="3">
        <v>21764</v>
      </c>
      <c r="B215" s="4">
        <v>39</v>
      </c>
      <c r="C215">
        <f t="shared" si="15"/>
        <v>50</v>
      </c>
      <c r="D215">
        <f t="shared" si="16"/>
        <v>-11</v>
      </c>
      <c r="E215" s="4">
        <f t="shared" si="17"/>
        <v>11</v>
      </c>
      <c r="F215" s="24">
        <f t="shared" si="18"/>
        <v>121</v>
      </c>
      <c r="G215" s="5">
        <f t="shared" si="19"/>
        <v>0.28205128205128205</v>
      </c>
    </row>
    <row r="216" spans="1:7" ht="15.75" customHeight="1">
      <c r="A216" s="3">
        <v>21765</v>
      </c>
      <c r="B216" s="4">
        <v>41</v>
      </c>
      <c r="C216">
        <f t="shared" si="15"/>
        <v>39</v>
      </c>
      <c r="D216">
        <f t="shared" si="16"/>
        <v>2</v>
      </c>
      <c r="E216" s="4">
        <f t="shared" si="17"/>
        <v>2</v>
      </c>
      <c r="F216" s="24">
        <f t="shared" si="18"/>
        <v>4</v>
      </c>
      <c r="G216" s="5">
        <f t="shared" si="19"/>
        <v>4.878048780487805E-2</v>
      </c>
    </row>
    <row r="217" spans="1:7" ht="15.75" customHeight="1">
      <c r="A217" s="3">
        <v>21766</v>
      </c>
      <c r="B217" s="4">
        <v>46</v>
      </c>
      <c r="C217">
        <f t="shared" si="15"/>
        <v>41</v>
      </c>
      <c r="D217">
        <f t="shared" si="16"/>
        <v>5</v>
      </c>
      <c r="E217" s="4">
        <f t="shared" si="17"/>
        <v>5</v>
      </c>
      <c r="F217" s="24">
        <f t="shared" si="18"/>
        <v>25</v>
      </c>
      <c r="G217" s="5">
        <f t="shared" si="19"/>
        <v>0.10869565217391304</v>
      </c>
    </row>
    <row r="218" spans="1:7" ht="15.75" customHeight="1">
      <c r="A218" s="3">
        <v>21767</v>
      </c>
      <c r="B218" s="4">
        <v>64</v>
      </c>
      <c r="C218">
        <f t="shared" si="15"/>
        <v>46</v>
      </c>
      <c r="D218">
        <f t="shared" si="16"/>
        <v>18</v>
      </c>
      <c r="E218" s="4">
        <f t="shared" si="17"/>
        <v>18</v>
      </c>
      <c r="F218" s="24">
        <f t="shared" si="18"/>
        <v>324</v>
      </c>
      <c r="G218" s="5">
        <f t="shared" si="19"/>
        <v>0.28125</v>
      </c>
    </row>
    <row r="219" spans="1:7" ht="15.75" customHeight="1">
      <c r="A219" s="3">
        <v>21768</v>
      </c>
      <c r="B219" s="4">
        <v>45</v>
      </c>
      <c r="C219">
        <f t="shared" si="15"/>
        <v>64</v>
      </c>
      <c r="D219">
        <f t="shared" si="16"/>
        <v>-19</v>
      </c>
      <c r="E219" s="4">
        <f t="shared" si="17"/>
        <v>19</v>
      </c>
      <c r="F219" s="24">
        <f t="shared" si="18"/>
        <v>361</v>
      </c>
      <c r="G219" s="5">
        <f t="shared" si="19"/>
        <v>0.42222222222222222</v>
      </c>
    </row>
    <row r="220" spans="1:7" ht="15.75" customHeight="1">
      <c r="A220" s="3">
        <v>21769</v>
      </c>
      <c r="B220" s="4">
        <v>34</v>
      </c>
      <c r="C220">
        <f t="shared" si="15"/>
        <v>45</v>
      </c>
      <c r="D220">
        <f t="shared" si="16"/>
        <v>-11</v>
      </c>
      <c r="E220" s="4">
        <f t="shared" si="17"/>
        <v>11</v>
      </c>
      <c r="F220" s="24">
        <f t="shared" si="18"/>
        <v>121</v>
      </c>
      <c r="G220" s="5">
        <f t="shared" si="19"/>
        <v>0.3235294117647059</v>
      </c>
    </row>
    <row r="221" spans="1:7" ht="15.75" customHeight="1">
      <c r="A221" s="3">
        <v>21770</v>
      </c>
      <c r="B221" s="4">
        <v>38</v>
      </c>
      <c r="C221">
        <f t="shared" si="15"/>
        <v>34</v>
      </c>
      <c r="D221">
        <f t="shared" si="16"/>
        <v>4</v>
      </c>
      <c r="E221" s="4">
        <f t="shared" si="17"/>
        <v>4</v>
      </c>
      <c r="F221" s="24">
        <f t="shared" si="18"/>
        <v>16</v>
      </c>
      <c r="G221" s="5">
        <f t="shared" si="19"/>
        <v>0.10526315789473684</v>
      </c>
    </row>
    <row r="222" spans="1:7" ht="15.75" customHeight="1">
      <c r="A222" s="3">
        <v>21771</v>
      </c>
      <c r="B222" s="4">
        <v>44</v>
      </c>
      <c r="C222">
        <f t="shared" si="15"/>
        <v>38</v>
      </c>
      <c r="D222">
        <f t="shared" si="16"/>
        <v>6</v>
      </c>
      <c r="E222" s="4">
        <f t="shared" si="17"/>
        <v>6</v>
      </c>
      <c r="F222" s="24">
        <f t="shared" si="18"/>
        <v>36</v>
      </c>
      <c r="G222" s="5">
        <f t="shared" si="19"/>
        <v>0.13636363636363635</v>
      </c>
    </row>
    <row r="223" spans="1:7" ht="15.75" customHeight="1">
      <c r="A223" s="3">
        <v>21772</v>
      </c>
      <c r="B223" s="4">
        <v>48</v>
      </c>
      <c r="C223">
        <f t="shared" si="15"/>
        <v>44</v>
      </c>
      <c r="D223">
        <f t="shared" si="16"/>
        <v>4</v>
      </c>
      <c r="E223" s="4">
        <f t="shared" si="17"/>
        <v>4</v>
      </c>
      <c r="F223" s="24">
        <f t="shared" si="18"/>
        <v>16</v>
      </c>
      <c r="G223" s="5">
        <f t="shared" si="19"/>
        <v>8.3333333333333329E-2</v>
      </c>
    </row>
    <row r="224" spans="1:7" ht="15.75" customHeight="1">
      <c r="A224" s="3">
        <v>21773</v>
      </c>
      <c r="B224" s="4">
        <v>46</v>
      </c>
      <c r="C224">
        <f t="shared" si="15"/>
        <v>48</v>
      </c>
      <c r="D224">
        <f t="shared" si="16"/>
        <v>-2</v>
      </c>
      <c r="E224" s="4">
        <f t="shared" si="17"/>
        <v>2</v>
      </c>
      <c r="F224" s="24">
        <f t="shared" si="18"/>
        <v>4</v>
      </c>
      <c r="G224" s="5">
        <f t="shared" si="19"/>
        <v>4.3478260869565216E-2</v>
      </c>
    </row>
    <row r="225" spans="1:7" ht="15.75" customHeight="1">
      <c r="A225" s="3">
        <v>21774</v>
      </c>
      <c r="B225" s="4">
        <v>44</v>
      </c>
      <c r="C225">
        <f t="shared" si="15"/>
        <v>46</v>
      </c>
      <c r="D225">
        <f t="shared" si="16"/>
        <v>-2</v>
      </c>
      <c r="E225" s="4">
        <f t="shared" si="17"/>
        <v>2</v>
      </c>
      <c r="F225" s="24">
        <f t="shared" si="18"/>
        <v>4</v>
      </c>
      <c r="G225" s="5">
        <f t="shared" si="19"/>
        <v>4.5454545454545456E-2</v>
      </c>
    </row>
    <row r="226" spans="1:7" ht="15.75" customHeight="1">
      <c r="A226" s="3">
        <v>21775</v>
      </c>
      <c r="B226" s="4">
        <v>37</v>
      </c>
      <c r="C226">
        <f t="shared" si="15"/>
        <v>44</v>
      </c>
      <c r="D226">
        <f t="shared" si="16"/>
        <v>-7</v>
      </c>
      <c r="E226" s="4">
        <f t="shared" si="17"/>
        <v>7</v>
      </c>
      <c r="F226" s="24">
        <f t="shared" si="18"/>
        <v>49</v>
      </c>
      <c r="G226" s="5">
        <f t="shared" si="19"/>
        <v>0.1891891891891892</v>
      </c>
    </row>
    <row r="227" spans="1:7" ht="15.75" customHeight="1">
      <c r="A227" s="3">
        <v>21776</v>
      </c>
      <c r="B227" s="4">
        <v>39</v>
      </c>
      <c r="C227">
        <f t="shared" si="15"/>
        <v>37</v>
      </c>
      <c r="D227">
        <f t="shared" si="16"/>
        <v>2</v>
      </c>
      <c r="E227" s="4">
        <f t="shared" si="17"/>
        <v>2</v>
      </c>
      <c r="F227" s="24">
        <f t="shared" si="18"/>
        <v>4</v>
      </c>
      <c r="G227" s="5">
        <f t="shared" si="19"/>
        <v>5.128205128205128E-2</v>
      </c>
    </row>
    <row r="228" spans="1:7" ht="15.75" customHeight="1">
      <c r="A228" s="3">
        <v>21777</v>
      </c>
      <c r="B228" s="4">
        <v>44</v>
      </c>
      <c r="C228">
        <f t="shared" si="15"/>
        <v>39</v>
      </c>
      <c r="D228">
        <f t="shared" si="16"/>
        <v>5</v>
      </c>
      <c r="E228" s="4">
        <f t="shared" si="17"/>
        <v>5</v>
      </c>
      <c r="F228" s="24">
        <f t="shared" si="18"/>
        <v>25</v>
      </c>
      <c r="G228" s="5">
        <f t="shared" si="19"/>
        <v>0.11363636363636363</v>
      </c>
    </row>
    <row r="229" spans="1:7" ht="15.75" customHeight="1">
      <c r="A229" s="3">
        <v>21778</v>
      </c>
      <c r="B229" s="4">
        <v>45</v>
      </c>
      <c r="C229">
        <f t="shared" si="15"/>
        <v>44</v>
      </c>
      <c r="D229">
        <f t="shared" si="16"/>
        <v>1</v>
      </c>
      <c r="E229" s="4">
        <f t="shared" si="17"/>
        <v>1</v>
      </c>
      <c r="F229" s="24">
        <f t="shared" si="18"/>
        <v>1</v>
      </c>
      <c r="G229" s="5">
        <f t="shared" si="19"/>
        <v>2.2222222222222223E-2</v>
      </c>
    </row>
    <row r="230" spans="1:7" ht="15.75" customHeight="1">
      <c r="A230" s="3">
        <v>21779</v>
      </c>
      <c r="B230" s="4">
        <v>33</v>
      </c>
      <c r="C230">
        <f t="shared" si="15"/>
        <v>45</v>
      </c>
      <c r="D230">
        <f t="shared" si="16"/>
        <v>-12</v>
      </c>
      <c r="E230" s="4">
        <f t="shared" si="17"/>
        <v>12</v>
      </c>
      <c r="F230" s="24">
        <f t="shared" si="18"/>
        <v>144</v>
      </c>
      <c r="G230" s="5">
        <f t="shared" si="19"/>
        <v>0.36363636363636365</v>
      </c>
    </row>
    <row r="231" spans="1:7" ht="15.75" customHeight="1">
      <c r="A231" s="3">
        <v>21780</v>
      </c>
      <c r="B231" s="4">
        <v>44</v>
      </c>
      <c r="C231">
        <f t="shared" si="15"/>
        <v>33</v>
      </c>
      <c r="D231">
        <f t="shared" si="16"/>
        <v>11</v>
      </c>
      <c r="E231" s="4">
        <f t="shared" si="17"/>
        <v>11</v>
      </c>
      <c r="F231" s="24">
        <f t="shared" si="18"/>
        <v>121</v>
      </c>
      <c r="G231" s="5">
        <f t="shared" si="19"/>
        <v>0.25</v>
      </c>
    </row>
    <row r="232" spans="1:7" ht="15.75" customHeight="1">
      <c r="A232" s="3">
        <v>21781</v>
      </c>
      <c r="B232" s="4">
        <v>38</v>
      </c>
      <c r="C232">
        <f t="shared" si="15"/>
        <v>44</v>
      </c>
      <c r="D232">
        <f t="shared" si="16"/>
        <v>-6</v>
      </c>
      <c r="E232" s="4">
        <f t="shared" si="17"/>
        <v>6</v>
      </c>
      <c r="F232" s="24">
        <f t="shared" si="18"/>
        <v>36</v>
      </c>
      <c r="G232" s="5">
        <f t="shared" si="19"/>
        <v>0.15789473684210525</v>
      </c>
    </row>
    <row r="233" spans="1:7" ht="15.75" customHeight="1">
      <c r="A233" s="3">
        <v>21782</v>
      </c>
      <c r="B233" s="4">
        <v>46</v>
      </c>
      <c r="C233">
        <f t="shared" si="15"/>
        <v>38</v>
      </c>
      <c r="D233">
        <f t="shared" si="16"/>
        <v>8</v>
      </c>
      <c r="E233" s="4">
        <f t="shared" si="17"/>
        <v>8</v>
      </c>
      <c r="F233" s="24">
        <f t="shared" si="18"/>
        <v>64</v>
      </c>
      <c r="G233" s="5">
        <f t="shared" si="19"/>
        <v>0.17391304347826086</v>
      </c>
    </row>
    <row r="234" spans="1:7" ht="15.75" customHeight="1">
      <c r="A234" s="3">
        <v>21783</v>
      </c>
      <c r="B234" s="4">
        <v>46</v>
      </c>
      <c r="C234">
        <f t="shared" si="15"/>
        <v>46</v>
      </c>
      <c r="D234">
        <f t="shared" si="16"/>
        <v>0</v>
      </c>
      <c r="E234" s="4">
        <f t="shared" si="17"/>
        <v>0</v>
      </c>
      <c r="F234" s="24">
        <f t="shared" si="18"/>
        <v>0</v>
      </c>
      <c r="G234" s="5">
        <f t="shared" si="19"/>
        <v>0</v>
      </c>
    </row>
    <row r="235" spans="1:7" ht="15.75" customHeight="1">
      <c r="A235" s="3">
        <v>21784</v>
      </c>
      <c r="B235" s="4">
        <v>40</v>
      </c>
      <c r="C235">
        <f t="shared" si="15"/>
        <v>46</v>
      </c>
      <c r="D235">
        <f t="shared" si="16"/>
        <v>-6</v>
      </c>
      <c r="E235" s="4">
        <f t="shared" si="17"/>
        <v>6</v>
      </c>
      <c r="F235" s="24">
        <f t="shared" si="18"/>
        <v>36</v>
      </c>
      <c r="G235" s="5">
        <f t="shared" si="19"/>
        <v>0.15</v>
      </c>
    </row>
    <row r="236" spans="1:7" ht="15.75" customHeight="1">
      <c r="A236" s="3">
        <v>21785</v>
      </c>
      <c r="B236" s="4">
        <v>39</v>
      </c>
      <c r="C236">
        <f t="shared" si="15"/>
        <v>40</v>
      </c>
      <c r="D236">
        <f t="shared" si="16"/>
        <v>-1</v>
      </c>
      <c r="E236" s="4">
        <f t="shared" si="17"/>
        <v>1</v>
      </c>
      <c r="F236" s="24">
        <f t="shared" si="18"/>
        <v>1</v>
      </c>
      <c r="G236" s="5">
        <f t="shared" si="19"/>
        <v>2.564102564102564E-2</v>
      </c>
    </row>
    <row r="237" spans="1:7" ht="15.75" customHeight="1">
      <c r="A237" s="3">
        <v>21786</v>
      </c>
      <c r="B237" s="4">
        <v>44</v>
      </c>
      <c r="C237">
        <f t="shared" si="15"/>
        <v>39</v>
      </c>
      <c r="D237">
        <f t="shared" si="16"/>
        <v>5</v>
      </c>
      <c r="E237" s="4">
        <f t="shared" si="17"/>
        <v>5</v>
      </c>
      <c r="F237" s="24">
        <f t="shared" si="18"/>
        <v>25</v>
      </c>
      <c r="G237" s="5">
        <f t="shared" si="19"/>
        <v>0.11363636363636363</v>
      </c>
    </row>
    <row r="238" spans="1:7" ht="15.75" customHeight="1">
      <c r="A238" s="3">
        <v>21787</v>
      </c>
      <c r="B238" s="4">
        <v>48</v>
      </c>
      <c r="C238">
        <f t="shared" si="15"/>
        <v>44</v>
      </c>
      <c r="D238">
        <f t="shared" si="16"/>
        <v>4</v>
      </c>
      <c r="E238" s="4">
        <f t="shared" si="17"/>
        <v>4</v>
      </c>
      <c r="F238" s="24">
        <f t="shared" si="18"/>
        <v>16</v>
      </c>
      <c r="G238" s="5">
        <f t="shared" si="19"/>
        <v>8.3333333333333329E-2</v>
      </c>
    </row>
    <row r="239" spans="1:7" ht="15.75" customHeight="1">
      <c r="A239" s="3">
        <v>21788</v>
      </c>
      <c r="B239" s="4">
        <v>50</v>
      </c>
      <c r="C239">
        <f t="shared" si="15"/>
        <v>48</v>
      </c>
      <c r="D239">
        <f t="shared" si="16"/>
        <v>2</v>
      </c>
      <c r="E239" s="4">
        <f t="shared" si="17"/>
        <v>2</v>
      </c>
      <c r="F239" s="24">
        <f t="shared" si="18"/>
        <v>4</v>
      </c>
      <c r="G239" s="5">
        <f t="shared" si="19"/>
        <v>0.04</v>
      </c>
    </row>
    <row r="240" spans="1:7" ht="15.75" customHeight="1">
      <c r="A240" s="3">
        <v>21789</v>
      </c>
      <c r="B240" s="4">
        <v>41</v>
      </c>
      <c r="C240">
        <f t="shared" si="15"/>
        <v>50</v>
      </c>
      <c r="D240">
        <f t="shared" si="16"/>
        <v>-9</v>
      </c>
      <c r="E240" s="4">
        <f t="shared" si="17"/>
        <v>9</v>
      </c>
      <c r="F240" s="24">
        <f t="shared" si="18"/>
        <v>81</v>
      </c>
      <c r="G240" s="5">
        <f t="shared" si="19"/>
        <v>0.21951219512195122</v>
      </c>
    </row>
    <row r="241" spans="1:7" ht="15.75" customHeight="1">
      <c r="A241" s="3">
        <v>21790</v>
      </c>
      <c r="B241" s="4">
        <v>42</v>
      </c>
      <c r="C241">
        <f t="shared" si="15"/>
        <v>41</v>
      </c>
      <c r="D241">
        <f t="shared" si="16"/>
        <v>1</v>
      </c>
      <c r="E241" s="4">
        <f t="shared" si="17"/>
        <v>1</v>
      </c>
      <c r="F241" s="24">
        <f t="shared" si="18"/>
        <v>1</v>
      </c>
      <c r="G241" s="5">
        <f t="shared" si="19"/>
        <v>2.3809523809523808E-2</v>
      </c>
    </row>
    <row r="242" spans="1:7" ht="15.75" customHeight="1">
      <c r="A242" s="3">
        <v>21791</v>
      </c>
      <c r="B242" s="4">
        <v>51</v>
      </c>
      <c r="C242">
        <f t="shared" si="15"/>
        <v>42</v>
      </c>
      <c r="D242">
        <f t="shared" si="16"/>
        <v>9</v>
      </c>
      <c r="E242" s="4">
        <f t="shared" si="17"/>
        <v>9</v>
      </c>
      <c r="F242" s="24">
        <f t="shared" si="18"/>
        <v>81</v>
      </c>
      <c r="G242" s="5">
        <f t="shared" si="19"/>
        <v>0.17647058823529413</v>
      </c>
    </row>
    <row r="243" spans="1:7" ht="15.75" customHeight="1">
      <c r="A243" s="3">
        <v>21792</v>
      </c>
      <c r="B243" s="4">
        <v>41</v>
      </c>
      <c r="C243">
        <f t="shared" si="15"/>
        <v>51</v>
      </c>
      <c r="D243">
        <f t="shared" si="16"/>
        <v>-10</v>
      </c>
      <c r="E243" s="4">
        <f t="shared" si="17"/>
        <v>10</v>
      </c>
      <c r="F243" s="24">
        <f t="shared" si="18"/>
        <v>100</v>
      </c>
      <c r="G243" s="5">
        <f t="shared" si="19"/>
        <v>0.24390243902439024</v>
      </c>
    </row>
    <row r="244" spans="1:7" ht="15.75" customHeight="1">
      <c r="A244" s="3">
        <v>21793</v>
      </c>
      <c r="B244" s="4">
        <v>44</v>
      </c>
      <c r="C244">
        <f t="shared" si="15"/>
        <v>41</v>
      </c>
      <c r="D244">
        <f t="shared" si="16"/>
        <v>3</v>
      </c>
      <c r="E244" s="4">
        <f t="shared" si="17"/>
        <v>3</v>
      </c>
      <c r="F244" s="24">
        <f t="shared" si="18"/>
        <v>9</v>
      </c>
      <c r="G244" s="5">
        <f t="shared" si="19"/>
        <v>6.8181818181818177E-2</v>
      </c>
    </row>
    <row r="245" spans="1:7" ht="15.75" customHeight="1">
      <c r="A245" s="3">
        <v>21794</v>
      </c>
      <c r="B245" s="4">
        <v>38</v>
      </c>
      <c r="C245">
        <f t="shared" si="15"/>
        <v>44</v>
      </c>
      <c r="D245">
        <f t="shared" si="16"/>
        <v>-6</v>
      </c>
      <c r="E245" s="4">
        <f t="shared" si="17"/>
        <v>6</v>
      </c>
      <c r="F245" s="24">
        <f t="shared" si="18"/>
        <v>36</v>
      </c>
      <c r="G245" s="5">
        <f t="shared" si="19"/>
        <v>0.15789473684210525</v>
      </c>
    </row>
    <row r="246" spans="1:7" ht="15.75" customHeight="1">
      <c r="A246" s="3">
        <v>21795</v>
      </c>
      <c r="B246" s="4">
        <v>68</v>
      </c>
      <c r="C246">
        <f t="shared" si="15"/>
        <v>38</v>
      </c>
      <c r="D246">
        <f t="shared" si="16"/>
        <v>30</v>
      </c>
      <c r="E246" s="4">
        <f t="shared" si="17"/>
        <v>30</v>
      </c>
      <c r="F246" s="24">
        <f t="shared" si="18"/>
        <v>900</v>
      </c>
      <c r="G246" s="5">
        <f t="shared" si="19"/>
        <v>0.44117647058823528</v>
      </c>
    </row>
    <row r="247" spans="1:7" ht="15.75" customHeight="1">
      <c r="A247" s="3">
        <v>21796</v>
      </c>
      <c r="B247" s="4">
        <v>40</v>
      </c>
      <c r="C247">
        <f t="shared" si="15"/>
        <v>68</v>
      </c>
      <c r="D247">
        <f t="shared" si="16"/>
        <v>-28</v>
      </c>
      <c r="E247" s="4">
        <f t="shared" si="17"/>
        <v>28</v>
      </c>
      <c r="F247" s="24">
        <f t="shared" si="18"/>
        <v>784</v>
      </c>
      <c r="G247" s="5">
        <f t="shared" si="19"/>
        <v>0.7</v>
      </c>
    </row>
    <row r="248" spans="1:7" ht="15.75" customHeight="1">
      <c r="A248" s="3">
        <v>21797</v>
      </c>
      <c r="B248" s="4">
        <v>42</v>
      </c>
      <c r="C248">
        <f t="shared" si="15"/>
        <v>40</v>
      </c>
      <c r="D248">
        <f t="shared" si="16"/>
        <v>2</v>
      </c>
      <c r="E248" s="4">
        <f t="shared" si="17"/>
        <v>2</v>
      </c>
      <c r="F248" s="24">
        <f t="shared" si="18"/>
        <v>4</v>
      </c>
      <c r="G248" s="5">
        <f t="shared" si="19"/>
        <v>4.7619047619047616E-2</v>
      </c>
    </row>
    <row r="249" spans="1:7" ht="15.75" customHeight="1">
      <c r="A249" s="3">
        <v>21798</v>
      </c>
      <c r="B249" s="4">
        <v>51</v>
      </c>
      <c r="C249">
        <f t="shared" si="15"/>
        <v>42</v>
      </c>
      <c r="D249">
        <f t="shared" si="16"/>
        <v>9</v>
      </c>
      <c r="E249" s="4">
        <f t="shared" si="17"/>
        <v>9</v>
      </c>
      <c r="F249" s="24">
        <f t="shared" si="18"/>
        <v>81</v>
      </c>
      <c r="G249" s="5">
        <f t="shared" si="19"/>
        <v>0.17647058823529413</v>
      </c>
    </row>
    <row r="250" spans="1:7" ht="15.75" customHeight="1">
      <c r="A250" s="3">
        <v>21799</v>
      </c>
      <c r="B250" s="4">
        <v>44</v>
      </c>
      <c r="C250">
        <f t="shared" si="15"/>
        <v>51</v>
      </c>
      <c r="D250">
        <f t="shared" si="16"/>
        <v>-7</v>
      </c>
      <c r="E250" s="4">
        <f t="shared" si="17"/>
        <v>7</v>
      </c>
      <c r="F250" s="24">
        <f t="shared" si="18"/>
        <v>49</v>
      </c>
      <c r="G250" s="5">
        <f t="shared" si="19"/>
        <v>0.15909090909090909</v>
      </c>
    </row>
    <row r="251" spans="1:7" ht="15.75" customHeight="1">
      <c r="A251" s="3">
        <v>21800</v>
      </c>
      <c r="B251" s="4">
        <v>45</v>
      </c>
      <c r="C251">
        <f t="shared" si="15"/>
        <v>44</v>
      </c>
      <c r="D251">
        <f t="shared" si="16"/>
        <v>1</v>
      </c>
      <c r="E251" s="4">
        <f t="shared" si="17"/>
        <v>1</v>
      </c>
      <c r="F251" s="24">
        <f t="shared" si="18"/>
        <v>1</v>
      </c>
      <c r="G251" s="5">
        <f t="shared" si="19"/>
        <v>2.2222222222222223E-2</v>
      </c>
    </row>
    <row r="252" spans="1:7" ht="15.75" customHeight="1">
      <c r="A252" s="3">
        <v>21801</v>
      </c>
      <c r="B252" s="4">
        <v>36</v>
      </c>
      <c r="C252">
        <f t="shared" si="15"/>
        <v>45</v>
      </c>
      <c r="D252">
        <f t="shared" si="16"/>
        <v>-9</v>
      </c>
      <c r="E252" s="4">
        <f t="shared" si="17"/>
        <v>9</v>
      </c>
      <c r="F252" s="24">
        <f t="shared" si="18"/>
        <v>81</v>
      </c>
      <c r="G252" s="5">
        <f t="shared" si="19"/>
        <v>0.25</v>
      </c>
    </row>
    <row r="253" spans="1:7" ht="15.75" customHeight="1">
      <c r="A253" s="3">
        <v>21802</v>
      </c>
      <c r="B253" s="4">
        <v>57</v>
      </c>
      <c r="C253">
        <f t="shared" si="15"/>
        <v>36</v>
      </c>
      <c r="D253">
        <f t="shared" si="16"/>
        <v>21</v>
      </c>
      <c r="E253" s="4">
        <f t="shared" si="17"/>
        <v>21</v>
      </c>
      <c r="F253" s="24">
        <f t="shared" si="18"/>
        <v>441</v>
      </c>
      <c r="G253" s="5">
        <f t="shared" si="19"/>
        <v>0.36842105263157893</v>
      </c>
    </row>
    <row r="254" spans="1:7" ht="15.75" customHeight="1">
      <c r="A254" s="3">
        <v>21803</v>
      </c>
      <c r="B254" s="4">
        <v>44</v>
      </c>
      <c r="C254">
        <f t="shared" si="15"/>
        <v>57</v>
      </c>
      <c r="D254">
        <f t="shared" si="16"/>
        <v>-13</v>
      </c>
      <c r="E254" s="4">
        <f t="shared" si="17"/>
        <v>13</v>
      </c>
      <c r="F254" s="24">
        <f t="shared" si="18"/>
        <v>169</v>
      </c>
      <c r="G254" s="5">
        <f t="shared" si="19"/>
        <v>0.29545454545454547</v>
      </c>
    </row>
    <row r="255" spans="1:7" ht="15.75" customHeight="1">
      <c r="A255" s="3">
        <v>21804</v>
      </c>
      <c r="B255" s="4">
        <v>42</v>
      </c>
      <c r="C255">
        <f t="shared" si="15"/>
        <v>44</v>
      </c>
      <c r="D255">
        <f t="shared" si="16"/>
        <v>-2</v>
      </c>
      <c r="E255" s="4">
        <f t="shared" si="17"/>
        <v>2</v>
      </c>
      <c r="F255" s="24">
        <f t="shared" si="18"/>
        <v>4</v>
      </c>
      <c r="G255" s="5">
        <f t="shared" si="19"/>
        <v>4.7619047619047616E-2</v>
      </c>
    </row>
    <row r="256" spans="1:7" ht="15.75" customHeight="1">
      <c r="A256" s="3">
        <v>21805</v>
      </c>
      <c r="B256" s="4">
        <v>53</v>
      </c>
      <c r="C256">
        <f t="shared" si="15"/>
        <v>42</v>
      </c>
      <c r="D256">
        <f t="shared" si="16"/>
        <v>11</v>
      </c>
      <c r="E256" s="4">
        <f t="shared" si="17"/>
        <v>11</v>
      </c>
      <c r="F256" s="24">
        <f t="shared" si="18"/>
        <v>121</v>
      </c>
      <c r="G256" s="5">
        <f t="shared" si="19"/>
        <v>0.20754716981132076</v>
      </c>
    </row>
    <row r="257" spans="1:7" ht="15.75" customHeight="1">
      <c r="A257" s="3">
        <v>21806</v>
      </c>
      <c r="B257" s="4">
        <v>42</v>
      </c>
      <c r="C257">
        <f t="shared" si="15"/>
        <v>53</v>
      </c>
      <c r="D257">
        <f t="shared" si="16"/>
        <v>-11</v>
      </c>
      <c r="E257" s="4">
        <f t="shared" si="17"/>
        <v>11</v>
      </c>
      <c r="F257" s="24">
        <f t="shared" si="18"/>
        <v>121</v>
      </c>
      <c r="G257" s="5">
        <f t="shared" si="19"/>
        <v>0.26190476190476192</v>
      </c>
    </row>
    <row r="258" spans="1:7" ht="15.75" customHeight="1">
      <c r="A258" s="3">
        <v>21807</v>
      </c>
      <c r="B258" s="4">
        <v>34</v>
      </c>
      <c r="C258">
        <f t="shared" si="15"/>
        <v>42</v>
      </c>
      <c r="D258">
        <f t="shared" si="16"/>
        <v>-8</v>
      </c>
      <c r="E258" s="4">
        <f t="shared" si="17"/>
        <v>8</v>
      </c>
      <c r="F258" s="24">
        <f t="shared" si="18"/>
        <v>64</v>
      </c>
      <c r="G258" s="5">
        <f t="shared" si="19"/>
        <v>0.23529411764705882</v>
      </c>
    </row>
    <row r="259" spans="1:7" ht="15.75" customHeight="1">
      <c r="A259" s="3">
        <v>21808</v>
      </c>
      <c r="B259" s="4">
        <v>40</v>
      </c>
      <c r="C259">
        <f t="shared" si="15"/>
        <v>34</v>
      </c>
      <c r="D259">
        <f t="shared" si="16"/>
        <v>6</v>
      </c>
      <c r="E259" s="4">
        <f t="shared" si="17"/>
        <v>6</v>
      </c>
      <c r="F259" s="24">
        <f t="shared" si="18"/>
        <v>36</v>
      </c>
      <c r="G259" s="5">
        <f t="shared" si="19"/>
        <v>0.15</v>
      </c>
    </row>
    <row r="260" spans="1:7" ht="15.75" customHeight="1">
      <c r="A260" s="3">
        <v>21809</v>
      </c>
      <c r="B260" s="4">
        <v>56</v>
      </c>
      <c r="C260">
        <f t="shared" si="15"/>
        <v>40</v>
      </c>
      <c r="D260">
        <f t="shared" si="16"/>
        <v>16</v>
      </c>
      <c r="E260" s="4">
        <f t="shared" si="17"/>
        <v>16</v>
      </c>
      <c r="F260" s="24">
        <f t="shared" si="18"/>
        <v>256</v>
      </c>
      <c r="G260" s="5">
        <f t="shared" si="19"/>
        <v>0.2857142857142857</v>
      </c>
    </row>
    <row r="261" spans="1:7" ht="15.75" customHeight="1">
      <c r="A261" s="3">
        <v>21810</v>
      </c>
      <c r="B261" s="4">
        <v>44</v>
      </c>
      <c r="C261">
        <f t="shared" ref="C261:C324" si="20">B260</f>
        <v>56</v>
      </c>
      <c r="D261">
        <f t="shared" ref="D261:D324" si="21">B261-C261</f>
        <v>-12</v>
      </c>
      <c r="E261" s="4">
        <f t="shared" ref="E261:E324" si="22">ABS(D261)</f>
        <v>12</v>
      </c>
      <c r="F261" s="24">
        <f t="shared" ref="F261:F324" si="23">E261^2</f>
        <v>144</v>
      </c>
      <c r="G261" s="5">
        <f t="shared" ref="G261:G324" si="24">E261/B261</f>
        <v>0.27272727272727271</v>
      </c>
    </row>
    <row r="262" spans="1:7" ht="15.75" customHeight="1">
      <c r="A262" s="3">
        <v>21811</v>
      </c>
      <c r="B262" s="4">
        <v>53</v>
      </c>
      <c r="C262">
        <f t="shared" si="20"/>
        <v>44</v>
      </c>
      <c r="D262">
        <f t="shared" si="21"/>
        <v>9</v>
      </c>
      <c r="E262" s="4">
        <f t="shared" si="22"/>
        <v>9</v>
      </c>
      <c r="F262" s="24">
        <f t="shared" si="23"/>
        <v>81</v>
      </c>
      <c r="G262" s="5">
        <f t="shared" si="24"/>
        <v>0.16981132075471697</v>
      </c>
    </row>
    <row r="263" spans="1:7" ht="15.75" customHeight="1">
      <c r="A263" s="3">
        <v>21812</v>
      </c>
      <c r="B263" s="4">
        <v>55</v>
      </c>
      <c r="C263">
        <f t="shared" si="20"/>
        <v>53</v>
      </c>
      <c r="D263">
        <f t="shared" si="21"/>
        <v>2</v>
      </c>
      <c r="E263" s="4">
        <f t="shared" si="22"/>
        <v>2</v>
      </c>
      <c r="F263" s="24">
        <f t="shared" si="23"/>
        <v>4</v>
      </c>
      <c r="G263" s="5">
        <f t="shared" si="24"/>
        <v>3.6363636363636362E-2</v>
      </c>
    </row>
    <row r="264" spans="1:7" ht="15.75" customHeight="1">
      <c r="A264" s="3">
        <v>21813</v>
      </c>
      <c r="B264" s="4">
        <v>39</v>
      </c>
      <c r="C264">
        <f t="shared" si="20"/>
        <v>55</v>
      </c>
      <c r="D264">
        <f t="shared" si="21"/>
        <v>-16</v>
      </c>
      <c r="E264" s="4">
        <f t="shared" si="22"/>
        <v>16</v>
      </c>
      <c r="F264" s="24">
        <f t="shared" si="23"/>
        <v>256</v>
      </c>
      <c r="G264" s="5">
        <f t="shared" si="24"/>
        <v>0.41025641025641024</v>
      </c>
    </row>
    <row r="265" spans="1:7" ht="15.75" customHeight="1">
      <c r="A265" s="3">
        <v>21814</v>
      </c>
      <c r="B265" s="4">
        <v>59</v>
      </c>
      <c r="C265">
        <f t="shared" si="20"/>
        <v>39</v>
      </c>
      <c r="D265">
        <f t="shared" si="21"/>
        <v>20</v>
      </c>
      <c r="E265" s="4">
        <f t="shared" si="22"/>
        <v>20</v>
      </c>
      <c r="F265" s="24">
        <f t="shared" si="23"/>
        <v>400</v>
      </c>
      <c r="G265" s="5">
        <f t="shared" si="24"/>
        <v>0.33898305084745761</v>
      </c>
    </row>
    <row r="266" spans="1:7" ht="15.75" customHeight="1">
      <c r="A266" s="3">
        <v>21815</v>
      </c>
      <c r="B266" s="4">
        <v>55</v>
      </c>
      <c r="C266">
        <f t="shared" si="20"/>
        <v>59</v>
      </c>
      <c r="D266">
        <f t="shared" si="21"/>
        <v>-4</v>
      </c>
      <c r="E266" s="4">
        <f t="shared" si="22"/>
        <v>4</v>
      </c>
      <c r="F266" s="24">
        <f t="shared" si="23"/>
        <v>16</v>
      </c>
      <c r="G266" s="5">
        <f t="shared" si="24"/>
        <v>7.2727272727272724E-2</v>
      </c>
    </row>
    <row r="267" spans="1:7" ht="15.75" customHeight="1">
      <c r="A267" s="3">
        <v>21816</v>
      </c>
      <c r="B267" s="4">
        <v>73</v>
      </c>
      <c r="C267">
        <f t="shared" si="20"/>
        <v>55</v>
      </c>
      <c r="D267">
        <f t="shared" si="21"/>
        <v>18</v>
      </c>
      <c r="E267" s="4">
        <f t="shared" si="22"/>
        <v>18</v>
      </c>
      <c r="F267" s="24">
        <f t="shared" si="23"/>
        <v>324</v>
      </c>
      <c r="G267" s="5">
        <f t="shared" si="24"/>
        <v>0.24657534246575341</v>
      </c>
    </row>
    <row r="268" spans="1:7" ht="15.75" customHeight="1">
      <c r="A268" s="3">
        <v>21817</v>
      </c>
      <c r="B268" s="4">
        <v>55</v>
      </c>
      <c r="C268">
        <f t="shared" si="20"/>
        <v>73</v>
      </c>
      <c r="D268">
        <f t="shared" si="21"/>
        <v>-18</v>
      </c>
      <c r="E268" s="4">
        <f t="shared" si="22"/>
        <v>18</v>
      </c>
      <c r="F268" s="24">
        <f t="shared" si="23"/>
        <v>324</v>
      </c>
      <c r="G268" s="5">
        <f t="shared" si="24"/>
        <v>0.32727272727272727</v>
      </c>
    </row>
    <row r="269" spans="1:7" ht="15.75" customHeight="1">
      <c r="A269" s="3">
        <v>21818</v>
      </c>
      <c r="B269" s="4">
        <v>44</v>
      </c>
      <c r="C269">
        <f t="shared" si="20"/>
        <v>55</v>
      </c>
      <c r="D269">
        <f t="shared" si="21"/>
        <v>-11</v>
      </c>
      <c r="E269" s="4">
        <f t="shared" si="22"/>
        <v>11</v>
      </c>
      <c r="F269" s="24">
        <f t="shared" si="23"/>
        <v>121</v>
      </c>
      <c r="G269" s="5">
        <f t="shared" si="24"/>
        <v>0.25</v>
      </c>
    </row>
    <row r="270" spans="1:7" ht="15.75" customHeight="1">
      <c r="A270" s="3">
        <v>21819</v>
      </c>
      <c r="B270" s="4">
        <v>43</v>
      </c>
      <c r="C270">
        <f t="shared" si="20"/>
        <v>44</v>
      </c>
      <c r="D270">
        <f t="shared" si="21"/>
        <v>-1</v>
      </c>
      <c r="E270" s="4">
        <f t="shared" si="22"/>
        <v>1</v>
      </c>
      <c r="F270" s="24">
        <f t="shared" si="23"/>
        <v>1</v>
      </c>
      <c r="G270" s="5">
        <f t="shared" si="24"/>
        <v>2.3255813953488372E-2</v>
      </c>
    </row>
    <row r="271" spans="1:7" ht="15.75" customHeight="1">
      <c r="A271" s="3">
        <v>21820</v>
      </c>
      <c r="B271" s="4">
        <v>40</v>
      </c>
      <c r="C271">
        <f t="shared" si="20"/>
        <v>43</v>
      </c>
      <c r="D271">
        <f t="shared" si="21"/>
        <v>-3</v>
      </c>
      <c r="E271" s="4">
        <f t="shared" si="22"/>
        <v>3</v>
      </c>
      <c r="F271" s="24">
        <f t="shared" si="23"/>
        <v>9</v>
      </c>
      <c r="G271" s="5">
        <f t="shared" si="24"/>
        <v>7.4999999999999997E-2</v>
      </c>
    </row>
    <row r="272" spans="1:7" ht="15.75" customHeight="1">
      <c r="A272" s="3">
        <v>21821</v>
      </c>
      <c r="B272" s="4">
        <v>47</v>
      </c>
      <c r="C272">
        <f t="shared" si="20"/>
        <v>40</v>
      </c>
      <c r="D272">
        <f t="shared" si="21"/>
        <v>7</v>
      </c>
      <c r="E272" s="4">
        <f t="shared" si="22"/>
        <v>7</v>
      </c>
      <c r="F272" s="24">
        <f t="shared" si="23"/>
        <v>49</v>
      </c>
      <c r="G272" s="5">
        <f t="shared" si="24"/>
        <v>0.14893617021276595</v>
      </c>
    </row>
    <row r="273" spans="1:7" ht="15.75" customHeight="1">
      <c r="A273" s="3">
        <v>21822</v>
      </c>
      <c r="B273" s="4">
        <v>51</v>
      </c>
      <c r="C273">
        <f t="shared" si="20"/>
        <v>47</v>
      </c>
      <c r="D273">
        <f t="shared" si="21"/>
        <v>4</v>
      </c>
      <c r="E273" s="4">
        <f t="shared" si="22"/>
        <v>4</v>
      </c>
      <c r="F273" s="24">
        <f t="shared" si="23"/>
        <v>16</v>
      </c>
      <c r="G273" s="5">
        <f t="shared" si="24"/>
        <v>7.8431372549019607E-2</v>
      </c>
    </row>
    <row r="274" spans="1:7" ht="15.75" customHeight="1">
      <c r="A274" s="3">
        <v>21823</v>
      </c>
      <c r="B274" s="4">
        <v>56</v>
      </c>
      <c r="C274">
        <f t="shared" si="20"/>
        <v>51</v>
      </c>
      <c r="D274">
        <f t="shared" si="21"/>
        <v>5</v>
      </c>
      <c r="E274" s="4">
        <f t="shared" si="22"/>
        <v>5</v>
      </c>
      <c r="F274" s="24">
        <f t="shared" si="23"/>
        <v>25</v>
      </c>
      <c r="G274" s="5">
        <f t="shared" si="24"/>
        <v>8.9285714285714288E-2</v>
      </c>
    </row>
    <row r="275" spans="1:7" ht="15.75" customHeight="1">
      <c r="A275" s="3">
        <v>21824</v>
      </c>
      <c r="B275" s="4">
        <v>49</v>
      </c>
      <c r="C275">
        <f t="shared" si="20"/>
        <v>56</v>
      </c>
      <c r="D275">
        <f t="shared" si="21"/>
        <v>-7</v>
      </c>
      <c r="E275" s="4">
        <f t="shared" si="22"/>
        <v>7</v>
      </c>
      <c r="F275" s="24">
        <f t="shared" si="23"/>
        <v>49</v>
      </c>
      <c r="G275" s="5">
        <f t="shared" si="24"/>
        <v>0.14285714285714285</v>
      </c>
    </row>
    <row r="276" spans="1:7" ht="15.75" customHeight="1">
      <c r="A276" s="3">
        <v>21825</v>
      </c>
      <c r="B276" s="4">
        <v>54</v>
      </c>
      <c r="C276">
        <f t="shared" si="20"/>
        <v>49</v>
      </c>
      <c r="D276">
        <f t="shared" si="21"/>
        <v>5</v>
      </c>
      <c r="E276" s="4">
        <f t="shared" si="22"/>
        <v>5</v>
      </c>
      <c r="F276" s="24">
        <f t="shared" si="23"/>
        <v>25</v>
      </c>
      <c r="G276" s="5">
        <f t="shared" si="24"/>
        <v>9.2592592592592587E-2</v>
      </c>
    </row>
    <row r="277" spans="1:7" ht="15.75" customHeight="1">
      <c r="A277" s="3">
        <v>21826</v>
      </c>
      <c r="B277" s="4">
        <v>56</v>
      </c>
      <c r="C277">
        <f t="shared" si="20"/>
        <v>54</v>
      </c>
      <c r="D277">
        <f t="shared" si="21"/>
        <v>2</v>
      </c>
      <c r="E277" s="4">
        <f t="shared" si="22"/>
        <v>2</v>
      </c>
      <c r="F277" s="24">
        <f t="shared" si="23"/>
        <v>4</v>
      </c>
      <c r="G277" s="5">
        <f t="shared" si="24"/>
        <v>3.5714285714285712E-2</v>
      </c>
    </row>
    <row r="278" spans="1:7" ht="15.75" customHeight="1">
      <c r="A278" s="3">
        <v>21827</v>
      </c>
      <c r="B278" s="4">
        <v>47</v>
      </c>
      <c r="C278">
        <f t="shared" si="20"/>
        <v>56</v>
      </c>
      <c r="D278">
        <f t="shared" si="21"/>
        <v>-9</v>
      </c>
      <c r="E278" s="4">
        <f t="shared" si="22"/>
        <v>9</v>
      </c>
      <c r="F278" s="24">
        <f t="shared" si="23"/>
        <v>81</v>
      </c>
      <c r="G278" s="5">
        <f t="shared" si="24"/>
        <v>0.19148936170212766</v>
      </c>
    </row>
    <row r="279" spans="1:7" ht="15.75" customHeight="1">
      <c r="A279" s="3">
        <v>21828</v>
      </c>
      <c r="B279" s="4">
        <v>44</v>
      </c>
      <c r="C279">
        <f t="shared" si="20"/>
        <v>47</v>
      </c>
      <c r="D279">
        <f t="shared" si="21"/>
        <v>-3</v>
      </c>
      <c r="E279" s="4">
        <f t="shared" si="22"/>
        <v>3</v>
      </c>
      <c r="F279" s="24">
        <f t="shared" si="23"/>
        <v>9</v>
      </c>
      <c r="G279" s="5">
        <f t="shared" si="24"/>
        <v>6.8181818181818177E-2</v>
      </c>
    </row>
    <row r="280" spans="1:7" ht="15.75" customHeight="1">
      <c r="A280" s="3">
        <v>21829</v>
      </c>
      <c r="B280" s="4">
        <v>43</v>
      </c>
      <c r="C280">
        <f t="shared" si="20"/>
        <v>44</v>
      </c>
      <c r="D280">
        <f t="shared" si="21"/>
        <v>-1</v>
      </c>
      <c r="E280" s="4">
        <f t="shared" si="22"/>
        <v>1</v>
      </c>
      <c r="F280" s="24">
        <f t="shared" si="23"/>
        <v>1</v>
      </c>
      <c r="G280" s="5">
        <f t="shared" si="24"/>
        <v>2.3255813953488372E-2</v>
      </c>
    </row>
    <row r="281" spans="1:7" ht="15.75" customHeight="1">
      <c r="A281" s="3">
        <v>21830</v>
      </c>
      <c r="B281" s="4">
        <v>42</v>
      </c>
      <c r="C281">
        <f t="shared" si="20"/>
        <v>43</v>
      </c>
      <c r="D281">
        <f t="shared" si="21"/>
        <v>-1</v>
      </c>
      <c r="E281" s="4">
        <f t="shared" si="22"/>
        <v>1</v>
      </c>
      <c r="F281" s="24">
        <f t="shared" si="23"/>
        <v>1</v>
      </c>
      <c r="G281" s="5">
        <f t="shared" si="24"/>
        <v>2.3809523809523808E-2</v>
      </c>
    </row>
    <row r="282" spans="1:7" ht="15.75" customHeight="1">
      <c r="A282" s="3">
        <v>21831</v>
      </c>
      <c r="B282" s="4">
        <v>45</v>
      </c>
      <c r="C282">
        <f t="shared" si="20"/>
        <v>42</v>
      </c>
      <c r="D282">
        <f t="shared" si="21"/>
        <v>3</v>
      </c>
      <c r="E282" s="4">
        <f t="shared" si="22"/>
        <v>3</v>
      </c>
      <c r="F282" s="24">
        <f t="shared" si="23"/>
        <v>9</v>
      </c>
      <c r="G282" s="5">
        <f t="shared" si="24"/>
        <v>6.6666666666666666E-2</v>
      </c>
    </row>
    <row r="283" spans="1:7" ht="15.75" customHeight="1">
      <c r="A283" s="3">
        <v>21832</v>
      </c>
      <c r="B283" s="4">
        <v>50</v>
      </c>
      <c r="C283">
        <f t="shared" si="20"/>
        <v>45</v>
      </c>
      <c r="D283">
        <f t="shared" si="21"/>
        <v>5</v>
      </c>
      <c r="E283" s="4">
        <f t="shared" si="22"/>
        <v>5</v>
      </c>
      <c r="F283" s="24">
        <f t="shared" si="23"/>
        <v>25</v>
      </c>
      <c r="G283" s="5">
        <f t="shared" si="24"/>
        <v>0.1</v>
      </c>
    </row>
    <row r="284" spans="1:7" ht="15.75" customHeight="1">
      <c r="A284" s="3">
        <v>21833</v>
      </c>
      <c r="B284" s="4">
        <v>48</v>
      </c>
      <c r="C284">
        <f t="shared" si="20"/>
        <v>50</v>
      </c>
      <c r="D284">
        <f t="shared" si="21"/>
        <v>-2</v>
      </c>
      <c r="E284" s="4">
        <f t="shared" si="22"/>
        <v>2</v>
      </c>
      <c r="F284" s="24">
        <f t="shared" si="23"/>
        <v>4</v>
      </c>
      <c r="G284" s="5">
        <f t="shared" si="24"/>
        <v>4.1666666666666664E-2</v>
      </c>
    </row>
    <row r="285" spans="1:7" ht="15.75" customHeight="1">
      <c r="A285" s="3">
        <v>21834</v>
      </c>
      <c r="B285" s="4">
        <v>43</v>
      </c>
      <c r="C285">
        <f t="shared" si="20"/>
        <v>48</v>
      </c>
      <c r="D285">
        <f t="shared" si="21"/>
        <v>-5</v>
      </c>
      <c r="E285" s="4">
        <f t="shared" si="22"/>
        <v>5</v>
      </c>
      <c r="F285" s="24">
        <f t="shared" si="23"/>
        <v>25</v>
      </c>
      <c r="G285" s="5">
        <f t="shared" si="24"/>
        <v>0.11627906976744186</v>
      </c>
    </row>
    <row r="286" spans="1:7" ht="15.75" customHeight="1">
      <c r="A286" s="3">
        <v>21835</v>
      </c>
      <c r="B286" s="4">
        <v>40</v>
      </c>
      <c r="C286">
        <f t="shared" si="20"/>
        <v>43</v>
      </c>
      <c r="D286">
        <f t="shared" si="21"/>
        <v>-3</v>
      </c>
      <c r="E286" s="4">
        <f t="shared" si="22"/>
        <v>3</v>
      </c>
      <c r="F286" s="24">
        <f t="shared" si="23"/>
        <v>9</v>
      </c>
      <c r="G286" s="5">
        <f t="shared" si="24"/>
        <v>7.4999999999999997E-2</v>
      </c>
    </row>
    <row r="287" spans="1:7" ht="15.75" customHeight="1">
      <c r="A287" s="3">
        <v>21836</v>
      </c>
      <c r="B287" s="4">
        <v>59</v>
      </c>
      <c r="C287">
        <f t="shared" si="20"/>
        <v>40</v>
      </c>
      <c r="D287">
        <f t="shared" si="21"/>
        <v>19</v>
      </c>
      <c r="E287" s="4">
        <f t="shared" si="22"/>
        <v>19</v>
      </c>
      <c r="F287" s="24">
        <f t="shared" si="23"/>
        <v>361</v>
      </c>
      <c r="G287" s="5">
        <f t="shared" si="24"/>
        <v>0.32203389830508472</v>
      </c>
    </row>
    <row r="288" spans="1:7" ht="15.75" customHeight="1">
      <c r="A288" s="3">
        <v>21837</v>
      </c>
      <c r="B288" s="4">
        <v>41</v>
      </c>
      <c r="C288">
        <f t="shared" si="20"/>
        <v>59</v>
      </c>
      <c r="D288">
        <f t="shared" si="21"/>
        <v>-18</v>
      </c>
      <c r="E288" s="4">
        <f t="shared" si="22"/>
        <v>18</v>
      </c>
      <c r="F288" s="24">
        <f t="shared" si="23"/>
        <v>324</v>
      </c>
      <c r="G288" s="5">
        <f t="shared" si="24"/>
        <v>0.43902439024390244</v>
      </c>
    </row>
    <row r="289" spans="1:7" ht="15.75" customHeight="1">
      <c r="A289" s="3">
        <v>21838</v>
      </c>
      <c r="B289" s="4">
        <v>42</v>
      </c>
      <c r="C289">
        <f t="shared" si="20"/>
        <v>41</v>
      </c>
      <c r="D289">
        <f t="shared" si="21"/>
        <v>1</v>
      </c>
      <c r="E289" s="4">
        <f t="shared" si="22"/>
        <v>1</v>
      </c>
      <c r="F289" s="24">
        <f t="shared" si="23"/>
        <v>1</v>
      </c>
      <c r="G289" s="5">
        <f t="shared" si="24"/>
        <v>2.3809523809523808E-2</v>
      </c>
    </row>
    <row r="290" spans="1:7" ht="15.75" customHeight="1">
      <c r="A290" s="3">
        <v>21839</v>
      </c>
      <c r="B290" s="4">
        <v>51</v>
      </c>
      <c r="C290">
        <f t="shared" si="20"/>
        <v>42</v>
      </c>
      <c r="D290">
        <f t="shared" si="21"/>
        <v>9</v>
      </c>
      <c r="E290" s="4">
        <f t="shared" si="22"/>
        <v>9</v>
      </c>
      <c r="F290" s="24">
        <f t="shared" si="23"/>
        <v>81</v>
      </c>
      <c r="G290" s="5">
        <f t="shared" si="24"/>
        <v>0.17647058823529413</v>
      </c>
    </row>
    <row r="291" spans="1:7" ht="15.75" customHeight="1">
      <c r="A291" s="3">
        <v>21840</v>
      </c>
      <c r="B291" s="4">
        <v>49</v>
      </c>
      <c r="C291">
        <f t="shared" si="20"/>
        <v>51</v>
      </c>
      <c r="D291">
        <f t="shared" si="21"/>
        <v>-2</v>
      </c>
      <c r="E291" s="4">
        <f t="shared" si="22"/>
        <v>2</v>
      </c>
      <c r="F291" s="24">
        <f t="shared" si="23"/>
        <v>4</v>
      </c>
      <c r="G291" s="5">
        <f t="shared" si="24"/>
        <v>4.0816326530612242E-2</v>
      </c>
    </row>
    <row r="292" spans="1:7" ht="15.75" customHeight="1">
      <c r="A292" s="3">
        <v>21841</v>
      </c>
      <c r="B292" s="4">
        <v>45</v>
      </c>
      <c r="C292">
        <f t="shared" si="20"/>
        <v>49</v>
      </c>
      <c r="D292">
        <f t="shared" si="21"/>
        <v>-4</v>
      </c>
      <c r="E292" s="4">
        <f t="shared" si="22"/>
        <v>4</v>
      </c>
      <c r="F292" s="24">
        <f t="shared" si="23"/>
        <v>16</v>
      </c>
      <c r="G292" s="5">
        <f t="shared" si="24"/>
        <v>8.8888888888888892E-2</v>
      </c>
    </row>
    <row r="293" spans="1:7" ht="15.75" customHeight="1">
      <c r="A293" s="3">
        <v>21842</v>
      </c>
      <c r="B293" s="4">
        <v>43</v>
      </c>
      <c r="C293">
        <f t="shared" si="20"/>
        <v>45</v>
      </c>
      <c r="D293">
        <f t="shared" si="21"/>
        <v>-2</v>
      </c>
      <c r="E293" s="4">
        <f t="shared" si="22"/>
        <v>2</v>
      </c>
      <c r="F293" s="24">
        <f t="shared" si="23"/>
        <v>4</v>
      </c>
      <c r="G293" s="5">
        <f t="shared" si="24"/>
        <v>4.6511627906976744E-2</v>
      </c>
    </row>
    <row r="294" spans="1:7" ht="15.75" customHeight="1">
      <c r="A294" s="3">
        <v>21843</v>
      </c>
      <c r="B294" s="4">
        <v>42</v>
      </c>
      <c r="C294">
        <f t="shared" si="20"/>
        <v>43</v>
      </c>
      <c r="D294">
        <f t="shared" si="21"/>
        <v>-1</v>
      </c>
      <c r="E294" s="4">
        <f t="shared" si="22"/>
        <v>1</v>
      </c>
      <c r="F294" s="24">
        <f t="shared" si="23"/>
        <v>1</v>
      </c>
      <c r="G294" s="5">
        <f t="shared" si="24"/>
        <v>2.3809523809523808E-2</v>
      </c>
    </row>
    <row r="295" spans="1:7" ht="15.75" customHeight="1">
      <c r="A295" s="3">
        <v>21844</v>
      </c>
      <c r="B295" s="4">
        <v>38</v>
      </c>
      <c r="C295">
        <f t="shared" si="20"/>
        <v>42</v>
      </c>
      <c r="D295">
        <f t="shared" si="21"/>
        <v>-4</v>
      </c>
      <c r="E295" s="4">
        <f t="shared" si="22"/>
        <v>4</v>
      </c>
      <c r="F295" s="24">
        <f t="shared" si="23"/>
        <v>16</v>
      </c>
      <c r="G295" s="5">
        <f t="shared" si="24"/>
        <v>0.10526315789473684</v>
      </c>
    </row>
    <row r="296" spans="1:7" ht="15.75" customHeight="1">
      <c r="A296" s="3">
        <v>21845</v>
      </c>
      <c r="B296" s="4">
        <v>47</v>
      </c>
      <c r="C296">
        <f t="shared" si="20"/>
        <v>38</v>
      </c>
      <c r="D296">
        <f t="shared" si="21"/>
        <v>9</v>
      </c>
      <c r="E296" s="4">
        <f t="shared" si="22"/>
        <v>9</v>
      </c>
      <c r="F296" s="24">
        <f t="shared" si="23"/>
        <v>81</v>
      </c>
      <c r="G296" s="5">
        <f t="shared" si="24"/>
        <v>0.19148936170212766</v>
      </c>
    </row>
    <row r="297" spans="1:7" ht="15.75" customHeight="1">
      <c r="A297" s="3">
        <v>21846</v>
      </c>
      <c r="B297" s="4">
        <v>38</v>
      </c>
      <c r="C297">
        <f t="shared" si="20"/>
        <v>47</v>
      </c>
      <c r="D297">
        <f t="shared" si="21"/>
        <v>-9</v>
      </c>
      <c r="E297" s="4">
        <f t="shared" si="22"/>
        <v>9</v>
      </c>
      <c r="F297" s="24">
        <f t="shared" si="23"/>
        <v>81</v>
      </c>
      <c r="G297" s="5">
        <f t="shared" si="24"/>
        <v>0.23684210526315788</v>
      </c>
    </row>
    <row r="298" spans="1:7" ht="15.75" customHeight="1">
      <c r="A298" s="3">
        <v>21847</v>
      </c>
      <c r="B298" s="4">
        <v>36</v>
      </c>
      <c r="C298">
        <f t="shared" si="20"/>
        <v>38</v>
      </c>
      <c r="D298">
        <f t="shared" si="21"/>
        <v>-2</v>
      </c>
      <c r="E298" s="4">
        <f t="shared" si="22"/>
        <v>2</v>
      </c>
      <c r="F298" s="24">
        <f t="shared" si="23"/>
        <v>4</v>
      </c>
      <c r="G298" s="5">
        <f t="shared" si="24"/>
        <v>5.5555555555555552E-2</v>
      </c>
    </row>
    <row r="299" spans="1:7" ht="15.75" customHeight="1">
      <c r="A299" s="3">
        <v>21848</v>
      </c>
      <c r="B299" s="4">
        <v>42</v>
      </c>
      <c r="C299">
        <f t="shared" si="20"/>
        <v>36</v>
      </c>
      <c r="D299">
        <f t="shared" si="21"/>
        <v>6</v>
      </c>
      <c r="E299" s="4">
        <f t="shared" si="22"/>
        <v>6</v>
      </c>
      <c r="F299" s="24">
        <f t="shared" si="23"/>
        <v>36</v>
      </c>
      <c r="G299" s="5">
        <f t="shared" si="24"/>
        <v>0.14285714285714285</v>
      </c>
    </row>
    <row r="300" spans="1:7" ht="15.75" customHeight="1">
      <c r="A300" s="3">
        <v>21849</v>
      </c>
      <c r="B300" s="4">
        <v>35</v>
      </c>
      <c r="C300">
        <f t="shared" si="20"/>
        <v>42</v>
      </c>
      <c r="D300">
        <f t="shared" si="21"/>
        <v>-7</v>
      </c>
      <c r="E300" s="4">
        <f t="shared" si="22"/>
        <v>7</v>
      </c>
      <c r="F300" s="24">
        <f t="shared" si="23"/>
        <v>49</v>
      </c>
      <c r="G300" s="5">
        <f t="shared" si="24"/>
        <v>0.2</v>
      </c>
    </row>
    <row r="301" spans="1:7" ht="15.75" customHeight="1">
      <c r="A301" s="3">
        <v>21850</v>
      </c>
      <c r="B301" s="4">
        <v>28</v>
      </c>
      <c r="C301">
        <f t="shared" si="20"/>
        <v>35</v>
      </c>
      <c r="D301">
        <f t="shared" si="21"/>
        <v>-7</v>
      </c>
      <c r="E301" s="4">
        <f t="shared" si="22"/>
        <v>7</v>
      </c>
      <c r="F301" s="24">
        <f t="shared" si="23"/>
        <v>49</v>
      </c>
      <c r="G301" s="5">
        <f t="shared" si="24"/>
        <v>0.25</v>
      </c>
    </row>
    <row r="302" spans="1:7" ht="15.75" customHeight="1">
      <c r="A302" s="3">
        <v>21851</v>
      </c>
      <c r="B302" s="4">
        <v>44</v>
      </c>
      <c r="C302">
        <f t="shared" si="20"/>
        <v>28</v>
      </c>
      <c r="D302">
        <f t="shared" si="21"/>
        <v>16</v>
      </c>
      <c r="E302" s="4">
        <f t="shared" si="22"/>
        <v>16</v>
      </c>
      <c r="F302" s="24">
        <f t="shared" si="23"/>
        <v>256</v>
      </c>
      <c r="G302" s="5">
        <f t="shared" si="24"/>
        <v>0.36363636363636365</v>
      </c>
    </row>
    <row r="303" spans="1:7" ht="15.75" customHeight="1">
      <c r="A303" s="3">
        <v>21852</v>
      </c>
      <c r="B303" s="4">
        <v>36</v>
      </c>
      <c r="C303">
        <f t="shared" si="20"/>
        <v>44</v>
      </c>
      <c r="D303">
        <f t="shared" si="21"/>
        <v>-8</v>
      </c>
      <c r="E303" s="4">
        <f t="shared" si="22"/>
        <v>8</v>
      </c>
      <c r="F303" s="24">
        <f t="shared" si="23"/>
        <v>64</v>
      </c>
      <c r="G303" s="5">
        <f t="shared" si="24"/>
        <v>0.22222222222222221</v>
      </c>
    </row>
    <row r="304" spans="1:7" ht="15.75" customHeight="1">
      <c r="A304" s="3">
        <v>21853</v>
      </c>
      <c r="B304" s="4">
        <v>45</v>
      </c>
      <c r="C304">
        <f t="shared" si="20"/>
        <v>36</v>
      </c>
      <c r="D304">
        <f t="shared" si="21"/>
        <v>9</v>
      </c>
      <c r="E304" s="4">
        <f t="shared" si="22"/>
        <v>9</v>
      </c>
      <c r="F304" s="24">
        <f t="shared" si="23"/>
        <v>81</v>
      </c>
      <c r="G304" s="5">
        <f t="shared" si="24"/>
        <v>0.2</v>
      </c>
    </row>
    <row r="305" spans="1:7" ht="15.75" customHeight="1">
      <c r="A305" s="3">
        <v>21854</v>
      </c>
      <c r="B305" s="4">
        <v>46</v>
      </c>
      <c r="C305">
        <f t="shared" si="20"/>
        <v>45</v>
      </c>
      <c r="D305">
        <f t="shared" si="21"/>
        <v>1</v>
      </c>
      <c r="E305" s="4">
        <f t="shared" si="22"/>
        <v>1</v>
      </c>
      <c r="F305" s="24">
        <f t="shared" si="23"/>
        <v>1</v>
      </c>
      <c r="G305" s="5">
        <f t="shared" si="24"/>
        <v>2.1739130434782608E-2</v>
      </c>
    </row>
    <row r="306" spans="1:7" ht="15.75" customHeight="1">
      <c r="A306" s="3">
        <v>21855</v>
      </c>
      <c r="B306" s="4">
        <v>48</v>
      </c>
      <c r="C306">
        <f t="shared" si="20"/>
        <v>46</v>
      </c>
      <c r="D306">
        <f t="shared" si="21"/>
        <v>2</v>
      </c>
      <c r="E306" s="4">
        <f t="shared" si="22"/>
        <v>2</v>
      </c>
      <c r="F306" s="24">
        <f t="shared" si="23"/>
        <v>4</v>
      </c>
      <c r="G306" s="5">
        <f t="shared" si="24"/>
        <v>4.1666666666666664E-2</v>
      </c>
    </row>
    <row r="307" spans="1:7" ht="15.75" customHeight="1">
      <c r="A307" s="3">
        <v>21856</v>
      </c>
      <c r="B307" s="4">
        <v>49</v>
      </c>
      <c r="C307">
        <f t="shared" si="20"/>
        <v>48</v>
      </c>
      <c r="D307">
        <f t="shared" si="21"/>
        <v>1</v>
      </c>
      <c r="E307" s="4">
        <f t="shared" si="22"/>
        <v>1</v>
      </c>
      <c r="F307" s="24">
        <f t="shared" si="23"/>
        <v>1</v>
      </c>
      <c r="G307" s="5">
        <f t="shared" si="24"/>
        <v>2.0408163265306121E-2</v>
      </c>
    </row>
    <row r="308" spans="1:7" ht="15.75" customHeight="1">
      <c r="A308" s="3">
        <v>21857</v>
      </c>
      <c r="B308" s="4">
        <v>43</v>
      </c>
      <c r="C308">
        <f t="shared" si="20"/>
        <v>49</v>
      </c>
      <c r="D308">
        <f t="shared" si="21"/>
        <v>-6</v>
      </c>
      <c r="E308" s="4">
        <f t="shared" si="22"/>
        <v>6</v>
      </c>
      <c r="F308" s="24">
        <f t="shared" si="23"/>
        <v>36</v>
      </c>
      <c r="G308" s="5">
        <f t="shared" si="24"/>
        <v>0.13953488372093023</v>
      </c>
    </row>
    <row r="309" spans="1:7" ht="15.75" customHeight="1">
      <c r="A309" s="3">
        <v>21858</v>
      </c>
      <c r="B309" s="4">
        <v>42</v>
      </c>
      <c r="C309">
        <f t="shared" si="20"/>
        <v>43</v>
      </c>
      <c r="D309">
        <f t="shared" si="21"/>
        <v>-1</v>
      </c>
      <c r="E309" s="4">
        <f t="shared" si="22"/>
        <v>1</v>
      </c>
      <c r="F309" s="24">
        <f t="shared" si="23"/>
        <v>1</v>
      </c>
      <c r="G309" s="5">
        <f t="shared" si="24"/>
        <v>2.3809523809523808E-2</v>
      </c>
    </row>
    <row r="310" spans="1:7" ht="15.75" customHeight="1">
      <c r="A310" s="3">
        <v>21859</v>
      </c>
      <c r="B310" s="4">
        <v>59</v>
      </c>
      <c r="C310">
        <f t="shared" si="20"/>
        <v>42</v>
      </c>
      <c r="D310">
        <f t="shared" si="21"/>
        <v>17</v>
      </c>
      <c r="E310" s="4">
        <f t="shared" si="22"/>
        <v>17</v>
      </c>
      <c r="F310" s="24">
        <f t="shared" si="23"/>
        <v>289</v>
      </c>
      <c r="G310" s="5">
        <f t="shared" si="24"/>
        <v>0.28813559322033899</v>
      </c>
    </row>
    <row r="311" spans="1:7" ht="15.75" customHeight="1">
      <c r="A311" s="3">
        <v>21860</v>
      </c>
      <c r="B311" s="4">
        <v>45</v>
      </c>
      <c r="C311">
        <f t="shared" si="20"/>
        <v>59</v>
      </c>
      <c r="D311">
        <f t="shared" si="21"/>
        <v>-14</v>
      </c>
      <c r="E311" s="4">
        <f t="shared" si="22"/>
        <v>14</v>
      </c>
      <c r="F311" s="24">
        <f t="shared" si="23"/>
        <v>196</v>
      </c>
      <c r="G311" s="5">
        <f t="shared" si="24"/>
        <v>0.31111111111111112</v>
      </c>
    </row>
    <row r="312" spans="1:7" ht="15.75" customHeight="1">
      <c r="A312" s="3">
        <v>21861</v>
      </c>
      <c r="B312" s="4">
        <v>52</v>
      </c>
      <c r="C312">
        <f t="shared" si="20"/>
        <v>45</v>
      </c>
      <c r="D312">
        <f t="shared" si="21"/>
        <v>7</v>
      </c>
      <c r="E312" s="4">
        <f t="shared" si="22"/>
        <v>7</v>
      </c>
      <c r="F312" s="24">
        <f t="shared" si="23"/>
        <v>49</v>
      </c>
      <c r="G312" s="5">
        <f t="shared" si="24"/>
        <v>0.13461538461538461</v>
      </c>
    </row>
    <row r="313" spans="1:7" ht="15.75" customHeight="1">
      <c r="A313" s="3">
        <v>21862</v>
      </c>
      <c r="B313" s="4">
        <v>46</v>
      </c>
      <c r="C313">
        <f t="shared" si="20"/>
        <v>52</v>
      </c>
      <c r="D313">
        <f t="shared" si="21"/>
        <v>-6</v>
      </c>
      <c r="E313" s="4">
        <f t="shared" si="22"/>
        <v>6</v>
      </c>
      <c r="F313" s="24">
        <f t="shared" si="23"/>
        <v>36</v>
      </c>
      <c r="G313" s="5">
        <f t="shared" si="24"/>
        <v>0.13043478260869565</v>
      </c>
    </row>
    <row r="314" spans="1:7" ht="15.75" customHeight="1">
      <c r="A314" s="3">
        <v>21863</v>
      </c>
      <c r="B314" s="4">
        <v>42</v>
      </c>
      <c r="C314">
        <f t="shared" si="20"/>
        <v>46</v>
      </c>
      <c r="D314">
        <f t="shared" si="21"/>
        <v>-4</v>
      </c>
      <c r="E314" s="4">
        <f t="shared" si="22"/>
        <v>4</v>
      </c>
      <c r="F314" s="24">
        <f t="shared" si="23"/>
        <v>16</v>
      </c>
      <c r="G314" s="5">
        <f t="shared" si="24"/>
        <v>9.5238095238095233E-2</v>
      </c>
    </row>
    <row r="315" spans="1:7" ht="15.75" customHeight="1">
      <c r="A315" s="3">
        <v>21864</v>
      </c>
      <c r="B315" s="4">
        <v>40</v>
      </c>
      <c r="C315">
        <f t="shared" si="20"/>
        <v>42</v>
      </c>
      <c r="D315">
        <f t="shared" si="21"/>
        <v>-2</v>
      </c>
      <c r="E315" s="4">
        <f t="shared" si="22"/>
        <v>2</v>
      </c>
      <c r="F315" s="24">
        <f t="shared" si="23"/>
        <v>4</v>
      </c>
      <c r="G315" s="5">
        <f t="shared" si="24"/>
        <v>0.05</v>
      </c>
    </row>
    <row r="316" spans="1:7" ht="15.75" customHeight="1">
      <c r="A316" s="3">
        <v>21865</v>
      </c>
      <c r="B316" s="4">
        <v>40</v>
      </c>
      <c r="C316">
        <f t="shared" si="20"/>
        <v>40</v>
      </c>
      <c r="D316">
        <f t="shared" si="21"/>
        <v>0</v>
      </c>
      <c r="E316" s="4">
        <f t="shared" si="22"/>
        <v>0</v>
      </c>
      <c r="F316" s="24">
        <f t="shared" si="23"/>
        <v>0</v>
      </c>
      <c r="G316" s="5">
        <f t="shared" si="24"/>
        <v>0</v>
      </c>
    </row>
    <row r="317" spans="1:7" ht="15.75" customHeight="1">
      <c r="A317" s="3">
        <v>21866</v>
      </c>
      <c r="B317" s="4">
        <v>45</v>
      </c>
      <c r="C317">
        <f t="shared" si="20"/>
        <v>40</v>
      </c>
      <c r="D317">
        <f t="shared" si="21"/>
        <v>5</v>
      </c>
      <c r="E317" s="4">
        <f t="shared" si="22"/>
        <v>5</v>
      </c>
      <c r="F317" s="24">
        <f t="shared" si="23"/>
        <v>25</v>
      </c>
      <c r="G317" s="5">
        <f t="shared" si="24"/>
        <v>0.1111111111111111</v>
      </c>
    </row>
    <row r="318" spans="1:7" ht="15.75" customHeight="1">
      <c r="A318" s="3">
        <v>21867</v>
      </c>
      <c r="B318" s="4">
        <v>35</v>
      </c>
      <c r="C318">
        <f t="shared" si="20"/>
        <v>45</v>
      </c>
      <c r="D318">
        <f t="shared" si="21"/>
        <v>-10</v>
      </c>
      <c r="E318" s="4">
        <f t="shared" si="22"/>
        <v>10</v>
      </c>
      <c r="F318" s="24">
        <f t="shared" si="23"/>
        <v>100</v>
      </c>
      <c r="G318" s="5">
        <f t="shared" si="24"/>
        <v>0.2857142857142857</v>
      </c>
    </row>
    <row r="319" spans="1:7" ht="15.75" customHeight="1">
      <c r="A319" s="3">
        <v>21868</v>
      </c>
      <c r="B319" s="4">
        <v>35</v>
      </c>
      <c r="C319">
        <f t="shared" si="20"/>
        <v>35</v>
      </c>
      <c r="D319">
        <f t="shared" si="21"/>
        <v>0</v>
      </c>
      <c r="E319" s="4">
        <f t="shared" si="22"/>
        <v>0</v>
      </c>
      <c r="F319" s="24">
        <f t="shared" si="23"/>
        <v>0</v>
      </c>
      <c r="G319" s="5">
        <f t="shared" si="24"/>
        <v>0</v>
      </c>
    </row>
    <row r="320" spans="1:7" ht="15.75" customHeight="1">
      <c r="A320" s="3">
        <v>21869</v>
      </c>
      <c r="B320" s="4">
        <v>40</v>
      </c>
      <c r="C320">
        <f t="shared" si="20"/>
        <v>35</v>
      </c>
      <c r="D320">
        <f t="shared" si="21"/>
        <v>5</v>
      </c>
      <c r="E320" s="4">
        <f t="shared" si="22"/>
        <v>5</v>
      </c>
      <c r="F320" s="24">
        <f t="shared" si="23"/>
        <v>25</v>
      </c>
      <c r="G320" s="5">
        <f t="shared" si="24"/>
        <v>0.125</v>
      </c>
    </row>
    <row r="321" spans="1:7" ht="15.75" customHeight="1">
      <c r="A321" s="3">
        <v>21870</v>
      </c>
      <c r="B321" s="4">
        <v>39</v>
      </c>
      <c r="C321">
        <f t="shared" si="20"/>
        <v>40</v>
      </c>
      <c r="D321">
        <f t="shared" si="21"/>
        <v>-1</v>
      </c>
      <c r="E321" s="4">
        <f t="shared" si="22"/>
        <v>1</v>
      </c>
      <c r="F321" s="24">
        <f t="shared" si="23"/>
        <v>1</v>
      </c>
      <c r="G321" s="5">
        <f t="shared" si="24"/>
        <v>2.564102564102564E-2</v>
      </c>
    </row>
    <row r="322" spans="1:7" ht="15.75" customHeight="1">
      <c r="A322" s="3">
        <v>21871</v>
      </c>
      <c r="B322" s="4">
        <v>33</v>
      </c>
      <c r="C322">
        <f t="shared" si="20"/>
        <v>39</v>
      </c>
      <c r="D322">
        <f t="shared" si="21"/>
        <v>-6</v>
      </c>
      <c r="E322" s="4">
        <f t="shared" si="22"/>
        <v>6</v>
      </c>
      <c r="F322" s="24">
        <f t="shared" si="23"/>
        <v>36</v>
      </c>
      <c r="G322" s="5">
        <f t="shared" si="24"/>
        <v>0.18181818181818182</v>
      </c>
    </row>
    <row r="323" spans="1:7" ht="15.75" customHeight="1">
      <c r="A323" s="3">
        <v>21872</v>
      </c>
      <c r="B323" s="4">
        <v>42</v>
      </c>
      <c r="C323">
        <f t="shared" si="20"/>
        <v>33</v>
      </c>
      <c r="D323">
        <f t="shared" si="21"/>
        <v>9</v>
      </c>
      <c r="E323" s="4">
        <f t="shared" si="22"/>
        <v>9</v>
      </c>
      <c r="F323" s="24">
        <f t="shared" si="23"/>
        <v>81</v>
      </c>
      <c r="G323" s="5">
        <f t="shared" si="24"/>
        <v>0.21428571428571427</v>
      </c>
    </row>
    <row r="324" spans="1:7" ht="15.75" customHeight="1">
      <c r="A324" s="3">
        <v>21873</v>
      </c>
      <c r="B324" s="4">
        <v>47</v>
      </c>
      <c r="C324">
        <f t="shared" si="20"/>
        <v>42</v>
      </c>
      <c r="D324">
        <f t="shared" si="21"/>
        <v>5</v>
      </c>
      <c r="E324" s="4">
        <f t="shared" si="22"/>
        <v>5</v>
      </c>
      <c r="F324" s="24">
        <f t="shared" si="23"/>
        <v>25</v>
      </c>
      <c r="G324" s="5">
        <f t="shared" si="24"/>
        <v>0.10638297872340426</v>
      </c>
    </row>
    <row r="325" spans="1:7" ht="15.75" customHeight="1">
      <c r="A325" s="3">
        <v>21874</v>
      </c>
      <c r="B325" s="4">
        <v>51</v>
      </c>
      <c r="C325">
        <f t="shared" ref="C325:C366" si="25">B324</f>
        <v>47</v>
      </c>
      <c r="D325">
        <f t="shared" ref="D325:D366" si="26">B325-C325</f>
        <v>4</v>
      </c>
      <c r="E325" s="4">
        <f t="shared" ref="E325:E366" si="27">ABS(D325)</f>
        <v>4</v>
      </c>
      <c r="F325" s="24">
        <f t="shared" ref="F325:F366" si="28">E325^2</f>
        <v>16</v>
      </c>
      <c r="G325" s="5">
        <f t="shared" ref="G325:G366" si="29">E325/B325</f>
        <v>7.8431372549019607E-2</v>
      </c>
    </row>
    <row r="326" spans="1:7" ht="15.75" customHeight="1">
      <c r="A326" s="3">
        <v>21875</v>
      </c>
      <c r="B326" s="4">
        <v>44</v>
      </c>
      <c r="C326">
        <f t="shared" si="25"/>
        <v>51</v>
      </c>
      <c r="D326">
        <f t="shared" si="26"/>
        <v>-7</v>
      </c>
      <c r="E326" s="4">
        <f t="shared" si="27"/>
        <v>7</v>
      </c>
      <c r="F326" s="24">
        <f t="shared" si="28"/>
        <v>49</v>
      </c>
      <c r="G326" s="5">
        <f t="shared" si="29"/>
        <v>0.15909090909090909</v>
      </c>
    </row>
    <row r="327" spans="1:7" ht="15.75" customHeight="1">
      <c r="A327" s="3">
        <v>21876</v>
      </c>
      <c r="B327" s="4">
        <v>40</v>
      </c>
      <c r="C327">
        <f t="shared" si="25"/>
        <v>44</v>
      </c>
      <c r="D327">
        <f t="shared" si="26"/>
        <v>-4</v>
      </c>
      <c r="E327" s="4">
        <f t="shared" si="27"/>
        <v>4</v>
      </c>
      <c r="F327" s="24">
        <f t="shared" si="28"/>
        <v>16</v>
      </c>
      <c r="G327" s="5">
        <f t="shared" si="29"/>
        <v>0.1</v>
      </c>
    </row>
    <row r="328" spans="1:7" ht="15.75" customHeight="1">
      <c r="A328" s="3">
        <v>21877</v>
      </c>
      <c r="B328" s="4">
        <v>57</v>
      </c>
      <c r="C328">
        <f t="shared" si="25"/>
        <v>40</v>
      </c>
      <c r="D328">
        <f t="shared" si="26"/>
        <v>17</v>
      </c>
      <c r="E328" s="4">
        <f t="shared" si="27"/>
        <v>17</v>
      </c>
      <c r="F328" s="24">
        <f t="shared" si="28"/>
        <v>289</v>
      </c>
      <c r="G328" s="5">
        <f t="shared" si="29"/>
        <v>0.2982456140350877</v>
      </c>
    </row>
    <row r="329" spans="1:7" ht="15.75" customHeight="1">
      <c r="A329" s="3">
        <v>21878</v>
      </c>
      <c r="B329" s="4">
        <v>49</v>
      </c>
      <c r="C329">
        <f t="shared" si="25"/>
        <v>57</v>
      </c>
      <c r="D329">
        <f t="shared" si="26"/>
        <v>-8</v>
      </c>
      <c r="E329" s="4">
        <f t="shared" si="27"/>
        <v>8</v>
      </c>
      <c r="F329" s="24">
        <f t="shared" si="28"/>
        <v>64</v>
      </c>
      <c r="G329" s="5">
        <f t="shared" si="29"/>
        <v>0.16326530612244897</v>
      </c>
    </row>
    <row r="330" spans="1:7" ht="15.75" customHeight="1">
      <c r="A330" s="3">
        <v>21879</v>
      </c>
      <c r="B330" s="4">
        <v>45</v>
      </c>
      <c r="C330">
        <f t="shared" si="25"/>
        <v>49</v>
      </c>
      <c r="D330">
        <f t="shared" si="26"/>
        <v>-4</v>
      </c>
      <c r="E330" s="4">
        <f t="shared" si="27"/>
        <v>4</v>
      </c>
      <c r="F330" s="24">
        <f t="shared" si="28"/>
        <v>16</v>
      </c>
      <c r="G330" s="5">
        <f t="shared" si="29"/>
        <v>8.8888888888888892E-2</v>
      </c>
    </row>
    <row r="331" spans="1:7" ht="15.75" customHeight="1">
      <c r="A331" s="3">
        <v>21880</v>
      </c>
      <c r="B331" s="4">
        <v>49</v>
      </c>
      <c r="C331">
        <f t="shared" si="25"/>
        <v>45</v>
      </c>
      <c r="D331">
        <f t="shared" si="26"/>
        <v>4</v>
      </c>
      <c r="E331" s="4">
        <f t="shared" si="27"/>
        <v>4</v>
      </c>
      <c r="F331" s="24">
        <f t="shared" si="28"/>
        <v>16</v>
      </c>
      <c r="G331" s="5">
        <f t="shared" si="29"/>
        <v>8.1632653061224483E-2</v>
      </c>
    </row>
    <row r="332" spans="1:7" ht="15.75" customHeight="1">
      <c r="A332" s="3">
        <v>21881</v>
      </c>
      <c r="B332" s="4">
        <v>51</v>
      </c>
      <c r="C332">
        <f t="shared" si="25"/>
        <v>49</v>
      </c>
      <c r="D332">
        <f t="shared" si="26"/>
        <v>2</v>
      </c>
      <c r="E332" s="4">
        <f t="shared" si="27"/>
        <v>2</v>
      </c>
      <c r="F332" s="24">
        <f t="shared" si="28"/>
        <v>4</v>
      </c>
      <c r="G332" s="5">
        <f t="shared" si="29"/>
        <v>3.9215686274509803E-2</v>
      </c>
    </row>
    <row r="333" spans="1:7" ht="15.75" customHeight="1">
      <c r="A333" s="3">
        <v>21882</v>
      </c>
      <c r="B333" s="4">
        <v>46</v>
      </c>
      <c r="C333">
        <f t="shared" si="25"/>
        <v>51</v>
      </c>
      <c r="D333">
        <f t="shared" si="26"/>
        <v>-5</v>
      </c>
      <c r="E333" s="4">
        <f t="shared" si="27"/>
        <v>5</v>
      </c>
      <c r="F333" s="24">
        <f t="shared" si="28"/>
        <v>25</v>
      </c>
      <c r="G333" s="5">
        <f t="shared" si="29"/>
        <v>0.10869565217391304</v>
      </c>
    </row>
    <row r="334" spans="1:7" ht="15.75" customHeight="1">
      <c r="A334" s="3">
        <v>21883</v>
      </c>
      <c r="B334" s="4">
        <v>44</v>
      </c>
      <c r="C334">
        <f t="shared" si="25"/>
        <v>46</v>
      </c>
      <c r="D334">
        <f t="shared" si="26"/>
        <v>-2</v>
      </c>
      <c r="E334" s="4">
        <f t="shared" si="27"/>
        <v>2</v>
      </c>
      <c r="F334" s="24">
        <f t="shared" si="28"/>
        <v>4</v>
      </c>
      <c r="G334" s="5">
        <f t="shared" si="29"/>
        <v>4.5454545454545456E-2</v>
      </c>
    </row>
    <row r="335" spans="1:7" ht="15.75" customHeight="1">
      <c r="A335" s="3">
        <v>21884</v>
      </c>
      <c r="B335" s="4">
        <v>52</v>
      </c>
      <c r="C335">
        <f t="shared" si="25"/>
        <v>44</v>
      </c>
      <c r="D335">
        <f t="shared" si="26"/>
        <v>8</v>
      </c>
      <c r="E335" s="4">
        <f t="shared" si="27"/>
        <v>8</v>
      </c>
      <c r="F335" s="24">
        <f t="shared" si="28"/>
        <v>64</v>
      </c>
      <c r="G335" s="5">
        <f t="shared" si="29"/>
        <v>0.15384615384615385</v>
      </c>
    </row>
    <row r="336" spans="1:7" ht="15.75" customHeight="1">
      <c r="A336" s="3">
        <v>21885</v>
      </c>
      <c r="B336" s="4">
        <v>45</v>
      </c>
      <c r="C336">
        <f t="shared" si="25"/>
        <v>52</v>
      </c>
      <c r="D336">
        <f t="shared" si="26"/>
        <v>-7</v>
      </c>
      <c r="E336" s="4">
        <f t="shared" si="27"/>
        <v>7</v>
      </c>
      <c r="F336" s="24">
        <f t="shared" si="28"/>
        <v>49</v>
      </c>
      <c r="G336" s="5">
        <f t="shared" si="29"/>
        <v>0.15555555555555556</v>
      </c>
    </row>
    <row r="337" spans="1:7" ht="15.75" customHeight="1">
      <c r="A337" s="3">
        <v>21886</v>
      </c>
      <c r="B337" s="4">
        <v>32</v>
      </c>
      <c r="C337">
        <f t="shared" si="25"/>
        <v>45</v>
      </c>
      <c r="D337">
        <f t="shared" si="26"/>
        <v>-13</v>
      </c>
      <c r="E337" s="4">
        <f t="shared" si="27"/>
        <v>13</v>
      </c>
      <c r="F337" s="24">
        <f t="shared" si="28"/>
        <v>169</v>
      </c>
      <c r="G337" s="5">
        <f t="shared" si="29"/>
        <v>0.40625</v>
      </c>
    </row>
    <row r="338" spans="1:7" ht="15.75" customHeight="1">
      <c r="A338" s="3">
        <v>21887</v>
      </c>
      <c r="B338" s="4">
        <v>46</v>
      </c>
      <c r="C338">
        <f t="shared" si="25"/>
        <v>32</v>
      </c>
      <c r="D338">
        <f t="shared" si="26"/>
        <v>14</v>
      </c>
      <c r="E338" s="4">
        <f t="shared" si="27"/>
        <v>14</v>
      </c>
      <c r="F338" s="24">
        <f t="shared" si="28"/>
        <v>196</v>
      </c>
      <c r="G338" s="5">
        <f t="shared" si="29"/>
        <v>0.30434782608695654</v>
      </c>
    </row>
    <row r="339" spans="1:7" ht="15.75" customHeight="1">
      <c r="A339" s="3">
        <v>21888</v>
      </c>
      <c r="B339" s="4">
        <v>41</v>
      </c>
      <c r="C339">
        <f t="shared" si="25"/>
        <v>46</v>
      </c>
      <c r="D339">
        <f t="shared" si="26"/>
        <v>-5</v>
      </c>
      <c r="E339" s="4">
        <f t="shared" si="27"/>
        <v>5</v>
      </c>
      <c r="F339" s="24">
        <f t="shared" si="28"/>
        <v>25</v>
      </c>
      <c r="G339" s="5">
        <f t="shared" si="29"/>
        <v>0.12195121951219512</v>
      </c>
    </row>
    <row r="340" spans="1:7" ht="15.75" customHeight="1">
      <c r="A340" s="3">
        <v>21889</v>
      </c>
      <c r="B340" s="4">
        <v>34</v>
      </c>
      <c r="C340">
        <f t="shared" si="25"/>
        <v>41</v>
      </c>
      <c r="D340">
        <f t="shared" si="26"/>
        <v>-7</v>
      </c>
      <c r="E340" s="4">
        <f t="shared" si="27"/>
        <v>7</v>
      </c>
      <c r="F340" s="24">
        <f t="shared" si="28"/>
        <v>49</v>
      </c>
      <c r="G340" s="5">
        <f t="shared" si="29"/>
        <v>0.20588235294117646</v>
      </c>
    </row>
    <row r="341" spans="1:7" ht="15.75" customHeight="1">
      <c r="A341" s="3">
        <v>21890</v>
      </c>
      <c r="B341" s="4">
        <v>33</v>
      </c>
      <c r="C341">
        <f t="shared" si="25"/>
        <v>34</v>
      </c>
      <c r="D341">
        <f t="shared" si="26"/>
        <v>-1</v>
      </c>
      <c r="E341" s="4">
        <f t="shared" si="27"/>
        <v>1</v>
      </c>
      <c r="F341" s="24">
        <f t="shared" si="28"/>
        <v>1</v>
      </c>
      <c r="G341" s="5">
        <f t="shared" si="29"/>
        <v>3.0303030303030304E-2</v>
      </c>
    </row>
    <row r="342" spans="1:7" ht="15.75" customHeight="1">
      <c r="A342" s="3">
        <v>21891</v>
      </c>
      <c r="B342" s="4">
        <v>36</v>
      </c>
      <c r="C342">
        <f t="shared" si="25"/>
        <v>33</v>
      </c>
      <c r="D342">
        <f t="shared" si="26"/>
        <v>3</v>
      </c>
      <c r="E342" s="4">
        <f t="shared" si="27"/>
        <v>3</v>
      </c>
      <c r="F342" s="24">
        <f t="shared" si="28"/>
        <v>9</v>
      </c>
      <c r="G342" s="5">
        <f t="shared" si="29"/>
        <v>8.3333333333333329E-2</v>
      </c>
    </row>
    <row r="343" spans="1:7" ht="15.75" customHeight="1">
      <c r="A343" s="3">
        <v>21892</v>
      </c>
      <c r="B343" s="4">
        <v>49</v>
      </c>
      <c r="C343">
        <f t="shared" si="25"/>
        <v>36</v>
      </c>
      <c r="D343">
        <f t="shared" si="26"/>
        <v>13</v>
      </c>
      <c r="E343" s="4">
        <f t="shared" si="27"/>
        <v>13</v>
      </c>
      <c r="F343" s="24">
        <f t="shared" si="28"/>
        <v>169</v>
      </c>
      <c r="G343" s="5">
        <f t="shared" si="29"/>
        <v>0.26530612244897961</v>
      </c>
    </row>
    <row r="344" spans="1:7" ht="15.75" customHeight="1">
      <c r="A344" s="3">
        <v>21893</v>
      </c>
      <c r="B344" s="4">
        <v>43</v>
      </c>
      <c r="C344">
        <f t="shared" si="25"/>
        <v>49</v>
      </c>
      <c r="D344">
        <f t="shared" si="26"/>
        <v>-6</v>
      </c>
      <c r="E344" s="4">
        <f t="shared" si="27"/>
        <v>6</v>
      </c>
      <c r="F344" s="24">
        <f t="shared" si="28"/>
        <v>36</v>
      </c>
      <c r="G344" s="5">
        <f t="shared" si="29"/>
        <v>0.13953488372093023</v>
      </c>
    </row>
    <row r="345" spans="1:7" ht="15.75" customHeight="1">
      <c r="A345" s="3">
        <v>21894</v>
      </c>
      <c r="B345" s="4">
        <v>43</v>
      </c>
      <c r="C345">
        <f t="shared" si="25"/>
        <v>43</v>
      </c>
      <c r="D345">
        <f t="shared" si="26"/>
        <v>0</v>
      </c>
      <c r="E345" s="4">
        <f t="shared" si="27"/>
        <v>0</v>
      </c>
      <c r="F345" s="24">
        <f t="shared" si="28"/>
        <v>0</v>
      </c>
      <c r="G345" s="5">
        <f t="shared" si="29"/>
        <v>0</v>
      </c>
    </row>
    <row r="346" spans="1:7" ht="15.75" customHeight="1">
      <c r="A346" s="3">
        <v>21895</v>
      </c>
      <c r="B346" s="4">
        <v>34</v>
      </c>
      <c r="C346">
        <f t="shared" si="25"/>
        <v>43</v>
      </c>
      <c r="D346">
        <f t="shared" si="26"/>
        <v>-9</v>
      </c>
      <c r="E346" s="4">
        <f t="shared" si="27"/>
        <v>9</v>
      </c>
      <c r="F346" s="24">
        <f t="shared" si="28"/>
        <v>81</v>
      </c>
      <c r="G346" s="5">
        <f t="shared" si="29"/>
        <v>0.26470588235294118</v>
      </c>
    </row>
    <row r="347" spans="1:7" ht="15.75" customHeight="1">
      <c r="A347" s="3">
        <v>21896</v>
      </c>
      <c r="B347" s="4">
        <v>39</v>
      </c>
      <c r="C347">
        <f t="shared" si="25"/>
        <v>34</v>
      </c>
      <c r="D347">
        <f t="shared" si="26"/>
        <v>5</v>
      </c>
      <c r="E347" s="4">
        <f t="shared" si="27"/>
        <v>5</v>
      </c>
      <c r="F347" s="24">
        <f t="shared" si="28"/>
        <v>25</v>
      </c>
      <c r="G347" s="5">
        <f t="shared" si="29"/>
        <v>0.12820512820512819</v>
      </c>
    </row>
    <row r="348" spans="1:7" ht="15.75" customHeight="1">
      <c r="A348" s="3">
        <v>21897</v>
      </c>
      <c r="B348" s="4">
        <v>35</v>
      </c>
      <c r="C348">
        <f t="shared" si="25"/>
        <v>39</v>
      </c>
      <c r="D348">
        <f t="shared" si="26"/>
        <v>-4</v>
      </c>
      <c r="E348" s="4">
        <f t="shared" si="27"/>
        <v>4</v>
      </c>
      <c r="F348" s="24">
        <f t="shared" si="28"/>
        <v>16</v>
      </c>
      <c r="G348" s="5">
        <f t="shared" si="29"/>
        <v>0.11428571428571428</v>
      </c>
    </row>
    <row r="349" spans="1:7" ht="15.75" customHeight="1">
      <c r="A349" s="3">
        <v>21898</v>
      </c>
      <c r="B349" s="4">
        <v>52</v>
      </c>
      <c r="C349">
        <f t="shared" si="25"/>
        <v>35</v>
      </c>
      <c r="D349">
        <f t="shared" si="26"/>
        <v>17</v>
      </c>
      <c r="E349" s="4">
        <f t="shared" si="27"/>
        <v>17</v>
      </c>
      <c r="F349" s="24">
        <f t="shared" si="28"/>
        <v>289</v>
      </c>
      <c r="G349" s="5">
        <f t="shared" si="29"/>
        <v>0.32692307692307693</v>
      </c>
    </row>
    <row r="350" spans="1:7" ht="15.75" customHeight="1">
      <c r="A350" s="3">
        <v>21899</v>
      </c>
      <c r="B350" s="4">
        <v>47</v>
      </c>
      <c r="C350">
        <f t="shared" si="25"/>
        <v>52</v>
      </c>
      <c r="D350">
        <f t="shared" si="26"/>
        <v>-5</v>
      </c>
      <c r="E350" s="4">
        <f t="shared" si="27"/>
        <v>5</v>
      </c>
      <c r="F350" s="24">
        <f t="shared" si="28"/>
        <v>25</v>
      </c>
      <c r="G350" s="5">
        <f t="shared" si="29"/>
        <v>0.10638297872340426</v>
      </c>
    </row>
    <row r="351" spans="1:7" ht="15.75" customHeight="1">
      <c r="A351" s="3">
        <v>21900</v>
      </c>
      <c r="B351" s="4">
        <v>52</v>
      </c>
      <c r="C351">
        <f t="shared" si="25"/>
        <v>47</v>
      </c>
      <c r="D351">
        <f t="shared" si="26"/>
        <v>5</v>
      </c>
      <c r="E351" s="4">
        <f t="shared" si="27"/>
        <v>5</v>
      </c>
      <c r="F351" s="24">
        <f t="shared" si="28"/>
        <v>25</v>
      </c>
      <c r="G351" s="5">
        <f t="shared" si="29"/>
        <v>9.6153846153846159E-2</v>
      </c>
    </row>
    <row r="352" spans="1:7" ht="15.75" customHeight="1">
      <c r="A352" s="3">
        <v>21901</v>
      </c>
      <c r="B352" s="4">
        <v>39</v>
      </c>
      <c r="C352">
        <f t="shared" si="25"/>
        <v>52</v>
      </c>
      <c r="D352">
        <f t="shared" si="26"/>
        <v>-13</v>
      </c>
      <c r="E352" s="4">
        <f t="shared" si="27"/>
        <v>13</v>
      </c>
      <c r="F352" s="24">
        <f t="shared" si="28"/>
        <v>169</v>
      </c>
      <c r="G352" s="5">
        <f t="shared" si="29"/>
        <v>0.33333333333333331</v>
      </c>
    </row>
    <row r="353" spans="1:7" ht="15.75" customHeight="1">
      <c r="A353" s="3">
        <v>21902</v>
      </c>
      <c r="B353" s="4">
        <v>40</v>
      </c>
      <c r="C353">
        <f t="shared" si="25"/>
        <v>39</v>
      </c>
      <c r="D353">
        <f t="shared" si="26"/>
        <v>1</v>
      </c>
      <c r="E353" s="4">
        <f t="shared" si="27"/>
        <v>1</v>
      </c>
      <c r="F353" s="24">
        <f t="shared" si="28"/>
        <v>1</v>
      </c>
      <c r="G353" s="5">
        <f t="shared" si="29"/>
        <v>2.5000000000000001E-2</v>
      </c>
    </row>
    <row r="354" spans="1:7" ht="15.75" customHeight="1">
      <c r="A354" s="3">
        <v>21903</v>
      </c>
      <c r="B354" s="4">
        <v>42</v>
      </c>
      <c r="C354">
        <f t="shared" si="25"/>
        <v>40</v>
      </c>
      <c r="D354">
        <f t="shared" si="26"/>
        <v>2</v>
      </c>
      <c r="E354" s="4">
        <f t="shared" si="27"/>
        <v>2</v>
      </c>
      <c r="F354" s="24">
        <f t="shared" si="28"/>
        <v>4</v>
      </c>
      <c r="G354" s="5">
        <f t="shared" si="29"/>
        <v>4.7619047619047616E-2</v>
      </c>
    </row>
    <row r="355" spans="1:7" ht="15.75" customHeight="1">
      <c r="A355" s="3">
        <v>21904</v>
      </c>
      <c r="B355" s="4">
        <v>42</v>
      </c>
      <c r="C355">
        <f t="shared" si="25"/>
        <v>42</v>
      </c>
      <c r="D355">
        <f t="shared" si="26"/>
        <v>0</v>
      </c>
      <c r="E355" s="4">
        <f t="shared" si="27"/>
        <v>0</v>
      </c>
      <c r="F355" s="24">
        <f t="shared" si="28"/>
        <v>0</v>
      </c>
      <c r="G355" s="5">
        <f t="shared" si="29"/>
        <v>0</v>
      </c>
    </row>
    <row r="356" spans="1:7" ht="15.75" customHeight="1">
      <c r="A356" s="3">
        <v>21905</v>
      </c>
      <c r="B356" s="4">
        <v>53</v>
      </c>
      <c r="C356">
        <f t="shared" si="25"/>
        <v>42</v>
      </c>
      <c r="D356">
        <f t="shared" si="26"/>
        <v>11</v>
      </c>
      <c r="E356" s="4">
        <f t="shared" si="27"/>
        <v>11</v>
      </c>
      <c r="F356" s="24">
        <f t="shared" si="28"/>
        <v>121</v>
      </c>
      <c r="G356" s="5">
        <f t="shared" si="29"/>
        <v>0.20754716981132076</v>
      </c>
    </row>
    <row r="357" spans="1:7" ht="15.75" customHeight="1">
      <c r="A357" s="3">
        <v>21906</v>
      </c>
      <c r="B357" s="4">
        <v>39</v>
      </c>
      <c r="C357">
        <f t="shared" si="25"/>
        <v>53</v>
      </c>
      <c r="D357">
        <f t="shared" si="26"/>
        <v>-14</v>
      </c>
      <c r="E357" s="4">
        <f t="shared" si="27"/>
        <v>14</v>
      </c>
      <c r="F357" s="24">
        <f t="shared" si="28"/>
        <v>196</v>
      </c>
      <c r="G357" s="5">
        <f t="shared" si="29"/>
        <v>0.35897435897435898</v>
      </c>
    </row>
    <row r="358" spans="1:7" ht="15.75" customHeight="1">
      <c r="A358" s="3">
        <v>21907</v>
      </c>
      <c r="B358" s="4">
        <v>40</v>
      </c>
      <c r="C358">
        <f t="shared" si="25"/>
        <v>39</v>
      </c>
      <c r="D358">
        <f t="shared" si="26"/>
        <v>1</v>
      </c>
      <c r="E358" s="4">
        <f t="shared" si="27"/>
        <v>1</v>
      </c>
      <c r="F358" s="24">
        <f t="shared" si="28"/>
        <v>1</v>
      </c>
      <c r="G358" s="5">
        <f t="shared" si="29"/>
        <v>2.5000000000000001E-2</v>
      </c>
    </row>
    <row r="359" spans="1:7" ht="15.75" customHeight="1">
      <c r="A359" s="3">
        <v>21908</v>
      </c>
      <c r="B359" s="4">
        <v>38</v>
      </c>
      <c r="C359">
        <f t="shared" si="25"/>
        <v>40</v>
      </c>
      <c r="D359">
        <f t="shared" si="26"/>
        <v>-2</v>
      </c>
      <c r="E359" s="4">
        <f t="shared" si="27"/>
        <v>2</v>
      </c>
      <c r="F359" s="24">
        <f t="shared" si="28"/>
        <v>4</v>
      </c>
      <c r="G359" s="5">
        <f t="shared" si="29"/>
        <v>5.2631578947368418E-2</v>
      </c>
    </row>
    <row r="360" spans="1:7" ht="15.75" customHeight="1">
      <c r="A360" s="3">
        <v>21909</v>
      </c>
      <c r="B360" s="4">
        <v>44</v>
      </c>
      <c r="C360">
        <f t="shared" si="25"/>
        <v>38</v>
      </c>
      <c r="D360">
        <f t="shared" si="26"/>
        <v>6</v>
      </c>
      <c r="E360" s="4">
        <f t="shared" si="27"/>
        <v>6</v>
      </c>
      <c r="F360" s="24">
        <f t="shared" si="28"/>
        <v>36</v>
      </c>
      <c r="G360" s="5">
        <f t="shared" si="29"/>
        <v>0.13636363636363635</v>
      </c>
    </row>
    <row r="361" spans="1:7" ht="15.75" customHeight="1">
      <c r="A361" s="3">
        <v>21910</v>
      </c>
      <c r="B361" s="4">
        <v>34</v>
      </c>
      <c r="C361">
        <f t="shared" si="25"/>
        <v>44</v>
      </c>
      <c r="D361">
        <f t="shared" si="26"/>
        <v>-10</v>
      </c>
      <c r="E361" s="4">
        <f t="shared" si="27"/>
        <v>10</v>
      </c>
      <c r="F361" s="24">
        <f t="shared" si="28"/>
        <v>100</v>
      </c>
      <c r="G361" s="5">
        <f t="shared" si="29"/>
        <v>0.29411764705882354</v>
      </c>
    </row>
    <row r="362" spans="1:7" ht="15.75" customHeight="1">
      <c r="A362" s="3">
        <v>21911</v>
      </c>
      <c r="B362" s="4">
        <v>37</v>
      </c>
      <c r="C362">
        <f t="shared" si="25"/>
        <v>34</v>
      </c>
      <c r="D362">
        <f t="shared" si="26"/>
        <v>3</v>
      </c>
      <c r="E362" s="4">
        <f t="shared" si="27"/>
        <v>3</v>
      </c>
      <c r="F362" s="24">
        <f t="shared" si="28"/>
        <v>9</v>
      </c>
      <c r="G362" s="5">
        <f t="shared" si="29"/>
        <v>8.1081081081081086E-2</v>
      </c>
    </row>
    <row r="363" spans="1:7" ht="15.75" customHeight="1">
      <c r="A363" s="3">
        <v>21912</v>
      </c>
      <c r="B363" s="4">
        <v>52</v>
      </c>
      <c r="C363">
        <f t="shared" si="25"/>
        <v>37</v>
      </c>
      <c r="D363">
        <f t="shared" si="26"/>
        <v>15</v>
      </c>
      <c r="E363" s="4">
        <f t="shared" si="27"/>
        <v>15</v>
      </c>
      <c r="F363" s="24">
        <f t="shared" si="28"/>
        <v>225</v>
      </c>
      <c r="G363" s="5">
        <f t="shared" si="29"/>
        <v>0.28846153846153844</v>
      </c>
    </row>
    <row r="364" spans="1:7" ht="15.75" customHeight="1">
      <c r="A364" s="3">
        <v>21913</v>
      </c>
      <c r="B364" s="4">
        <v>48</v>
      </c>
      <c r="C364">
        <f t="shared" si="25"/>
        <v>52</v>
      </c>
      <c r="D364">
        <f t="shared" si="26"/>
        <v>-4</v>
      </c>
      <c r="E364" s="4">
        <f t="shared" si="27"/>
        <v>4</v>
      </c>
      <c r="F364" s="24">
        <f t="shared" si="28"/>
        <v>16</v>
      </c>
      <c r="G364" s="5">
        <f t="shared" si="29"/>
        <v>8.3333333333333329E-2</v>
      </c>
    </row>
    <row r="365" spans="1:7" ht="15.75" customHeight="1">
      <c r="A365" s="3">
        <v>21914</v>
      </c>
      <c r="B365" s="4">
        <v>55</v>
      </c>
      <c r="C365">
        <f t="shared" si="25"/>
        <v>48</v>
      </c>
      <c r="D365">
        <f t="shared" si="26"/>
        <v>7</v>
      </c>
      <c r="E365" s="4">
        <f t="shared" si="27"/>
        <v>7</v>
      </c>
      <c r="F365" s="24">
        <f t="shared" si="28"/>
        <v>49</v>
      </c>
      <c r="G365" s="5">
        <f t="shared" si="29"/>
        <v>0.12727272727272726</v>
      </c>
    </row>
    <row r="366" spans="1:7" ht="15.75" customHeight="1">
      <c r="A366" s="3">
        <v>21915</v>
      </c>
      <c r="B366" s="4">
        <v>50</v>
      </c>
      <c r="C366">
        <f t="shared" si="25"/>
        <v>55</v>
      </c>
      <c r="D366">
        <f t="shared" si="26"/>
        <v>-5</v>
      </c>
      <c r="E366" s="4">
        <f t="shared" si="27"/>
        <v>5</v>
      </c>
      <c r="F366" s="24">
        <f t="shared" si="28"/>
        <v>25</v>
      </c>
      <c r="G366" s="5">
        <f t="shared" si="29"/>
        <v>0.1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4071-F140-4873-856C-7382F0999E0D}">
  <dimension ref="A1:E458"/>
  <sheetViews>
    <sheetView zoomScale="90" zoomScaleNormal="90" workbookViewId="0"/>
  </sheetViews>
  <sheetFormatPr defaultRowHeight="15.75"/>
  <cols>
    <col min="1" max="1" width="10.375" bestFit="1" customWidth="1"/>
    <col min="2" max="2" width="11.5" customWidth="1"/>
    <col min="3" max="3" width="19.875" customWidth="1"/>
    <col min="4" max="5" width="34.125" customWidth="1"/>
  </cols>
  <sheetData>
    <row r="1" spans="1:5">
      <c r="A1" t="s">
        <v>0</v>
      </c>
      <c r="B1" t="s">
        <v>1</v>
      </c>
      <c r="C1" t="s">
        <v>52</v>
      </c>
      <c r="D1" t="s">
        <v>53</v>
      </c>
      <c r="E1" t="s">
        <v>54</v>
      </c>
    </row>
    <row r="2" spans="1:5">
      <c r="A2" s="31">
        <v>21551</v>
      </c>
      <c r="B2">
        <v>35</v>
      </c>
    </row>
    <row r="3" spans="1:5">
      <c r="A3" s="31">
        <v>21552</v>
      </c>
      <c r="B3">
        <v>32</v>
      </c>
    </row>
    <row r="4" spans="1:5">
      <c r="A4" s="31">
        <v>21553</v>
      </c>
      <c r="B4">
        <v>30</v>
      </c>
    </row>
    <row r="5" spans="1:5">
      <c r="A5" s="31">
        <v>21554</v>
      </c>
      <c r="B5">
        <v>31</v>
      </c>
    </row>
    <row r="6" spans="1:5">
      <c r="A6" s="31">
        <v>21555</v>
      </c>
      <c r="B6">
        <v>44</v>
      </c>
    </row>
    <row r="7" spans="1:5">
      <c r="A7" s="31">
        <v>21556</v>
      </c>
      <c r="B7">
        <v>29</v>
      </c>
    </row>
    <row r="8" spans="1:5">
      <c r="A8" s="31">
        <v>21557</v>
      </c>
      <c r="B8">
        <v>45</v>
      </c>
    </row>
    <row r="9" spans="1:5">
      <c r="A9" s="31">
        <v>21558</v>
      </c>
      <c r="B9">
        <v>43</v>
      </c>
    </row>
    <row r="10" spans="1:5">
      <c r="A10" s="31">
        <v>21559</v>
      </c>
      <c r="B10">
        <v>38</v>
      </c>
    </row>
    <row r="11" spans="1:5">
      <c r="A11" s="31">
        <v>21560</v>
      </c>
      <c r="B11">
        <v>27</v>
      </c>
    </row>
    <row r="12" spans="1:5">
      <c r="A12" s="31">
        <v>21561</v>
      </c>
      <c r="B12">
        <v>38</v>
      </c>
    </row>
    <row r="13" spans="1:5">
      <c r="A13" s="31">
        <v>21562</v>
      </c>
      <c r="B13">
        <v>33</v>
      </c>
    </row>
    <row r="14" spans="1:5">
      <c r="A14" s="31">
        <v>21563</v>
      </c>
      <c r="B14">
        <v>55</v>
      </c>
    </row>
    <row r="15" spans="1:5">
      <c r="A15" s="31">
        <v>21564</v>
      </c>
      <c r="B15">
        <v>47</v>
      </c>
    </row>
    <row r="16" spans="1:5">
      <c r="A16" s="31">
        <v>21565</v>
      </c>
      <c r="B16">
        <v>45</v>
      </c>
    </row>
    <row r="17" spans="1:2">
      <c r="A17" s="31">
        <v>21566</v>
      </c>
      <c r="B17">
        <v>37</v>
      </c>
    </row>
    <row r="18" spans="1:2">
      <c r="A18" s="31">
        <v>21567</v>
      </c>
      <c r="B18">
        <v>50</v>
      </c>
    </row>
    <row r="19" spans="1:2">
      <c r="A19" s="31">
        <v>21568</v>
      </c>
      <c r="B19">
        <v>43</v>
      </c>
    </row>
    <row r="20" spans="1:2">
      <c r="A20" s="31">
        <v>21569</v>
      </c>
      <c r="B20">
        <v>41</v>
      </c>
    </row>
    <row r="21" spans="1:2">
      <c r="A21" s="31">
        <v>21570</v>
      </c>
      <c r="B21">
        <v>52</v>
      </c>
    </row>
    <row r="22" spans="1:2">
      <c r="A22" s="31">
        <v>21571</v>
      </c>
      <c r="B22">
        <v>34</v>
      </c>
    </row>
    <row r="23" spans="1:2">
      <c r="A23" s="31">
        <v>21572</v>
      </c>
      <c r="B23">
        <v>53</v>
      </c>
    </row>
    <row r="24" spans="1:2">
      <c r="A24" s="31">
        <v>21573</v>
      </c>
      <c r="B24">
        <v>39</v>
      </c>
    </row>
    <row r="25" spans="1:2">
      <c r="A25" s="31">
        <v>21574</v>
      </c>
      <c r="B25">
        <v>32</v>
      </c>
    </row>
    <row r="26" spans="1:2">
      <c r="A26" s="31">
        <v>21575</v>
      </c>
      <c r="B26">
        <v>37</v>
      </c>
    </row>
    <row r="27" spans="1:2">
      <c r="A27" s="31">
        <v>21576</v>
      </c>
      <c r="B27">
        <v>43</v>
      </c>
    </row>
    <row r="28" spans="1:2">
      <c r="A28" s="31">
        <v>21577</v>
      </c>
      <c r="B28">
        <v>39</v>
      </c>
    </row>
    <row r="29" spans="1:2">
      <c r="A29" s="31">
        <v>21578</v>
      </c>
      <c r="B29">
        <v>35</v>
      </c>
    </row>
    <row r="30" spans="1:2">
      <c r="A30" s="31">
        <v>21579</v>
      </c>
      <c r="B30">
        <v>44</v>
      </c>
    </row>
    <row r="31" spans="1:2">
      <c r="A31" s="31">
        <v>21580</v>
      </c>
      <c r="B31">
        <v>38</v>
      </c>
    </row>
    <row r="32" spans="1:2">
      <c r="A32" s="31">
        <v>21581</v>
      </c>
      <c r="B32">
        <v>24</v>
      </c>
    </row>
    <row r="33" spans="1:2">
      <c r="A33" s="31">
        <v>21582</v>
      </c>
      <c r="B33">
        <v>23</v>
      </c>
    </row>
    <row r="34" spans="1:2">
      <c r="A34" s="31">
        <v>21583</v>
      </c>
      <c r="B34">
        <v>31</v>
      </c>
    </row>
    <row r="35" spans="1:2">
      <c r="A35" s="31">
        <v>21584</v>
      </c>
      <c r="B35">
        <v>44</v>
      </c>
    </row>
    <row r="36" spans="1:2">
      <c r="A36" s="31">
        <v>21585</v>
      </c>
      <c r="B36">
        <v>38</v>
      </c>
    </row>
    <row r="37" spans="1:2">
      <c r="A37" s="31">
        <v>21586</v>
      </c>
      <c r="B37">
        <v>50</v>
      </c>
    </row>
    <row r="38" spans="1:2">
      <c r="A38" s="31">
        <v>21587</v>
      </c>
      <c r="B38">
        <v>38</v>
      </c>
    </row>
    <row r="39" spans="1:2">
      <c r="A39" s="31">
        <v>21588</v>
      </c>
      <c r="B39">
        <v>51</v>
      </c>
    </row>
    <row r="40" spans="1:2">
      <c r="A40" s="31">
        <v>21589</v>
      </c>
      <c r="B40">
        <v>31</v>
      </c>
    </row>
    <row r="41" spans="1:2">
      <c r="A41" s="31">
        <v>21590</v>
      </c>
      <c r="B41">
        <v>31</v>
      </c>
    </row>
    <row r="42" spans="1:2">
      <c r="A42" s="31">
        <v>21591</v>
      </c>
      <c r="B42">
        <v>51</v>
      </c>
    </row>
    <row r="43" spans="1:2">
      <c r="A43" s="31">
        <v>21592</v>
      </c>
      <c r="B43">
        <v>36</v>
      </c>
    </row>
    <row r="44" spans="1:2">
      <c r="A44" s="31">
        <v>21593</v>
      </c>
      <c r="B44">
        <v>45</v>
      </c>
    </row>
    <row r="45" spans="1:2">
      <c r="A45" s="31">
        <v>21594</v>
      </c>
      <c r="B45">
        <v>51</v>
      </c>
    </row>
    <row r="46" spans="1:2">
      <c r="A46" s="31">
        <v>21595</v>
      </c>
      <c r="B46">
        <v>34</v>
      </c>
    </row>
    <row r="47" spans="1:2">
      <c r="A47" s="31">
        <v>21596</v>
      </c>
      <c r="B47">
        <v>52</v>
      </c>
    </row>
    <row r="48" spans="1:2">
      <c r="A48" s="31">
        <v>21597</v>
      </c>
      <c r="B48">
        <v>47</v>
      </c>
    </row>
    <row r="49" spans="1:2">
      <c r="A49" s="31">
        <v>21598</v>
      </c>
      <c r="B49">
        <v>45</v>
      </c>
    </row>
    <row r="50" spans="1:2">
      <c r="A50" s="31">
        <v>21599</v>
      </c>
      <c r="B50">
        <v>46</v>
      </c>
    </row>
    <row r="51" spans="1:2">
      <c r="A51" s="31">
        <v>21600</v>
      </c>
      <c r="B51">
        <v>39</v>
      </c>
    </row>
    <row r="52" spans="1:2">
      <c r="A52" s="31">
        <v>21601</v>
      </c>
      <c r="B52">
        <v>48</v>
      </c>
    </row>
    <row r="53" spans="1:2">
      <c r="A53" s="31">
        <v>21602</v>
      </c>
      <c r="B53">
        <v>37</v>
      </c>
    </row>
    <row r="54" spans="1:2">
      <c r="A54" s="31">
        <v>21603</v>
      </c>
      <c r="B54">
        <v>35</v>
      </c>
    </row>
    <row r="55" spans="1:2">
      <c r="A55" s="31">
        <v>21604</v>
      </c>
      <c r="B55">
        <v>52</v>
      </c>
    </row>
    <row r="56" spans="1:2">
      <c r="A56" s="31">
        <v>21605</v>
      </c>
      <c r="B56">
        <v>42</v>
      </c>
    </row>
    <row r="57" spans="1:2">
      <c r="A57" s="31">
        <v>21606</v>
      </c>
      <c r="B57">
        <v>45</v>
      </c>
    </row>
    <row r="58" spans="1:2">
      <c r="A58" s="31">
        <v>21607</v>
      </c>
      <c r="B58">
        <v>39</v>
      </c>
    </row>
    <row r="59" spans="1:2">
      <c r="A59" s="31">
        <v>21608</v>
      </c>
      <c r="B59">
        <v>37</v>
      </c>
    </row>
    <row r="60" spans="1:2">
      <c r="A60" s="31">
        <v>21609</v>
      </c>
      <c r="B60">
        <v>30</v>
      </c>
    </row>
    <row r="61" spans="1:2">
      <c r="A61" s="31">
        <v>21610</v>
      </c>
      <c r="B61">
        <v>35</v>
      </c>
    </row>
    <row r="62" spans="1:2">
      <c r="A62" s="31">
        <v>21611</v>
      </c>
      <c r="B62">
        <v>28</v>
      </c>
    </row>
    <row r="63" spans="1:2">
      <c r="A63" s="31">
        <v>21612</v>
      </c>
      <c r="B63">
        <v>45</v>
      </c>
    </row>
    <row r="64" spans="1:2">
      <c r="A64" s="31">
        <v>21613</v>
      </c>
      <c r="B64">
        <v>34</v>
      </c>
    </row>
    <row r="65" spans="1:2">
      <c r="A65" s="31">
        <v>21614</v>
      </c>
      <c r="B65">
        <v>36</v>
      </c>
    </row>
    <row r="66" spans="1:2">
      <c r="A66" s="31">
        <v>21615</v>
      </c>
      <c r="B66">
        <v>50</v>
      </c>
    </row>
    <row r="67" spans="1:2">
      <c r="A67" s="31">
        <v>21616</v>
      </c>
      <c r="B67">
        <v>44</v>
      </c>
    </row>
    <row r="68" spans="1:2">
      <c r="A68" s="31">
        <v>21617</v>
      </c>
      <c r="B68">
        <v>39</v>
      </c>
    </row>
    <row r="69" spans="1:2">
      <c r="A69" s="31">
        <v>21618</v>
      </c>
      <c r="B69">
        <v>32</v>
      </c>
    </row>
    <row r="70" spans="1:2">
      <c r="A70" s="31">
        <v>21619</v>
      </c>
      <c r="B70">
        <v>39</v>
      </c>
    </row>
    <row r="71" spans="1:2">
      <c r="A71" s="31">
        <v>21620</v>
      </c>
      <c r="B71">
        <v>45</v>
      </c>
    </row>
    <row r="72" spans="1:2">
      <c r="A72" s="31">
        <v>21621</v>
      </c>
      <c r="B72">
        <v>43</v>
      </c>
    </row>
    <row r="73" spans="1:2">
      <c r="A73" s="31">
        <v>21622</v>
      </c>
      <c r="B73">
        <v>39</v>
      </c>
    </row>
    <row r="74" spans="1:2">
      <c r="A74" s="31">
        <v>21623</v>
      </c>
      <c r="B74">
        <v>31</v>
      </c>
    </row>
    <row r="75" spans="1:2">
      <c r="A75" s="31">
        <v>21624</v>
      </c>
      <c r="B75">
        <v>27</v>
      </c>
    </row>
    <row r="76" spans="1:2">
      <c r="A76" s="31">
        <v>21625</v>
      </c>
      <c r="B76">
        <v>30</v>
      </c>
    </row>
    <row r="77" spans="1:2">
      <c r="A77" s="31">
        <v>21626</v>
      </c>
      <c r="B77">
        <v>42</v>
      </c>
    </row>
    <row r="78" spans="1:2">
      <c r="A78" s="31">
        <v>21627</v>
      </c>
      <c r="B78">
        <v>46</v>
      </c>
    </row>
    <row r="79" spans="1:2">
      <c r="A79" s="31">
        <v>21628</v>
      </c>
      <c r="B79">
        <v>41</v>
      </c>
    </row>
    <row r="80" spans="1:2">
      <c r="A80" s="31">
        <v>21629</v>
      </c>
      <c r="B80">
        <v>36</v>
      </c>
    </row>
    <row r="81" spans="1:2">
      <c r="A81" s="31">
        <v>21630</v>
      </c>
      <c r="B81">
        <v>45</v>
      </c>
    </row>
    <row r="82" spans="1:2">
      <c r="A82" s="31">
        <v>21631</v>
      </c>
      <c r="B82">
        <v>46</v>
      </c>
    </row>
    <row r="83" spans="1:2">
      <c r="A83" s="31">
        <v>21632</v>
      </c>
      <c r="B83">
        <v>43</v>
      </c>
    </row>
    <row r="84" spans="1:2">
      <c r="A84" s="31">
        <v>21633</v>
      </c>
      <c r="B84">
        <v>38</v>
      </c>
    </row>
    <row r="85" spans="1:2">
      <c r="A85" s="31">
        <v>21634</v>
      </c>
      <c r="B85">
        <v>34</v>
      </c>
    </row>
    <row r="86" spans="1:2">
      <c r="A86" s="31">
        <v>21635</v>
      </c>
      <c r="B86">
        <v>35</v>
      </c>
    </row>
    <row r="87" spans="1:2">
      <c r="A87" s="31">
        <v>21636</v>
      </c>
      <c r="B87">
        <v>56</v>
      </c>
    </row>
    <row r="88" spans="1:2">
      <c r="A88" s="31">
        <v>21637</v>
      </c>
      <c r="B88">
        <v>36</v>
      </c>
    </row>
    <row r="89" spans="1:2">
      <c r="A89" s="31">
        <v>21638</v>
      </c>
      <c r="B89">
        <v>32</v>
      </c>
    </row>
    <row r="90" spans="1:2">
      <c r="A90" s="31">
        <v>21639</v>
      </c>
      <c r="B90">
        <v>50</v>
      </c>
    </row>
    <row r="91" spans="1:2">
      <c r="A91" s="31">
        <v>21640</v>
      </c>
      <c r="B91">
        <v>41</v>
      </c>
    </row>
    <row r="92" spans="1:2">
      <c r="A92" s="31">
        <v>21641</v>
      </c>
      <c r="B92">
        <v>39</v>
      </c>
    </row>
    <row r="93" spans="1:2">
      <c r="A93" s="31">
        <v>21642</v>
      </c>
      <c r="B93">
        <v>41</v>
      </c>
    </row>
    <row r="94" spans="1:2">
      <c r="A94" s="31">
        <v>21643</v>
      </c>
      <c r="B94">
        <v>47</v>
      </c>
    </row>
    <row r="95" spans="1:2">
      <c r="A95" s="31">
        <v>21644</v>
      </c>
      <c r="B95">
        <v>34</v>
      </c>
    </row>
    <row r="96" spans="1:2">
      <c r="A96" s="31">
        <v>21645</v>
      </c>
      <c r="B96">
        <v>36</v>
      </c>
    </row>
    <row r="97" spans="1:2">
      <c r="A97" s="31">
        <v>21646</v>
      </c>
      <c r="B97">
        <v>33</v>
      </c>
    </row>
    <row r="98" spans="1:2">
      <c r="A98" s="31">
        <v>21647</v>
      </c>
      <c r="B98">
        <v>35</v>
      </c>
    </row>
    <row r="99" spans="1:2">
      <c r="A99" s="31">
        <v>21648</v>
      </c>
      <c r="B99">
        <v>38</v>
      </c>
    </row>
    <row r="100" spans="1:2">
      <c r="A100" s="31">
        <v>21649</v>
      </c>
      <c r="B100">
        <v>38</v>
      </c>
    </row>
    <row r="101" spans="1:2">
      <c r="A101" s="31">
        <v>21650</v>
      </c>
      <c r="B101">
        <v>34</v>
      </c>
    </row>
    <row r="102" spans="1:2">
      <c r="A102" s="31">
        <v>21651</v>
      </c>
      <c r="B102">
        <v>53</v>
      </c>
    </row>
    <row r="103" spans="1:2">
      <c r="A103" s="31">
        <v>21652</v>
      </c>
      <c r="B103">
        <v>34</v>
      </c>
    </row>
    <row r="104" spans="1:2">
      <c r="A104" s="31">
        <v>21653</v>
      </c>
      <c r="B104">
        <v>34</v>
      </c>
    </row>
    <row r="105" spans="1:2">
      <c r="A105" s="31">
        <v>21654</v>
      </c>
      <c r="B105">
        <v>38</v>
      </c>
    </row>
    <row r="106" spans="1:2">
      <c r="A106" s="31">
        <v>21655</v>
      </c>
      <c r="B106">
        <v>35</v>
      </c>
    </row>
    <row r="107" spans="1:2">
      <c r="A107" s="31">
        <v>21656</v>
      </c>
      <c r="B107">
        <v>32</v>
      </c>
    </row>
    <row r="108" spans="1:2">
      <c r="A108" s="31">
        <v>21657</v>
      </c>
      <c r="B108">
        <v>42</v>
      </c>
    </row>
    <row r="109" spans="1:2">
      <c r="A109" s="31">
        <v>21658</v>
      </c>
      <c r="B109">
        <v>34</v>
      </c>
    </row>
    <row r="110" spans="1:2">
      <c r="A110" s="31">
        <v>21659</v>
      </c>
      <c r="B110">
        <v>46</v>
      </c>
    </row>
    <row r="111" spans="1:2">
      <c r="A111" s="31">
        <v>21660</v>
      </c>
      <c r="B111">
        <v>30</v>
      </c>
    </row>
    <row r="112" spans="1:2">
      <c r="A112" s="31">
        <v>21661</v>
      </c>
      <c r="B112">
        <v>46</v>
      </c>
    </row>
    <row r="113" spans="1:2">
      <c r="A113" s="31">
        <v>21662</v>
      </c>
      <c r="B113">
        <v>45</v>
      </c>
    </row>
    <row r="114" spans="1:2">
      <c r="A114" s="31">
        <v>21663</v>
      </c>
      <c r="B114">
        <v>54</v>
      </c>
    </row>
    <row r="115" spans="1:2">
      <c r="A115" s="31">
        <v>21664</v>
      </c>
      <c r="B115">
        <v>34</v>
      </c>
    </row>
    <row r="116" spans="1:2">
      <c r="A116" s="31">
        <v>21665</v>
      </c>
      <c r="B116">
        <v>37</v>
      </c>
    </row>
    <row r="117" spans="1:2">
      <c r="A117" s="31">
        <v>21666</v>
      </c>
      <c r="B117">
        <v>35</v>
      </c>
    </row>
    <row r="118" spans="1:2">
      <c r="A118" s="31">
        <v>21667</v>
      </c>
      <c r="B118">
        <v>40</v>
      </c>
    </row>
    <row r="119" spans="1:2">
      <c r="A119" s="31">
        <v>21668</v>
      </c>
      <c r="B119">
        <v>42</v>
      </c>
    </row>
    <row r="120" spans="1:2">
      <c r="A120" s="31">
        <v>21669</v>
      </c>
      <c r="B120">
        <v>58</v>
      </c>
    </row>
    <row r="121" spans="1:2">
      <c r="A121" s="31">
        <v>21670</v>
      </c>
      <c r="B121">
        <v>51</v>
      </c>
    </row>
    <row r="122" spans="1:2">
      <c r="A122" s="31">
        <v>21671</v>
      </c>
      <c r="B122">
        <v>32</v>
      </c>
    </row>
    <row r="123" spans="1:2">
      <c r="A123" s="31">
        <v>21672</v>
      </c>
      <c r="B123">
        <v>35</v>
      </c>
    </row>
    <row r="124" spans="1:2">
      <c r="A124" s="31">
        <v>21673</v>
      </c>
      <c r="B124">
        <v>38</v>
      </c>
    </row>
    <row r="125" spans="1:2">
      <c r="A125" s="31">
        <v>21674</v>
      </c>
      <c r="B125">
        <v>33</v>
      </c>
    </row>
    <row r="126" spans="1:2">
      <c r="A126" s="31">
        <v>21675</v>
      </c>
      <c r="B126">
        <v>39</v>
      </c>
    </row>
    <row r="127" spans="1:2">
      <c r="A127" s="31">
        <v>21676</v>
      </c>
      <c r="B127">
        <v>47</v>
      </c>
    </row>
    <row r="128" spans="1:2">
      <c r="A128" s="31">
        <v>21677</v>
      </c>
      <c r="B128">
        <v>38</v>
      </c>
    </row>
    <row r="129" spans="1:2">
      <c r="A129" s="31">
        <v>21678</v>
      </c>
      <c r="B129">
        <v>52</v>
      </c>
    </row>
    <row r="130" spans="1:2">
      <c r="A130" s="31">
        <v>21679</v>
      </c>
      <c r="B130">
        <v>30</v>
      </c>
    </row>
    <row r="131" spans="1:2">
      <c r="A131" s="31">
        <v>21680</v>
      </c>
      <c r="B131">
        <v>34</v>
      </c>
    </row>
    <row r="132" spans="1:2">
      <c r="A132" s="31">
        <v>21681</v>
      </c>
      <c r="B132">
        <v>40</v>
      </c>
    </row>
    <row r="133" spans="1:2">
      <c r="A133" s="31">
        <v>21682</v>
      </c>
      <c r="B133">
        <v>35</v>
      </c>
    </row>
    <row r="134" spans="1:2">
      <c r="A134" s="31">
        <v>21683</v>
      </c>
      <c r="B134">
        <v>42</v>
      </c>
    </row>
    <row r="135" spans="1:2">
      <c r="A135" s="31">
        <v>21684</v>
      </c>
      <c r="B135">
        <v>41</v>
      </c>
    </row>
    <row r="136" spans="1:2">
      <c r="A136" s="31">
        <v>21685</v>
      </c>
      <c r="B136">
        <v>42</v>
      </c>
    </row>
    <row r="137" spans="1:2">
      <c r="A137" s="31">
        <v>21686</v>
      </c>
      <c r="B137">
        <v>38</v>
      </c>
    </row>
    <row r="138" spans="1:2">
      <c r="A138" s="31">
        <v>21687</v>
      </c>
      <c r="B138">
        <v>24</v>
      </c>
    </row>
    <row r="139" spans="1:2">
      <c r="A139" s="31">
        <v>21688</v>
      </c>
      <c r="B139">
        <v>34</v>
      </c>
    </row>
    <row r="140" spans="1:2">
      <c r="A140" s="31">
        <v>21689</v>
      </c>
      <c r="B140">
        <v>43</v>
      </c>
    </row>
    <row r="141" spans="1:2">
      <c r="A141" s="31">
        <v>21690</v>
      </c>
      <c r="B141">
        <v>36</v>
      </c>
    </row>
    <row r="142" spans="1:2">
      <c r="A142" s="31">
        <v>21691</v>
      </c>
      <c r="B142">
        <v>55</v>
      </c>
    </row>
    <row r="143" spans="1:2">
      <c r="A143" s="31">
        <v>21692</v>
      </c>
      <c r="B143">
        <v>41</v>
      </c>
    </row>
    <row r="144" spans="1:2">
      <c r="A144" s="31">
        <v>21693</v>
      </c>
      <c r="B144">
        <v>45</v>
      </c>
    </row>
    <row r="145" spans="1:2">
      <c r="A145" s="31">
        <v>21694</v>
      </c>
      <c r="B145">
        <v>41</v>
      </c>
    </row>
    <row r="146" spans="1:2">
      <c r="A146" s="31">
        <v>21695</v>
      </c>
      <c r="B146">
        <v>37</v>
      </c>
    </row>
    <row r="147" spans="1:2">
      <c r="A147" s="31">
        <v>21696</v>
      </c>
      <c r="B147">
        <v>43</v>
      </c>
    </row>
    <row r="148" spans="1:2">
      <c r="A148" s="31">
        <v>21697</v>
      </c>
      <c r="B148">
        <v>39</v>
      </c>
    </row>
    <row r="149" spans="1:2">
      <c r="A149" s="31">
        <v>21698</v>
      </c>
      <c r="B149">
        <v>33</v>
      </c>
    </row>
    <row r="150" spans="1:2">
      <c r="A150" s="31">
        <v>21699</v>
      </c>
      <c r="B150">
        <v>43</v>
      </c>
    </row>
    <row r="151" spans="1:2">
      <c r="A151" s="31">
        <v>21700</v>
      </c>
      <c r="B151">
        <v>40</v>
      </c>
    </row>
    <row r="152" spans="1:2">
      <c r="A152" s="31">
        <v>21701</v>
      </c>
      <c r="B152">
        <v>38</v>
      </c>
    </row>
    <row r="153" spans="1:2">
      <c r="A153" s="31">
        <v>21702</v>
      </c>
      <c r="B153">
        <v>45</v>
      </c>
    </row>
    <row r="154" spans="1:2">
      <c r="A154" s="31">
        <v>21703</v>
      </c>
      <c r="B154">
        <v>46</v>
      </c>
    </row>
    <row r="155" spans="1:2">
      <c r="A155" s="31">
        <v>21704</v>
      </c>
      <c r="B155">
        <v>34</v>
      </c>
    </row>
    <row r="156" spans="1:2">
      <c r="A156" s="31">
        <v>21705</v>
      </c>
      <c r="B156">
        <v>35</v>
      </c>
    </row>
    <row r="157" spans="1:2">
      <c r="A157" s="31">
        <v>21706</v>
      </c>
      <c r="B157">
        <v>48</v>
      </c>
    </row>
    <row r="158" spans="1:2">
      <c r="A158" s="31">
        <v>21707</v>
      </c>
      <c r="B158">
        <v>51</v>
      </c>
    </row>
    <row r="159" spans="1:2">
      <c r="A159" s="31">
        <v>21708</v>
      </c>
      <c r="B159">
        <v>36</v>
      </c>
    </row>
    <row r="160" spans="1:2">
      <c r="A160" s="31">
        <v>21709</v>
      </c>
      <c r="B160">
        <v>33</v>
      </c>
    </row>
    <row r="161" spans="1:2">
      <c r="A161" s="31">
        <v>21710</v>
      </c>
      <c r="B161">
        <v>46</v>
      </c>
    </row>
    <row r="162" spans="1:2">
      <c r="A162" s="31">
        <v>21711</v>
      </c>
      <c r="B162">
        <v>42</v>
      </c>
    </row>
    <row r="163" spans="1:2">
      <c r="A163" s="31">
        <v>21712</v>
      </c>
      <c r="B163">
        <v>48</v>
      </c>
    </row>
    <row r="164" spans="1:2">
      <c r="A164" s="31">
        <v>21713</v>
      </c>
      <c r="B164">
        <v>34</v>
      </c>
    </row>
    <row r="165" spans="1:2">
      <c r="A165" s="31">
        <v>21714</v>
      </c>
      <c r="B165">
        <v>41</v>
      </c>
    </row>
    <row r="166" spans="1:2">
      <c r="A166" s="31">
        <v>21715</v>
      </c>
      <c r="B166">
        <v>35</v>
      </c>
    </row>
    <row r="167" spans="1:2">
      <c r="A167" s="31">
        <v>21716</v>
      </c>
      <c r="B167">
        <v>40</v>
      </c>
    </row>
    <row r="168" spans="1:2">
      <c r="A168" s="31">
        <v>21717</v>
      </c>
      <c r="B168">
        <v>34</v>
      </c>
    </row>
    <row r="169" spans="1:2">
      <c r="A169" s="31">
        <v>21718</v>
      </c>
      <c r="B169">
        <v>30</v>
      </c>
    </row>
    <row r="170" spans="1:2">
      <c r="A170" s="31">
        <v>21719</v>
      </c>
      <c r="B170">
        <v>36</v>
      </c>
    </row>
    <row r="171" spans="1:2">
      <c r="A171" s="31">
        <v>21720</v>
      </c>
      <c r="B171">
        <v>40</v>
      </c>
    </row>
    <row r="172" spans="1:2">
      <c r="A172" s="31">
        <v>21721</v>
      </c>
      <c r="B172">
        <v>39</v>
      </c>
    </row>
    <row r="173" spans="1:2">
      <c r="A173" s="31">
        <v>21722</v>
      </c>
      <c r="B173">
        <v>45</v>
      </c>
    </row>
    <row r="174" spans="1:2">
      <c r="A174" s="31">
        <v>21723</v>
      </c>
      <c r="B174">
        <v>38</v>
      </c>
    </row>
    <row r="175" spans="1:2">
      <c r="A175" s="31">
        <v>21724</v>
      </c>
      <c r="B175">
        <v>47</v>
      </c>
    </row>
    <row r="176" spans="1:2">
      <c r="A176" s="31">
        <v>21725</v>
      </c>
      <c r="B176">
        <v>33</v>
      </c>
    </row>
    <row r="177" spans="1:2">
      <c r="A177" s="31">
        <v>21726</v>
      </c>
      <c r="B177">
        <v>30</v>
      </c>
    </row>
    <row r="178" spans="1:2">
      <c r="A178" s="31">
        <v>21727</v>
      </c>
      <c r="B178">
        <v>42</v>
      </c>
    </row>
    <row r="179" spans="1:2">
      <c r="A179" s="31">
        <v>21728</v>
      </c>
      <c r="B179">
        <v>43</v>
      </c>
    </row>
    <row r="180" spans="1:2">
      <c r="A180" s="31">
        <v>21729</v>
      </c>
      <c r="B180">
        <v>41</v>
      </c>
    </row>
    <row r="181" spans="1:2">
      <c r="A181" s="31">
        <v>21730</v>
      </c>
      <c r="B181">
        <v>41</v>
      </c>
    </row>
    <row r="182" spans="1:2">
      <c r="A182" s="31">
        <v>21731</v>
      </c>
      <c r="B182">
        <v>59</v>
      </c>
    </row>
    <row r="183" spans="1:2">
      <c r="A183" s="31">
        <v>21732</v>
      </c>
      <c r="B183">
        <v>43</v>
      </c>
    </row>
    <row r="184" spans="1:2">
      <c r="A184" s="31">
        <v>21733</v>
      </c>
      <c r="B184">
        <v>45</v>
      </c>
    </row>
    <row r="185" spans="1:2">
      <c r="A185" s="31">
        <v>21734</v>
      </c>
      <c r="B185">
        <v>38</v>
      </c>
    </row>
    <row r="186" spans="1:2">
      <c r="A186" s="31">
        <v>21735</v>
      </c>
      <c r="B186">
        <v>37</v>
      </c>
    </row>
    <row r="187" spans="1:2">
      <c r="A187" s="31">
        <v>21736</v>
      </c>
      <c r="B187">
        <v>45</v>
      </c>
    </row>
    <row r="188" spans="1:2">
      <c r="A188" s="31">
        <v>21737</v>
      </c>
      <c r="B188">
        <v>42</v>
      </c>
    </row>
    <row r="189" spans="1:2">
      <c r="A189" s="31">
        <v>21738</v>
      </c>
      <c r="B189">
        <v>57</v>
      </c>
    </row>
    <row r="190" spans="1:2">
      <c r="A190" s="31">
        <v>21739</v>
      </c>
      <c r="B190">
        <v>46</v>
      </c>
    </row>
    <row r="191" spans="1:2">
      <c r="A191" s="31">
        <v>21740</v>
      </c>
      <c r="B191">
        <v>51</v>
      </c>
    </row>
    <row r="192" spans="1:2">
      <c r="A192" s="31">
        <v>21741</v>
      </c>
      <c r="B192">
        <v>41</v>
      </c>
    </row>
    <row r="193" spans="1:2">
      <c r="A193" s="31">
        <v>21742</v>
      </c>
      <c r="B193">
        <v>47</v>
      </c>
    </row>
    <row r="194" spans="1:2">
      <c r="A194" s="31">
        <v>21743</v>
      </c>
      <c r="B194">
        <v>26</v>
      </c>
    </row>
    <row r="195" spans="1:2">
      <c r="A195" s="31">
        <v>21744</v>
      </c>
      <c r="B195">
        <v>35</v>
      </c>
    </row>
    <row r="196" spans="1:2">
      <c r="A196" s="31">
        <v>21745</v>
      </c>
      <c r="B196">
        <v>44</v>
      </c>
    </row>
    <row r="197" spans="1:2">
      <c r="A197" s="31">
        <v>21746</v>
      </c>
      <c r="B197">
        <v>41</v>
      </c>
    </row>
    <row r="198" spans="1:2">
      <c r="A198" s="31">
        <v>21747</v>
      </c>
      <c r="B198">
        <v>42</v>
      </c>
    </row>
    <row r="199" spans="1:2">
      <c r="A199" s="31">
        <v>21748</v>
      </c>
      <c r="B199">
        <v>36</v>
      </c>
    </row>
    <row r="200" spans="1:2">
      <c r="A200" s="31">
        <v>21749</v>
      </c>
      <c r="B200">
        <v>45</v>
      </c>
    </row>
    <row r="201" spans="1:2">
      <c r="A201" s="31">
        <v>21750</v>
      </c>
      <c r="B201">
        <v>45</v>
      </c>
    </row>
    <row r="202" spans="1:2">
      <c r="A202" s="31">
        <v>21751</v>
      </c>
      <c r="B202">
        <v>45</v>
      </c>
    </row>
    <row r="203" spans="1:2">
      <c r="A203" s="31">
        <v>21752</v>
      </c>
      <c r="B203">
        <v>47</v>
      </c>
    </row>
    <row r="204" spans="1:2">
      <c r="A204" s="31">
        <v>21753</v>
      </c>
      <c r="B204">
        <v>38</v>
      </c>
    </row>
    <row r="205" spans="1:2">
      <c r="A205" s="31">
        <v>21754</v>
      </c>
      <c r="B205">
        <v>42</v>
      </c>
    </row>
    <row r="206" spans="1:2">
      <c r="A206" s="31">
        <v>21755</v>
      </c>
      <c r="B206">
        <v>35</v>
      </c>
    </row>
    <row r="207" spans="1:2">
      <c r="A207" s="31">
        <v>21756</v>
      </c>
      <c r="B207">
        <v>36</v>
      </c>
    </row>
    <row r="208" spans="1:2">
      <c r="A208" s="31">
        <v>21757</v>
      </c>
      <c r="B208">
        <v>39</v>
      </c>
    </row>
    <row r="209" spans="1:2">
      <c r="A209" s="31">
        <v>21758</v>
      </c>
      <c r="B209">
        <v>45</v>
      </c>
    </row>
    <row r="210" spans="1:2">
      <c r="A210" s="31">
        <v>21759</v>
      </c>
      <c r="B210">
        <v>43</v>
      </c>
    </row>
    <row r="211" spans="1:2">
      <c r="A211" s="31">
        <v>21760</v>
      </c>
      <c r="B211">
        <v>47</v>
      </c>
    </row>
    <row r="212" spans="1:2">
      <c r="A212" s="31">
        <v>21761</v>
      </c>
      <c r="B212">
        <v>36</v>
      </c>
    </row>
    <row r="213" spans="1:2">
      <c r="A213" s="31">
        <v>21762</v>
      </c>
      <c r="B213">
        <v>41</v>
      </c>
    </row>
    <row r="214" spans="1:2">
      <c r="A214" s="31">
        <v>21763</v>
      </c>
      <c r="B214">
        <v>50</v>
      </c>
    </row>
    <row r="215" spans="1:2">
      <c r="A215" s="31">
        <v>21764</v>
      </c>
      <c r="B215">
        <v>39</v>
      </c>
    </row>
    <row r="216" spans="1:2">
      <c r="A216" s="31">
        <v>21765</v>
      </c>
      <c r="B216">
        <v>41</v>
      </c>
    </row>
    <row r="217" spans="1:2">
      <c r="A217" s="31">
        <v>21766</v>
      </c>
      <c r="B217">
        <v>46</v>
      </c>
    </row>
    <row r="218" spans="1:2">
      <c r="A218" s="31">
        <v>21767</v>
      </c>
      <c r="B218">
        <v>64</v>
      </c>
    </row>
    <row r="219" spans="1:2">
      <c r="A219" s="31">
        <v>21768</v>
      </c>
      <c r="B219">
        <v>45</v>
      </c>
    </row>
    <row r="220" spans="1:2">
      <c r="A220" s="31">
        <v>21769</v>
      </c>
      <c r="B220">
        <v>34</v>
      </c>
    </row>
    <row r="221" spans="1:2">
      <c r="A221" s="31">
        <v>21770</v>
      </c>
      <c r="B221">
        <v>38</v>
      </c>
    </row>
    <row r="222" spans="1:2">
      <c r="A222" s="31">
        <v>21771</v>
      </c>
      <c r="B222">
        <v>44</v>
      </c>
    </row>
    <row r="223" spans="1:2">
      <c r="A223" s="31">
        <v>21772</v>
      </c>
      <c r="B223">
        <v>48</v>
      </c>
    </row>
    <row r="224" spans="1:2">
      <c r="A224" s="31">
        <v>21773</v>
      </c>
      <c r="B224">
        <v>46</v>
      </c>
    </row>
    <row r="225" spans="1:2">
      <c r="A225" s="31">
        <v>21774</v>
      </c>
      <c r="B225">
        <v>44</v>
      </c>
    </row>
    <row r="226" spans="1:2">
      <c r="A226" s="31">
        <v>21775</v>
      </c>
      <c r="B226">
        <v>37</v>
      </c>
    </row>
    <row r="227" spans="1:2">
      <c r="A227" s="31">
        <v>21776</v>
      </c>
      <c r="B227">
        <v>39</v>
      </c>
    </row>
    <row r="228" spans="1:2">
      <c r="A228" s="31">
        <v>21777</v>
      </c>
      <c r="B228">
        <v>44</v>
      </c>
    </row>
    <row r="229" spans="1:2">
      <c r="A229" s="31">
        <v>21778</v>
      </c>
      <c r="B229">
        <v>45</v>
      </c>
    </row>
    <row r="230" spans="1:2">
      <c r="A230" s="31">
        <v>21779</v>
      </c>
      <c r="B230">
        <v>33</v>
      </c>
    </row>
    <row r="231" spans="1:2">
      <c r="A231" s="31">
        <v>21780</v>
      </c>
      <c r="B231">
        <v>44</v>
      </c>
    </row>
    <row r="232" spans="1:2">
      <c r="A232" s="31">
        <v>21781</v>
      </c>
      <c r="B232">
        <v>38</v>
      </c>
    </row>
    <row r="233" spans="1:2">
      <c r="A233" s="31">
        <v>21782</v>
      </c>
      <c r="B233">
        <v>46</v>
      </c>
    </row>
    <row r="234" spans="1:2">
      <c r="A234" s="31">
        <v>21783</v>
      </c>
      <c r="B234">
        <v>46</v>
      </c>
    </row>
    <row r="235" spans="1:2">
      <c r="A235" s="31">
        <v>21784</v>
      </c>
      <c r="B235">
        <v>40</v>
      </c>
    </row>
    <row r="236" spans="1:2">
      <c r="A236" s="31">
        <v>21785</v>
      </c>
      <c r="B236">
        <v>39</v>
      </c>
    </row>
    <row r="237" spans="1:2">
      <c r="A237" s="31">
        <v>21786</v>
      </c>
      <c r="B237">
        <v>44</v>
      </c>
    </row>
    <row r="238" spans="1:2">
      <c r="A238" s="31">
        <v>21787</v>
      </c>
      <c r="B238">
        <v>48</v>
      </c>
    </row>
    <row r="239" spans="1:2">
      <c r="A239" s="31">
        <v>21788</v>
      </c>
      <c r="B239">
        <v>50</v>
      </c>
    </row>
    <row r="240" spans="1:2">
      <c r="A240" s="31">
        <v>21789</v>
      </c>
      <c r="B240">
        <v>41</v>
      </c>
    </row>
    <row r="241" spans="1:2">
      <c r="A241" s="31">
        <v>21790</v>
      </c>
      <c r="B241">
        <v>42</v>
      </c>
    </row>
    <row r="242" spans="1:2">
      <c r="A242" s="31">
        <v>21791</v>
      </c>
      <c r="B242">
        <v>51</v>
      </c>
    </row>
    <row r="243" spans="1:2">
      <c r="A243" s="31">
        <v>21792</v>
      </c>
      <c r="B243">
        <v>41</v>
      </c>
    </row>
    <row r="244" spans="1:2">
      <c r="A244" s="31">
        <v>21793</v>
      </c>
      <c r="B244">
        <v>44</v>
      </c>
    </row>
    <row r="245" spans="1:2">
      <c r="A245" s="31">
        <v>21794</v>
      </c>
      <c r="B245">
        <v>38</v>
      </c>
    </row>
    <row r="246" spans="1:2">
      <c r="A246" s="31">
        <v>21795</v>
      </c>
      <c r="B246">
        <v>68</v>
      </c>
    </row>
    <row r="247" spans="1:2">
      <c r="A247" s="31">
        <v>21796</v>
      </c>
      <c r="B247">
        <v>40</v>
      </c>
    </row>
    <row r="248" spans="1:2">
      <c r="A248" s="31">
        <v>21797</v>
      </c>
      <c r="B248">
        <v>42</v>
      </c>
    </row>
    <row r="249" spans="1:2">
      <c r="A249" s="31">
        <v>21798</v>
      </c>
      <c r="B249">
        <v>51</v>
      </c>
    </row>
    <row r="250" spans="1:2">
      <c r="A250" s="31">
        <v>21799</v>
      </c>
      <c r="B250">
        <v>44</v>
      </c>
    </row>
    <row r="251" spans="1:2">
      <c r="A251" s="31">
        <v>21800</v>
      </c>
      <c r="B251">
        <v>45</v>
      </c>
    </row>
    <row r="252" spans="1:2">
      <c r="A252" s="31">
        <v>21801</v>
      </c>
      <c r="B252">
        <v>36</v>
      </c>
    </row>
    <row r="253" spans="1:2">
      <c r="A253" s="31">
        <v>21802</v>
      </c>
      <c r="B253">
        <v>57</v>
      </c>
    </row>
    <row r="254" spans="1:2">
      <c r="A254" s="31">
        <v>21803</v>
      </c>
      <c r="B254">
        <v>44</v>
      </c>
    </row>
    <row r="255" spans="1:2">
      <c r="A255" s="31">
        <v>21804</v>
      </c>
      <c r="B255">
        <v>42</v>
      </c>
    </row>
    <row r="256" spans="1:2">
      <c r="A256" s="31">
        <v>21805</v>
      </c>
      <c r="B256">
        <v>53</v>
      </c>
    </row>
    <row r="257" spans="1:2">
      <c r="A257" s="31">
        <v>21806</v>
      </c>
      <c r="B257">
        <v>42</v>
      </c>
    </row>
    <row r="258" spans="1:2">
      <c r="A258" s="31">
        <v>21807</v>
      </c>
      <c r="B258">
        <v>34</v>
      </c>
    </row>
    <row r="259" spans="1:2">
      <c r="A259" s="31">
        <v>21808</v>
      </c>
      <c r="B259">
        <v>40</v>
      </c>
    </row>
    <row r="260" spans="1:2">
      <c r="A260" s="31">
        <v>21809</v>
      </c>
      <c r="B260">
        <v>56</v>
      </c>
    </row>
    <row r="261" spans="1:2">
      <c r="A261" s="31">
        <v>21810</v>
      </c>
      <c r="B261">
        <v>44</v>
      </c>
    </row>
    <row r="262" spans="1:2">
      <c r="A262" s="31">
        <v>21811</v>
      </c>
      <c r="B262">
        <v>53</v>
      </c>
    </row>
    <row r="263" spans="1:2">
      <c r="A263" s="31">
        <v>21812</v>
      </c>
      <c r="B263">
        <v>55</v>
      </c>
    </row>
    <row r="264" spans="1:2">
      <c r="A264" s="31">
        <v>21813</v>
      </c>
      <c r="B264">
        <v>39</v>
      </c>
    </row>
    <row r="265" spans="1:2">
      <c r="A265" s="31">
        <v>21814</v>
      </c>
      <c r="B265">
        <v>59</v>
      </c>
    </row>
    <row r="266" spans="1:2">
      <c r="A266" s="31">
        <v>21815</v>
      </c>
      <c r="B266">
        <v>55</v>
      </c>
    </row>
    <row r="267" spans="1:2">
      <c r="A267" s="31">
        <v>21816</v>
      </c>
      <c r="B267">
        <v>73</v>
      </c>
    </row>
    <row r="268" spans="1:2">
      <c r="A268" s="31">
        <v>21817</v>
      </c>
      <c r="B268">
        <v>55</v>
      </c>
    </row>
    <row r="269" spans="1:2">
      <c r="A269" s="31">
        <v>21818</v>
      </c>
      <c r="B269">
        <v>44</v>
      </c>
    </row>
    <row r="270" spans="1:2">
      <c r="A270" s="31">
        <v>21819</v>
      </c>
      <c r="B270">
        <v>43</v>
      </c>
    </row>
    <row r="271" spans="1:2">
      <c r="A271" s="31">
        <v>21820</v>
      </c>
      <c r="B271">
        <v>40</v>
      </c>
    </row>
    <row r="272" spans="1:2">
      <c r="A272" s="31">
        <v>21821</v>
      </c>
      <c r="B272">
        <v>47</v>
      </c>
    </row>
    <row r="273" spans="1:2">
      <c r="A273" s="31">
        <v>21822</v>
      </c>
      <c r="B273">
        <v>51</v>
      </c>
    </row>
    <row r="274" spans="1:2">
      <c r="A274" s="31">
        <v>21823</v>
      </c>
      <c r="B274">
        <v>56</v>
      </c>
    </row>
    <row r="275" spans="1:2">
      <c r="A275" s="31">
        <v>21824</v>
      </c>
      <c r="B275">
        <v>49</v>
      </c>
    </row>
    <row r="276" spans="1:2">
      <c r="A276" s="31">
        <v>21825</v>
      </c>
      <c r="B276">
        <v>54</v>
      </c>
    </row>
    <row r="277" spans="1:2">
      <c r="A277" s="31">
        <v>21826</v>
      </c>
      <c r="B277">
        <v>56</v>
      </c>
    </row>
    <row r="278" spans="1:2">
      <c r="A278" s="31">
        <v>21827</v>
      </c>
      <c r="B278">
        <v>47</v>
      </c>
    </row>
    <row r="279" spans="1:2">
      <c r="A279" s="31">
        <v>21828</v>
      </c>
      <c r="B279">
        <v>44</v>
      </c>
    </row>
    <row r="280" spans="1:2">
      <c r="A280" s="31">
        <v>21829</v>
      </c>
      <c r="B280">
        <v>43</v>
      </c>
    </row>
    <row r="281" spans="1:2">
      <c r="A281" s="31">
        <v>21830</v>
      </c>
      <c r="B281">
        <v>42</v>
      </c>
    </row>
    <row r="282" spans="1:2">
      <c r="A282" s="31">
        <v>21831</v>
      </c>
      <c r="B282">
        <v>45</v>
      </c>
    </row>
    <row r="283" spans="1:2">
      <c r="A283" s="31">
        <v>21832</v>
      </c>
      <c r="B283">
        <v>50</v>
      </c>
    </row>
    <row r="284" spans="1:2">
      <c r="A284" s="31">
        <v>21833</v>
      </c>
      <c r="B284">
        <v>48</v>
      </c>
    </row>
    <row r="285" spans="1:2">
      <c r="A285" s="31">
        <v>21834</v>
      </c>
      <c r="B285">
        <v>43</v>
      </c>
    </row>
    <row r="286" spans="1:2">
      <c r="A286" s="31">
        <v>21835</v>
      </c>
      <c r="B286">
        <v>40</v>
      </c>
    </row>
    <row r="287" spans="1:2">
      <c r="A287" s="31">
        <v>21836</v>
      </c>
      <c r="B287">
        <v>59</v>
      </c>
    </row>
    <row r="288" spans="1:2">
      <c r="A288" s="31">
        <v>21837</v>
      </c>
      <c r="B288">
        <v>41</v>
      </c>
    </row>
    <row r="289" spans="1:2">
      <c r="A289" s="31">
        <v>21838</v>
      </c>
      <c r="B289">
        <v>42</v>
      </c>
    </row>
    <row r="290" spans="1:2">
      <c r="A290" s="31">
        <v>21839</v>
      </c>
      <c r="B290">
        <v>51</v>
      </c>
    </row>
    <row r="291" spans="1:2">
      <c r="A291" s="31">
        <v>21840</v>
      </c>
      <c r="B291">
        <v>49</v>
      </c>
    </row>
    <row r="292" spans="1:2">
      <c r="A292" s="31">
        <v>21841</v>
      </c>
      <c r="B292">
        <v>45</v>
      </c>
    </row>
    <row r="293" spans="1:2">
      <c r="A293" s="31">
        <v>21842</v>
      </c>
      <c r="B293">
        <v>43</v>
      </c>
    </row>
    <row r="294" spans="1:2">
      <c r="A294" s="31">
        <v>21843</v>
      </c>
      <c r="B294">
        <v>42</v>
      </c>
    </row>
    <row r="295" spans="1:2">
      <c r="A295" s="31">
        <v>21844</v>
      </c>
      <c r="B295">
        <v>38</v>
      </c>
    </row>
    <row r="296" spans="1:2">
      <c r="A296" s="31">
        <v>21845</v>
      </c>
      <c r="B296">
        <v>47</v>
      </c>
    </row>
    <row r="297" spans="1:2">
      <c r="A297" s="31">
        <v>21846</v>
      </c>
      <c r="B297">
        <v>38</v>
      </c>
    </row>
    <row r="298" spans="1:2">
      <c r="A298" s="31">
        <v>21847</v>
      </c>
      <c r="B298">
        <v>36</v>
      </c>
    </row>
    <row r="299" spans="1:2">
      <c r="A299" s="31">
        <v>21848</v>
      </c>
      <c r="B299">
        <v>42</v>
      </c>
    </row>
    <row r="300" spans="1:2">
      <c r="A300" s="31">
        <v>21849</v>
      </c>
      <c r="B300">
        <v>35</v>
      </c>
    </row>
    <row r="301" spans="1:2">
      <c r="A301" s="31">
        <v>21850</v>
      </c>
      <c r="B301">
        <v>28</v>
      </c>
    </row>
    <row r="302" spans="1:2">
      <c r="A302" s="31">
        <v>21851</v>
      </c>
      <c r="B302">
        <v>44</v>
      </c>
    </row>
    <row r="303" spans="1:2">
      <c r="A303" s="31">
        <v>21852</v>
      </c>
      <c r="B303">
        <v>36</v>
      </c>
    </row>
    <row r="304" spans="1:2">
      <c r="A304" s="31">
        <v>21853</v>
      </c>
      <c r="B304">
        <v>45</v>
      </c>
    </row>
    <row r="305" spans="1:2">
      <c r="A305" s="31">
        <v>21854</v>
      </c>
      <c r="B305">
        <v>46</v>
      </c>
    </row>
    <row r="306" spans="1:2">
      <c r="A306" s="31">
        <v>21855</v>
      </c>
      <c r="B306">
        <v>48</v>
      </c>
    </row>
    <row r="307" spans="1:2">
      <c r="A307" s="31">
        <v>21856</v>
      </c>
      <c r="B307">
        <v>49</v>
      </c>
    </row>
    <row r="308" spans="1:2">
      <c r="A308" s="31">
        <v>21857</v>
      </c>
      <c r="B308">
        <v>43</v>
      </c>
    </row>
    <row r="309" spans="1:2">
      <c r="A309" s="31">
        <v>21858</v>
      </c>
      <c r="B309">
        <v>42</v>
      </c>
    </row>
    <row r="310" spans="1:2">
      <c r="A310" s="31">
        <v>21859</v>
      </c>
      <c r="B310">
        <v>59</v>
      </c>
    </row>
    <row r="311" spans="1:2">
      <c r="A311" s="31">
        <v>21860</v>
      </c>
      <c r="B311">
        <v>45</v>
      </c>
    </row>
    <row r="312" spans="1:2">
      <c r="A312" s="31">
        <v>21861</v>
      </c>
      <c r="B312">
        <v>52</v>
      </c>
    </row>
    <row r="313" spans="1:2">
      <c r="A313" s="31">
        <v>21862</v>
      </c>
      <c r="B313">
        <v>46</v>
      </c>
    </row>
    <row r="314" spans="1:2">
      <c r="A314" s="31">
        <v>21863</v>
      </c>
      <c r="B314">
        <v>42</v>
      </c>
    </row>
    <row r="315" spans="1:2">
      <c r="A315" s="31">
        <v>21864</v>
      </c>
      <c r="B315">
        <v>40</v>
      </c>
    </row>
    <row r="316" spans="1:2">
      <c r="A316" s="31">
        <v>21865</v>
      </c>
      <c r="B316">
        <v>40</v>
      </c>
    </row>
    <row r="317" spans="1:2">
      <c r="A317" s="31">
        <v>21866</v>
      </c>
      <c r="B317">
        <v>45</v>
      </c>
    </row>
    <row r="318" spans="1:2">
      <c r="A318" s="31">
        <v>21867</v>
      </c>
      <c r="B318">
        <v>35</v>
      </c>
    </row>
    <row r="319" spans="1:2">
      <c r="A319" s="31">
        <v>21868</v>
      </c>
      <c r="B319">
        <v>35</v>
      </c>
    </row>
    <row r="320" spans="1:2">
      <c r="A320" s="31">
        <v>21869</v>
      </c>
      <c r="B320">
        <v>40</v>
      </c>
    </row>
    <row r="321" spans="1:2">
      <c r="A321" s="31">
        <v>21870</v>
      </c>
      <c r="B321">
        <v>39</v>
      </c>
    </row>
    <row r="322" spans="1:2">
      <c r="A322" s="31">
        <v>21871</v>
      </c>
      <c r="B322">
        <v>33</v>
      </c>
    </row>
    <row r="323" spans="1:2">
      <c r="A323" s="31">
        <v>21872</v>
      </c>
      <c r="B323">
        <v>42</v>
      </c>
    </row>
    <row r="324" spans="1:2">
      <c r="A324" s="31">
        <v>21873</v>
      </c>
      <c r="B324">
        <v>47</v>
      </c>
    </row>
    <row r="325" spans="1:2">
      <c r="A325" s="31">
        <v>21874</v>
      </c>
      <c r="B325">
        <v>51</v>
      </c>
    </row>
    <row r="326" spans="1:2">
      <c r="A326" s="31">
        <v>21875</v>
      </c>
      <c r="B326">
        <v>44</v>
      </c>
    </row>
    <row r="327" spans="1:2">
      <c r="A327" s="31">
        <v>21876</v>
      </c>
      <c r="B327">
        <v>40</v>
      </c>
    </row>
    <row r="328" spans="1:2">
      <c r="A328" s="31">
        <v>21877</v>
      </c>
      <c r="B328">
        <v>57</v>
      </c>
    </row>
    <row r="329" spans="1:2">
      <c r="A329" s="31">
        <v>21878</v>
      </c>
      <c r="B329">
        <v>49</v>
      </c>
    </row>
    <row r="330" spans="1:2">
      <c r="A330" s="31">
        <v>21879</v>
      </c>
      <c r="B330">
        <v>45</v>
      </c>
    </row>
    <row r="331" spans="1:2">
      <c r="A331" s="31">
        <v>21880</v>
      </c>
      <c r="B331">
        <v>49</v>
      </c>
    </row>
    <row r="332" spans="1:2">
      <c r="A332" s="31">
        <v>21881</v>
      </c>
      <c r="B332">
        <v>51</v>
      </c>
    </row>
    <row r="333" spans="1:2">
      <c r="A333" s="31">
        <v>21882</v>
      </c>
      <c r="B333">
        <v>46</v>
      </c>
    </row>
    <row r="334" spans="1:2">
      <c r="A334" s="31">
        <v>21883</v>
      </c>
      <c r="B334">
        <v>44</v>
      </c>
    </row>
    <row r="335" spans="1:2">
      <c r="A335" s="31">
        <v>21884</v>
      </c>
      <c r="B335">
        <v>52</v>
      </c>
    </row>
    <row r="336" spans="1:2">
      <c r="A336" s="31">
        <v>21885</v>
      </c>
      <c r="B336">
        <v>45</v>
      </c>
    </row>
    <row r="337" spans="1:2">
      <c r="A337" s="31">
        <v>21886</v>
      </c>
      <c r="B337">
        <v>32</v>
      </c>
    </row>
    <row r="338" spans="1:2">
      <c r="A338" s="31">
        <v>21887</v>
      </c>
      <c r="B338">
        <v>46</v>
      </c>
    </row>
    <row r="339" spans="1:2">
      <c r="A339" s="31">
        <v>21888</v>
      </c>
      <c r="B339">
        <v>41</v>
      </c>
    </row>
    <row r="340" spans="1:2">
      <c r="A340" s="31">
        <v>21889</v>
      </c>
      <c r="B340">
        <v>34</v>
      </c>
    </row>
    <row r="341" spans="1:2">
      <c r="A341" s="31">
        <v>21890</v>
      </c>
      <c r="B341">
        <v>33</v>
      </c>
    </row>
    <row r="342" spans="1:2">
      <c r="A342" s="31">
        <v>21891</v>
      </c>
      <c r="B342">
        <v>36</v>
      </c>
    </row>
    <row r="343" spans="1:2">
      <c r="A343" s="31">
        <v>21892</v>
      </c>
      <c r="B343">
        <v>49</v>
      </c>
    </row>
    <row r="344" spans="1:2">
      <c r="A344" s="31">
        <v>21893</v>
      </c>
      <c r="B344">
        <v>43</v>
      </c>
    </row>
    <row r="345" spans="1:2">
      <c r="A345" s="31">
        <v>21894</v>
      </c>
      <c r="B345">
        <v>43</v>
      </c>
    </row>
    <row r="346" spans="1:2">
      <c r="A346" s="31">
        <v>21895</v>
      </c>
      <c r="B346">
        <v>34</v>
      </c>
    </row>
    <row r="347" spans="1:2">
      <c r="A347" s="31">
        <v>21896</v>
      </c>
      <c r="B347">
        <v>39</v>
      </c>
    </row>
    <row r="348" spans="1:2">
      <c r="A348" s="31">
        <v>21897</v>
      </c>
      <c r="B348">
        <v>35</v>
      </c>
    </row>
    <row r="349" spans="1:2">
      <c r="A349" s="31">
        <v>21898</v>
      </c>
      <c r="B349">
        <v>52</v>
      </c>
    </row>
    <row r="350" spans="1:2">
      <c r="A350" s="31">
        <v>21899</v>
      </c>
      <c r="B350">
        <v>47</v>
      </c>
    </row>
    <row r="351" spans="1:2">
      <c r="A351" s="31">
        <v>21900</v>
      </c>
      <c r="B351">
        <v>52</v>
      </c>
    </row>
    <row r="352" spans="1:2">
      <c r="A352" s="31">
        <v>21901</v>
      </c>
      <c r="B352">
        <v>39</v>
      </c>
    </row>
    <row r="353" spans="1:5">
      <c r="A353" s="31">
        <v>21902</v>
      </c>
      <c r="B353">
        <v>40</v>
      </c>
    </row>
    <row r="354" spans="1:5">
      <c r="A354" s="31">
        <v>21903</v>
      </c>
      <c r="B354">
        <v>42</v>
      </c>
    </row>
    <row r="355" spans="1:5">
      <c r="A355" s="31">
        <v>21904</v>
      </c>
      <c r="B355">
        <v>42</v>
      </c>
    </row>
    <row r="356" spans="1:5">
      <c r="A356" s="31">
        <v>21905</v>
      </c>
      <c r="B356">
        <v>53</v>
      </c>
    </row>
    <row r="357" spans="1:5">
      <c r="A357" s="31">
        <v>21906</v>
      </c>
      <c r="B357">
        <v>39</v>
      </c>
    </row>
    <row r="358" spans="1:5">
      <c r="A358" s="31">
        <v>21907</v>
      </c>
      <c r="B358">
        <v>40</v>
      </c>
    </row>
    <row r="359" spans="1:5">
      <c r="A359" s="31">
        <v>21908</v>
      </c>
      <c r="B359">
        <v>38</v>
      </c>
    </row>
    <row r="360" spans="1:5">
      <c r="A360" s="31">
        <v>21909</v>
      </c>
      <c r="B360">
        <v>44</v>
      </c>
    </row>
    <row r="361" spans="1:5">
      <c r="A361" s="31">
        <v>21910</v>
      </c>
      <c r="B361">
        <v>34</v>
      </c>
    </row>
    <row r="362" spans="1:5">
      <c r="A362" s="31">
        <v>21911</v>
      </c>
      <c r="B362">
        <v>37</v>
      </c>
    </row>
    <row r="363" spans="1:5">
      <c r="A363" s="31">
        <v>21912</v>
      </c>
      <c r="B363">
        <v>52</v>
      </c>
    </row>
    <row r="364" spans="1:5">
      <c r="A364" s="31">
        <v>21913</v>
      </c>
      <c r="B364">
        <v>48</v>
      </c>
    </row>
    <row r="365" spans="1:5">
      <c r="A365" s="31">
        <v>21914</v>
      </c>
      <c r="B365">
        <v>55</v>
      </c>
    </row>
    <row r="366" spans="1:5">
      <c r="A366" s="31">
        <v>21915</v>
      </c>
      <c r="B366">
        <v>50</v>
      </c>
      <c r="C366">
        <v>50</v>
      </c>
      <c r="D366" s="32">
        <v>50</v>
      </c>
      <c r="E366" s="32">
        <v>50</v>
      </c>
    </row>
    <row r="367" spans="1:5">
      <c r="A367" s="31">
        <v>21916</v>
      </c>
      <c r="C367">
        <f>_xlfn.FORECAST.ETS(A367,$B$2:$B$366,$A$2:$A$366,1,1)</f>
        <v>47.07848099046906</v>
      </c>
      <c r="D367" s="32">
        <f>C367-_xlfn.FORECAST.ETS.CONFINT(A367,$B$2:$B$366,$A$2:$A$366,0.95,1,1)</f>
        <v>32.414654408906244</v>
      </c>
      <c r="E367" s="32">
        <f>C367+_xlfn.FORECAST.ETS.CONFINT(A367,$B$2:$B$366,$A$2:$A$366,0.95,1,1)</f>
        <v>61.742307572031876</v>
      </c>
    </row>
    <row r="368" spans="1:5">
      <c r="A368" s="31">
        <v>21917</v>
      </c>
      <c r="C368">
        <f>_xlfn.FORECAST.ETS(A368,$B$2:$B$366,$A$2:$A$366,1,1)</f>
        <v>44.540814102244376</v>
      </c>
      <c r="D368" s="32">
        <f>C368-_xlfn.FORECAST.ETS.CONFINT(A368,$B$2:$B$366,$A$2:$A$366,0.95,1,1)</f>
        <v>29.41854786793655</v>
      </c>
      <c r="E368" s="32">
        <f>C368+_xlfn.FORECAST.ETS.CONFINT(A368,$B$2:$B$366,$A$2:$A$366,0.95,1,1)</f>
        <v>59.663080336552198</v>
      </c>
    </row>
    <row r="369" spans="1:5">
      <c r="A369" s="31">
        <v>21918</v>
      </c>
      <c r="C369">
        <f>_xlfn.FORECAST.ETS(A369,$B$2:$B$366,$A$2:$A$366,1,1)</f>
        <v>44.781489063466779</v>
      </c>
      <c r="D369" s="32">
        <f>C369-_xlfn.FORECAST.ETS.CONFINT(A369,$B$2:$B$366,$A$2:$A$366,0.95,1,1)</f>
        <v>29.210790583550015</v>
      </c>
      <c r="E369" s="32">
        <f>C369+_xlfn.FORECAST.ETS.CONFINT(A369,$B$2:$B$366,$A$2:$A$366,0.95,1,1)</f>
        <v>60.352187543383543</v>
      </c>
    </row>
    <row r="370" spans="1:5">
      <c r="A370" s="31">
        <v>21919</v>
      </c>
      <c r="C370">
        <f>_xlfn.FORECAST.ETS(A370,$B$2:$B$366,$A$2:$A$366,1,1)</f>
        <v>54.908684154817522</v>
      </c>
      <c r="D370" s="32">
        <f>C370-_xlfn.FORECAST.ETS.CONFINT(A370,$B$2:$B$366,$A$2:$A$366,0.95,1,1)</f>
        <v>38.898706473903815</v>
      </c>
      <c r="E370" s="32">
        <f>C370+_xlfn.FORECAST.ETS.CONFINT(A370,$B$2:$B$366,$A$2:$A$366,0.95,1,1)</f>
        <v>70.918661835731228</v>
      </c>
    </row>
    <row r="371" spans="1:5">
      <c r="A371" s="31">
        <v>21920</v>
      </c>
      <c r="C371">
        <f>_xlfn.FORECAST.ETS(A371,$B$2:$B$366,$A$2:$A$366,1,1)</f>
        <v>49.366808680756009</v>
      </c>
      <c r="D371" s="32">
        <f>C371-_xlfn.FORECAST.ETS.CONFINT(A371,$B$2:$B$366,$A$2:$A$366,0.95,1,1)</f>
        <v>32.925958073517805</v>
      </c>
      <c r="E371" s="32">
        <f>C371+_xlfn.FORECAST.ETS.CONFINT(A371,$B$2:$B$366,$A$2:$A$366,0.95,1,1)</f>
        <v>65.807659287994213</v>
      </c>
    </row>
    <row r="372" spans="1:5">
      <c r="A372" s="31">
        <v>21921</v>
      </c>
      <c r="C372">
        <f>_xlfn.FORECAST.ETS(A372,$B$2:$B$366,$A$2:$A$366,1,1)</f>
        <v>50.330835805359378</v>
      </c>
      <c r="D372" s="32">
        <f>C372-_xlfn.FORECAST.ETS.CONFINT(A372,$B$2:$B$366,$A$2:$A$366,0.95,1,1)</f>
        <v>33.46686144441432</v>
      </c>
      <c r="E372" s="32">
        <f>C372+_xlfn.FORECAST.ETS.CONFINT(A372,$B$2:$B$366,$A$2:$A$366,0.95,1,1)</f>
        <v>67.194810166304435</v>
      </c>
    </row>
    <row r="373" spans="1:5">
      <c r="A373" s="31">
        <v>21922</v>
      </c>
      <c r="C373">
        <f>_xlfn.FORECAST.ETS(A373,$B$2:$B$366,$A$2:$A$366,1,1)</f>
        <v>48.075340586273391</v>
      </c>
      <c r="D373" s="32">
        <f>C373-_xlfn.FORECAST.ETS.CONFINT(A373,$B$2:$B$366,$A$2:$A$366,0.95,1,1)</f>
        <v>30.795409942019152</v>
      </c>
      <c r="E373" s="32">
        <f>C373+_xlfn.FORECAST.ETS.CONFINT(A373,$B$2:$B$366,$A$2:$A$366,0.95,1,1)</f>
        <v>65.355271230527634</v>
      </c>
    </row>
    <row r="374" spans="1:5">
      <c r="A374" s="31">
        <v>21923</v>
      </c>
      <c r="C374">
        <f>_xlfn.FORECAST.ETS(A374,$B$2:$B$366,$A$2:$A$366,1,1)</f>
        <v>47.349610477405825</v>
      </c>
      <c r="D374" s="32">
        <f>C374-_xlfn.FORECAST.ETS.CONFINT(A374,$B$2:$B$366,$A$2:$A$366,0.95,1,1)</f>
        <v>28.53241249700163</v>
      </c>
      <c r="E374" s="32">
        <f>C374+_xlfn.FORECAST.ETS.CONFINT(A374,$B$2:$B$366,$A$2:$A$366,0.95,1,1)</f>
        <v>66.166808457810021</v>
      </c>
    </row>
    <row r="375" spans="1:5">
      <c r="A375" s="31">
        <v>21924</v>
      </c>
      <c r="C375">
        <f>_xlfn.FORECAST.ETS(A375,$B$2:$B$366,$A$2:$A$366,1,1)</f>
        <v>44.811943589181141</v>
      </c>
      <c r="D375" s="32">
        <f>C375-_xlfn.FORECAST.ETS.CONFINT(A375,$B$2:$B$366,$A$2:$A$366,0.95,1,1)</f>
        <v>25.615297518648745</v>
      </c>
      <c r="E375" s="32">
        <f>C375+_xlfn.FORECAST.ETS.CONFINT(A375,$B$2:$B$366,$A$2:$A$366,0.95,1,1)</f>
        <v>64.008589659713536</v>
      </c>
    </row>
    <row r="376" spans="1:5">
      <c r="A376" s="31">
        <v>21925</v>
      </c>
      <c r="C376">
        <f>_xlfn.FORECAST.ETS(A376,$B$2:$B$366,$A$2:$A$366,1,1)</f>
        <v>45.052618550403551</v>
      </c>
      <c r="D376" s="32">
        <f>C376-_xlfn.FORECAST.ETS.CONFINT(A376,$B$2:$B$366,$A$2:$A$366,0.95,1,1)</f>
        <v>25.481029439801333</v>
      </c>
      <c r="E376" s="32">
        <f>C376+_xlfn.FORECAST.ETS.CONFINT(A376,$B$2:$B$366,$A$2:$A$366,0.95,1,1)</f>
        <v>64.624207661005769</v>
      </c>
    </row>
    <row r="377" spans="1:5">
      <c r="A377" s="31">
        <v>21926</v>
      </c>
      <c r="C377">
        <f>_xlfn.FORECAST.ETS(A377,$B$2:$B$366,$A$2:$A$366,1,1)</f>
        <v>55.179813641754293</v>
      </c>
      <c r="D377" s="32">
        <f>C377-_xlfn.FORECAST.ETS.CONFINT(A377,$B$2:$B$366,$A$2:$A$366,0.95,1,1)</f>
        <v>35.237521653113248</v>
      </c>
      <c r="E377" s="32">
        <f>C377+_xlfn.FORECAST.ETS.CONFINT(A377,$B$2:$B$366,$A$2:$A$366,0.95,1,1)</f>
        <v>75.122105630395339</v>
      </c>
    </row>
    <row r="378" spans="1:5">
      <c r="A378" s="31">
        <v>21927</v>
      </c>
      <c r="C378">
        <f>_xlfn.FORECAST.ETS(A378,$B$2:$B$366,$A$2:$A$366,1,1)</f>
        <v>49.637938167692774</v>
      </c>
      <c r="D378" s="32">
        <f>C378-_xlfn.FORECAST.ETS.CONFINT(A378,$B$2:$B$366,$A$2:$A$366,0.95,1,1)</f>
        <v>29.328940685029377</v>
      </c>
      <c r="E378" s="32">
        <f>C378+_xlfn.FORECAST.ETS.CONFINT(A378,$B$2:$B$366,$A$2:$A$366,0.95,1,1)</f>
        <v>69.946935650356167</v>
      </c>
    </row>
    <row r="379" spans="1:5">
      <c r="A379" s="31">
        <v>21928</v>
      </c>
      <c r="C379">
        <f>_xlfn.FORECAST.ETS(A379,$B$2:$B$366,$A$2:$A$366,1,1)</f>
        <v>50.601965292296143</v>
      </c>
      <c r="D379" s="32">
        <f>C379-_xlfn.FORECAST.ETS.CONFINT(A379,$B$2:$B$366,$A$2:$A$366,0.95,1,1)</f>
        <v>29.93003656414654</v>
      </c>
      <c r="E379" s="32">
        <f>C379+_xlfn.FORECAST.ETS.CONFINT(A379,$B$2:$B$366,$A$2:$A$366,0.95,1,1)</f>
        <v>71.273894020445738</v>
      </c>
    </row>
    <row r="380" spans="1:5">
      <c r="A380" s="31">
        <v>21929</v>
      </c>
      <c r="C380">
        <f>_xlfn.FORECAST.ETS(A380,$B$2:$B$366,$A$2:$A$366,1,1)</f>
        <v>48.346470073210163</v>
      </c>
      <c r="D380" s="32">
        <f>C380-_xlfn.FORECAST.ETS.CONFINT(A380,$B$2:$B$366,$A$2:$A$366,0.95,1,1)</f>
        <v>27.315178729394805</v>
      </c>
      <c r="E380" s="32">
        <f>C380+_xlfn.FORECAST.ETS.CONFINT(A380,$B$2:$B$366,$A$2:$A$366,0.95,1,1)</f>
        <v>69.377761417025525</v>
      </c>
    </row>
    <row r="381" spans="1:5">
      <c r="A381" s="31">
        <v>21930</v>
      </c>
      <c r="C381">
        <f>_xlfn.FORECAST.ETS(A381,$B$2:$B$366,$A$2:$A$366,1,1)</f>
        <v>47.620739964342597</v>
      </c>
      <c r="D381" s="32">
        <f>C381-_xlfn.FORECAST.ETS.CONFINT(A381,$B$2:$B$366,$A$2:$A$366,0.95,1,1)</f>
        <v>25.274689608643374</v>
      </c>
      <c r="E381" s="32">
        <f>C381+_xlfn.FORECAST.ETS.CONFINT(A381,$B$2:$B$366,$A$2:$A$366,0.95,1,1)</f>
        <v>69.966790320041824</v>
      </c>
    </row>
    <row r="382" spans="1:5">
      <c r="A382" s="31">
        <v>21931</v>
      </c>
      <c r="C382">
        <f>_xlfn.FORECAST.ETS(A382,$B$2:$B$366,$A$2:$A$366,1,1)</f>
        <v>45.083073076117905</v>
      </c>
      <c r="D382" s="32">
        <f>C382-_xlfn.FORECAST.ETS.CONFINT(A382,$B$2:$B$366,$A$2:$A$366,0.95,1,1)</f>
        <v>22.399147617220663</v>
      </c>
      <c r="E382" s="32">
        <f>C382+_xlfn.FORECAST.ETS.CONFINT(A382,$B$2:$B$366,$A$2:$A$366,0.95,1,1)</f>
        <v>67.766998535015148</v>
      </c>
    </row>
    <row r="383" spans="1:5">
      <c r="A383" s="31">
        <v>21932</v>
      </c>
      <c r="C383">
        <f>_xlfn.FORECAST.ETS(A383,$B$2:$B$366,$A$2:$A$366,1,1)</f>
        <v>45.323748037340316</v>
      </c>
      <c r="D383" s="32">
        <f>C383-_xlfn.FORECAST.ETS.CONFINT(A383,$B$2:$B$366,$A$2:$A$366,0.95,1,1)</f>
        <v>22.304417209253565</v>
      </c>
      <c r="E383" s="32">
        <f>C383+_xlfn.FORECAST.ETS.CONFINT(A383,$B$2:$B$366,$A$2:$A$366,0.95,1,1)</f>
        <v>68.34307886542706</v>
      </c>
    </row>
    <row r="384" spans="1:5">
      <c r="A384" s="31">
        <v>21933</v>
      </c>
      <c r="C384">
        <f>_xlfn.FORECAST.ETS(A384,$B$2:$B$366,$A$2:$A$366,1,1)</f>
        <v>55.450943128691058</v>
      </c>
      <c r="D384" s="32">
        <f>C384-_xlfn.FORECAST.ETS.CONFINT(A384,$B$2:$B$366,$A$2:$A$366,0.95,1,1)</f>
        <v>32.098561040360948</v>
      </c>
      <c r="E384" s="32">
        <f>C384+_xlfn.FORECAST.ETS.CONFINT(A384,$B$2:$B$366,$A$2:$A$366,0.95,1,1)</f>
        <v>78.803325217021168</v>
      </c>
    </row>
    <row r="385" spans="1:5">
      <c r="A385" s="31">
        <v>21934</v>
      </c>
      <c r="C385">
        <f>_xlfn.FORECAST.ETS(A385,$B$2:$B$366,$A$2:$A$366,1,1)</f>
        <v>49.909067654629546</v>
      </c>
      <c r="D385" s="32">
        <f>C385-_xlfn.FORECAST.ETS.CONFINT(A385,$B$2:$B$366,$A$2:$A$366,0.95,1,1)</f>
        <v>26.225880019520226</v>
      </c>
      <c r="E385" s="32">
        <f>C385+_xlfn.FORECAST.ETS.CONFINT(A385,$B$2:$B$366,$A$2:$A$366,0.95,1,1)</f>
        <v>73.592255289738858</v>
      </c>
    </row>
    <row r="386" spans="1:5">
      <c r="A386" s="31">
        <v>21935</v>
      </c>
      <c r="C386">
        <f>_xlfn.FORECAST.ETS(A386,$B$2:$B$366,$A$2:$A$366,1,1)</f>
        <v>50.873094779232915</v>
      </c>
      <c r="D386" s="32">
        <f>C386-_xlfn.FORECAST.ETS.CONFINT(A386,$B$2:$B$366,$A$2:$A$366,0.95,1,1)</f>
        <v>26.861245539538224</v>
      </c>
      <c r="E386" s="32">
        <f>C386+_xlfn.FORECAST.ETS.CONFINT(A386,$B$2:$B$366,$A$2:$A$366,0.95,1,1)</f>
        <v>74.884944018927598</v>
      </c>
    </row>
    <row r="387" spans="1:5">
      <c r="A387" s="31">
        <v>21936</v>
      </c>
      <c r="C387">
        <f>_xlfn.FORECAST.ETS(A387,$B$2:$B$366,$A$2:$A$366,1,1)</f>
        <v>48.617599560146928</v>
      </c>
      <c r="D387" s="32">
        <f>C387-_xlfn.FORECAST.ETS.CONFINT(A387,$B$2:$B$366,$A$2:$A$366,0.95,1,1)</f>
        <v>24.27913696890926</v>
      </c>
      <c r="E387" s="32">
        <f>C387+_xlfn.FORECAST.ETS.CONFINT(A387,$B$2:$B$366,$A$2:$A$366,0.95,1,1)</f>
        <v>72.9560621513846</v>
      </c>
    </row>
    <row r="388" spans="1:5">
      <c r="A388" s="31">
        <v>21937</v>
      </c>
      <c r="C388">
        <f>_xlfn.FORECAST.ETS(A388,$B$2:$B$366,$A$2:$A$366,1,1)</f>
        <v>47.891869451279362</v>
      </c>
      <c r="D388" s="32">
        <f>C388-_xlfn.FORECAST.ETS.CONFINT(A388,$B$2:$B$366,$A$2:$A$366,0.95,1,1)</f>
        <v>22.378100637382609</v>
      </c>
      <c r="E388" s="32">
        <f>C388+_xlfn.FORECAST.ETS.CONFINT(A388,$B$2:$B$366,$A$2:$A$366,0.95,1,1)</f>
        <v>73.405638265176123</v>
      </c>
    </row>
    <row r="389" spans="1:5">
      <c r="A389" s="31">
        <v>21938</v>
      </c>
      <c r="C389">
        <f>_xlfn.FORECAST.ETS(A389,$B$2:$B$366,$A$2:$A$366,1,1)</f>
        <v>45.354202563054677</v>
      </c>
      <c r="D389" s="32">
        <f>C389-_xlfn.FORECAST.ETS.CONFINT(A389,$B$2:$B$366,$A$2:$A$366,0.95,1,1)</f>
        <v>19.528281345380467</v>
      </c>
      <c r="E389" s="32">
        <f>C389+_xlfn.FORECAST.ETS.CONFINT(A389,$B$2:$B$366,$A$2:$A$366,0.95,1,1)</f>
        <v>71.180123780728891</v>
      </c>
    </row>
    <row r="390" spans="1:5">
      <c r="A390" s="31">
        <v>21939</v>
      </c>
      <c r="C390">
        <f>_xlfn.FORECAST.ETS(A390,$B$2:$B$366,$A$2:$A$366,1,1)</f>
        <v>45.594877524277088</v>
      </c>
      <c r="D390" s="32">
        <f>C390-_xlfn.FORECAST.ETS.CONFINT(A390,$B$2:$B$366,$A$2:$A$366,0.95,1,1)</f>
        <v>19.458281827703725</v>
      </c>
      <c r="E390" s="32">
        <f>C390+_xlfn.FORECAST.ETS.CONFINT(A390,$B$2:$B$366,$A$2:$A$366,0.95,1,1)</f>
        <v>71.731473220850447</v>
      </c>
    </row>
    <row r="391" spans="1:5">
      <c r="A391" s="31">
        <v>21940</v>
      </c>
      <c r="C391">
        <f>_xlfn.FORECAST.ETS(A391,$B$2:$B$366,$A$2:$A$366,1,1)</f>
        <v>55.722072615627823</v>
      </c>
      <c r="D391" s="32">
        <f>C391-_xlfn.FORECAST.ETS.CONFINT(A391,$B$2:$B$366,$A$2:$A$366,0.95,1,1)</f>
        <v>29.276220148020414</v>
      </c>
      <c r="E391" s="32">
        <f>C391+_xlfn.FORECAST.ETS.CONFINT(A391,$B$2:$B$366,$A$2:$A$366,0.95,1,1)</f>
        <v>82.167925083235232</v>
      </c>
    </row>
    <row r="392" spans="1:5">
      <c r="A392" s="31">
        <v>21941</v>
      </c>
      <c r="C392">
        <f>_xlfn.FORECAST.ETS(A392,$B$2:$B$366,$A$2:$A$366,1,1)</f>
        <v>50.18019714156631</v>
      </c>
      <c r="D392" s="32">
        <f>C392-_xlfn.FORECAST.ETS.CONFINT(A392,$B$2:$B$366,$A$2:$A$366,0.95,1,1)</f>
        <v>23.426448409956848</v>
      </c>
      <c r="E392" s="32">
        <f>C392+_xlfn.FORECAST.ETS.CONFINT(A392,$B$2:$B$366,$A$2:$A$366,0.95,1,1)</f>
        <v>76.933945873175773</v>
      </c>
    </row>
    <row r="393" spans="1:5">
      <c r="A393" s="31">
        <v>21942</v>
      </c>
      <c r="C393">
        <f>_xlfn.FORECAST.ETS(A393,$B$2:$B$366,$A$2:$A$366,1,1)</f>
        <v>51.14422426616968</v>
      </c>
      <c r="D393" s="32">
        <f>C393-_xlfn.FORECAST.ETS.CONFINT(A393,$B$2:$B$366,$A$2:$A$366,0.95,1,1)</f>
        <v>24.08388539119122</v>
      </c>
      <c r="E393" s="32">
        <f>C393+_xlfn.FORECAST.ETS.CONFINT(A393,$B$2:$B$366,$A$2:$A$366,0.95,1,1)</f>
        <v>78.204563141148142</v>
      </c>
    </row>
    <row r="394" spans="1:5">
      <c r="A394" s="31">
        <v>21943</v>
      </c>
      <c r="C394">
        <f>_xlfn.FORECAST.ETS(A394,$B$2:$B$366,$A$2:$A$366,1,1)</f>
        <v>48.8887290470837</v>
      </c>
      <c r="D394" s="32">
        <f>C394-_xlfn.FORECAST.ETS.CONFINT(A394,$B$2:$B$366,$A$2:$A$366,0.95,1,1)</f>
        <v>21.52305439254971</v>
      </c>
      <c r="E394" s="32">
        <f>C394+_xlfn.FORECAST.ETS.CONFINT(A394,$B$2:$B$366,$A$2:$A$366,0.95,1,1)</f>
        <v>76.25440370161769</v>
      </c>
    </row>
    <row r="395" spans="1:5">
      <c r="A395" s="31">
        <v>21944</v>
      </c>
      <c r="C395">
        <f>_xlfn.FORECAST.ETS(A395,$B$2:$B$366,$A$2:$A$366,1,1)</f>
        <v>48.162998938216134</v>
      </c>
      <c r="D395" s="32">
        <f>C395-_xlfn.FORECAST.ETS.CONFINT(A395,$B$2:$B$366,$A$2:$A$366,0.95,1,1)</f>
        <v>19.719128830933382</v>
      </c>
      <c r="E395" s="32">
        <f>C395+_xlfn.FORECAST.ETS.CONFINT(A395,$B$2:$B$366,$A$2:$A$366,0.95,1,1)</f>
        <v>76.606869045498883</v>
      </c>
    </row>
    <row r="396" spans="1:5">
      <c r="A396" s="31">
        <v>21945</v>
      </c>
      <c r="C396">
        <f>_xlfn.FORECAST.ETS(A396,$B$2:$B$366,$A$2:$A$366,1,1)</f>
        <v>45.625332049991442</v>
      </c>
      <c r="D396" s="32">
        <f>C396-_xlfn.FORECAST.ETS.CONFINT(A396,$B$2:$B$366,$A$2:$A$366,0.95,1,1)</f>
        <v>16.886648590495909</v>
      </c>
      <c r="E396" s="32">
        <f>C396+_xlfn.FORECAST.ETS.CONFINT(A396,$B$2:$B$366,$A$2:$A$366,0.95,1,1)</f>
        <v>74.364015509486975</v>
      </c>
    </row>
    <row r="397" spans="1:5">
      <c r="A397" s="31">
        <v>21946</v>
      </c>
      <c r="C397">
        <f>_xlfn.FORECAST.ETS(A397,$B$2:$B$366,$A$2:$A$366,1,1)</f>
        <v>45.866007011213853</v>
      </c>
      <c r="D397" s="32">
        <f>C397-_xlfn.FORECAST.ETS.CONFINT(A397,$B$2:$B$366,$A$2:$A$366,0.95,1,1)</f>
        <v>16.833426383725545</v>
      </c>
      <c r="E397" s="32">
        <f>C397+_xlfn.FORECAST.ETS.CONFINT(A397,$B$2:$B$366,$A$2:$A$366,0.95,1,1)</f>
        <v>74.898587638702168</v>
      </c>
    </row>
    <row r="398" spans="1:5">
      <c r="A398" s="31">
        <v>21947</v>
      </c>
      <c r="C398">
        <f>_xlfn.FORECAST.ETS(A398,$B$2:$B$366,$A$2:$A$366,1,1)</f>
        <v>55.993202102564595</v>
      </c>
      <c r="D398" s="32">
        <f>C398-_xlfn.FORECAST.ETS.CONFINT(A398,$B$2:$B$366,$A$2:$A$366,0.95,1,1)</f>
        <v>26.667605613231686</v>
      </c>
      <c r="E398" s="32">
        <f>C398+_xlfn.FORECAST.ETS.CONFINT(A398,$B$2:$B$366,$A$2:$A$366,0.95,1,1)</f>
        <v>85.318798591897504</v>
      </c>
    </row>
    <row r="399" spans="1:5">
      <c r="A399" s="31">
        <v>21948</v>
      </c>
      <c r="C399">
        <f>_xlfn.FORECAST.ETS(A399,$B$2:$B$366,$A$2:$A$366,1,1)</f>
        <v>50.451326628503082</v>
      </c>
      <c r="D399" s="32">
        <f>C399-_xlfn.FORECAST.ETS.CONFINT(A399,$B$2:$B$366,$A$2:$A$366,0.95,1,1)</f>
        <v>20.833562166420574</v>
      </c>
      <c r="E399" s="32">
        <f>C399+_xlfn.FORECAST.ETS.CONFINT(A399,$B$2:$B$366,$A$2:$A$366,0.95,1,1)</f>
        <v>80.069091090585587</v>
      </c>
    </row>
    <row r="400" spans="1:5">
      <c r="A400" s="31">
        <v>21949</v>
      </c>
      <c r="C400">
        <f>_xlfn.FORECAST.ETS(A400,$B$2:$B$366,$A$2:$A$366,1,1)</f>
        <v>51.415353753106444</v>
      </c>
      <c r="D400" s="32">
        <f>C400-_xlfn.FORECAST.ETS.CONFINT(A400,$B$2:$B$366,$A$2:$A$366,0.95,1,1)</f>
        <v>21.506237170099535</v>
      </c>
      <c r="E400" s="32">
        <f>C400+_xlfn.FORECAST.ETS.CONFINT(A400,$B$2:$B$366,$A$2:$A$366,0.95,1,1)</f>
        <v>81.32447033611335</v>
      </c>
    </row>
    <row r="401" spans="1:5">
      <c r="A401" s="31">
        <v>21950</v>
      </c>
      <c r="C401">
        <f>_xlfn.FORECAST.ETS(A401,$B$2:$B$366,$A$2:$A$366,1,1)</f>
        <v>49.159858534020465</v>
      </c>
      <c r="D401" s="32">
        <f>C401-_xlfn.FORECAST.ETS.CONFINT(A401,$B$2:$B$366,$A$2:$A$366,0.95,1,1)</f>
        <v>18.960174948851929</v>
      </c>
      <c r="E401" s="32">
        <f>C401+_xlfn.FORECAST.ETS.CONFINT(A401,$B$2:$B$366,$A$2:$A$366,0.95,1,1)</f>
        <v>79.359542119189001</v>
      </c>
    </row>
    <row r="402" spans="1:5">
      <c r="A402" s="31">
        <v>21951</v>
      </c>
      <c r="C402">
        <f>_xlfn.FORECAST.ETS(A402,$B$2:$B$366,$A$2:$A$366,1,1)</f>
        <v>48.434128425152899</v>
      </c>
      <c r="D402" s="32">
        <f>C402-_xlfn.FORECAST.ETS.CONFINT(A402,$B$2:$B$366,$A$2:$A$366,0.95,1,1)</f>
        <v>17.228399490386408</v>
      </c>
      <c r="E402" s="32">
        <f>C402+_xlfn.FORECAST.ETS.CONFINT(A402,$B$2:$B$366,$A$2:$A$366,0.95,1,1)</f>
        <v>79.63985735991939</v>
      </c>
    </row>
    <row r="403" spans="1:5">
      <c r="A403" s="31">
        <v>21952</v>
      </c>
      <c r="C403">
        <f>_xlfn.FORECAST.ETS(A403,$B$2:$B$366,$A$2:$A$366,1,1)</f>
        <v>45.896461536928214</v>
      </c>
      <c r="D403" s="32">
        <f>C403-_xlfn.FORECAST.ETS.CONFINT(A403,$B$2:$B$366,$A$2:$A$366,0.95,1,1)</f>
        <v>14.408223351326622</v>
      </c>
      <c r="E403" s="32">
        <f>C403+_xlfn.FORECAST.ETS.CONFINT(A403,$B$2:$B$366,$A$2:$A$366,0.95,1,1)</f>
        <v>77.384699722529803</v>
      </c>
    </row>
    <row r="404" spans="1:5">
      <c r="A404" s="31">
        <v>21953</v>
      </c>
      <c r="C404">
        <f>_xlfn.FORECAST.ETS(A404,$B$2:$B$366,$A$2:$A$366,1,1)</f>
        <v>46.137136498150625</v>
      </c>
      <c r="D404" s="32">
        <f>C404-_xlfn.FORECAST.ETS.CONFINT(A404,$B$2:$B$366,$A$2:$A$366,0.95,1,1)</f>
        <v>14.366955341805426</v>
      </c>
      <c r="E404" s="32">
        <f>C404+_xlfn.FORECAST.ETS.CONFINT(A404,$B$2:$B$366,$A$2:$A$366,0.95,1,1)</f>
        <v>77.907317654495827</v>
      </c>
    </row>
    <row r="405" spans="1:5">
      <c r="A405" s="31">
        <v>21954</v>
      </c>
      <c r="C405">
        <f>_xlfn.FORECAST.ETS(A405,$B$2:$B$366,$A$2:$A$366,1,1)</f>
        <v>56.26433158950136</v>
      </c>
      <c r="D405" s="32">
        <f>C405-_xlfn.FORECAST.ETS.CONFINT(A405,$B$2:$B$366,$A$2:$A$366,0.95,1,1)</f>
        <v>24.212752089776494</v>
      </c>
      <c r="E405" s="32">
        <f>C405+_xlfn.FORECAST.ETS.CONFINT(A405,$B$2:$B$366,$A$2:$A$366,0.95,1,1)</f>
        <v>88.315911089226233</v>
      </c>
    </row>
    <row r="406" spans="1:5">
      <c r="A406" s="31">
        <v>21955</v>
      </c>
      <c r="C406">
        <f>_xlfn.FORECAST.ETS(A406,$B$2:$B$366,$A$2:$A$366,1,1)</f>
        <v>50.722456115439847</v>
      </c>
      <c r="D406" s="32">
        <f>C406-_xlfn.FORECAST.ETS.CONFINT(A406,$B$2:$B$366,$A$2:$A$366,0.95,1,1)</f>
        <v>18.390002029036616</v>
      </c>
      <c r="E406" s="32">
        <f>C406+_xlfn.FORECAST.ETS.CONFINT(A406,$B$2:$B$366,$A$2:$A$366,0.95,1,1)</f>
        <v>83.054910201843086</v>
      </c>
    </row>
    <row r="407" spans="1:5">
      <c r="A407" s="31">
        <v>21956</v>
      </c>
      <c r="C407">
        <f>_xlfn.FORECAST.ETS(A407,$B$2:$B$366,$A$2:$A$366,1,1)</f>
        <v>51.686483240043216</v>
      </c>
      <c r="D407" s="32">
        <f>C407-_xlfn.FORECAST.ETS.CONFINT(A407,$B$2:$B$366,$A$2:$A$366,0.95,1,1)</f>
        <v>19.073658197904024</v>
      </c>
      <c r="E407" s="32">
        <f>C407+_xlfn.FORECAST.ETS.CONFINT(A407,$B$2:$B$366,$A$2:$A$366,0.95,1,1)</f>
        <v>84.299308282182409</v>
      </c>
    </row>
    <row r="408" spans="1:5">
      <c r="A408" s="31">
        <v>21957</v>
      </c>
      <c r="C408">
        <f>_xlfn.FORECAST.ETS(A408,$B$2:$B$366,$A$2:$A$366,1,1)</f>
        <v>49.430988020957237</v>
      </c>
      <c r="D408" s="32">
        <f>C408-_xlfn.FORECAST.ETS.CONFINT(A408,$B$2:$B$366,$A$2:$A$366,0.95,1,1)</f>
        <v>16.5382762382199</v>
      </c>
      <c r="E408" s="32">
        <f>C408+_xlfn.FORECAST.ETS.CONFINT(A408,$B$2:$B$366,$A$2:$A$366,0.95,1,1)</f>
        <v>82.323699803694581</v>
      </c>
    </row>
    <row r="409" spans="1:5">
      <c r="A409" s="31">
        <v>21958</v>
      </c>
      <c r="C409">
        <f>_xlfn.FORECAST.ETS(A409,$B$2:$B$366,$A$2:$A$366,1,1)</f>
        <v>48.705257912089664</v>
      </c>
      <c r="D409" s="32">
        <f>C409-_xlfn.FORECAST.ETS.CONFINT(A409,$B$2:$B$366,$A$2:$A$366,0.95,1,1)</f>
        <v>14.862515363988024</v>
      </c>
      <c r="E409" s="32">
        <f>C409+_xlfn.FORECAST.ETS.CONFINT(A409,$B$2:$B$366,$A$2:$A$366,0.95,1,1)</f>
        <v>82.548000460191304</v>
      </c>
    </row>
    <row r="410" spans="1:5">
      <c r="A410" s="31">
        <v>21959</v>
      </c>
      <c r="C410">
        <f>_xlfn.FORECAST.ETS(A410,$B$2:$B$366,$A$2:$A$366,1,1)</f>
        <v>46.167591023864979</v>
      </c>
      <c r="D410" s="32">
        <f>C410-_xlfn.FORECAST.ETS.CONFINT(A410,$B$2:$B$366,$A$2:$A$366,0.95,1,1)</f>
        <v>12.051357835491565</v>
      </c>
      <c r="E410" s="32">
        <f>C410+_xlfn.FORECAST.ETS.CONFINT(A410,$B$2:$B$366,$A$2:$A$366,0.95,1,1)</f>
        <v>80.283824212238386</v>
      </c>
    </row>
    <row r="411" spans="1:5">
      <c r="A411" s="31">
        <v>21960</v>
      </c>
      <c r="C411">
        <f>_xlfn.FORECAST.ETS(A411,$B$2:$B$366,$A$2:$A$366,1,1)</f>
        <v>46.40826598508739</v>
      </c>
      <c r="D411" s="32">
        <f>C411-_xlfn.FORECAST.ETS.CONFINT(A411,$B$2:$B$366,$A$2:$A$366,0.95,1,1)</f>
        <v>12.018875729807299</v>
      </c>
      <c r="E411" s="32">
        <f>C411+_xlfn.FORECAST.ETS.CONFINT(A411,$B$2:$B$366,$A$2:$A$366,0.95,1,1)</f>
        <v>80.797656240367473</v>
      </c>
    </row>
    <row r="412" spans="1:5">
      <c r="A412" s="31">
        <v>21961</v>
      </c>
      <c r="C412">
        <f>_xlfn.FORECAST.ETS(A412,$B$2:$B$366,$A$2:$A$366,1,1)</f>
        <v>56.535461076438132</v>
      </c>
      <c r="D412" s="32">
        <f>C412-_xlfn.FORECAST.ETS.CONFINT(A412,$B$2:$B$366,$A$2:$A$366,0.95,1,1)</f>
        <v>21.873233237879447</v>
      </c>
      <c r="E412" s="32">
        <f>C412+_xlfn.FORECAST.ETS.CONFINT(A412,$B$2:$B$366,$A$2:$A$366,0.95,1,1)</f>
        <v>91.197688914996817</v>
      </c>
    </row>
    <row r="413" spans="1:5">
      <c r="A413" s="31">
        <v>21962</v>
      </c>
      <c r="C413">
        <f>_xlfn.FORECAST.ETS(A413,$B$2:$B$366,$A$2:$A$366,1,1)</f>
        <v>50.993585602376619</v>
      </c>
      <c r="D413" s="32">
        <f>C413-_xlfn.FORECAST.ETS.CONFINT(A413,$B$2:$B$366,$A$2:$A$366,0.95,1,1)</f>
        <v>16.058826023617669</v>
      </c>
      <c r="E413" s="32">
        <f>C413+_xlfn.FORECAST.ETS.CONFINT(A413,$B$2:$B$366,$A$2:$A$366,0.95,1,1)</f>
        <v>85.928345181135569</v>
      </c>
    </row>
    <row r="414" spans="1:5">
      <c r="A414" s="31">
        <v>21963</v>
      </c>
      <c r="C414">
        <f>_xlfn.FORECAST.ETS(A414,$B$2:$B$366,$A$2:$A$366,1,1)</f>
        <v>51.957612726979981</v>
      </c>
      <c r="D414" s="32">
        <f>C414-_xlfn.FORECAST.ETS.CONFINT(A414,$B$2:$B$366,$A$2:$A$366,0.95,1,1)</f>
        <v>16.75061404111942</v>
      </c>
      <c r="E414" s="32">
        <f>C414+_xlfn.FORECAST.ETS.CONFINT(A414,$B$2:$B$366,$A$2:$A$366,0.95,1,1)</f>
        <v>87.164611412840543</v>
      </c>
    </row>
    <row r="415" spans="1:5">
      <c r="A415" s="31">
        <v>21964</v>
      </c>
      <c r="C415">
        <f>_xlfn.FORECAST.ETS(A415,$B$2:$B$366,$A$2:$A$366,1,1)</f>
        <v>49.702117507894002</v>
      </c>
      <c r="D415" s="32">
        <f>C415-_xlfn.FORECAST.ETS.CONFINT(A415,$B$2:$B$366,$A$2:$A$366,0.95,1,1)</f>
        <v>14.223159550968859</v>
      </c>
      <c r="E415" s="32">
        <f>C415+_xlfn.FORECAST.ETS.CONFINT(A415,$B$2:$B$366,$A$2:$A$366,0.95,1,1)</f>
        <v>85.181075464819145</v>
      </c>
    </row>
    <row r="416" spans="1:5">
      <c r="A416" s="31">
        <v>21965</v>
      </c>
      <c r="C416">
        <f>_xlfn.FORECAST.ETS(A416,$B$2:$B$366,$A$2:$A$366,1,1)</f>
        <v>48.976387399026436</v>
      </c>
      <c r="D416" s="32">
        <f>C416-_xlfn.FORECAST.ETS.CONFINT(A416,$B$2:$B$366,$A$2:$A$366,0.95,1,1)</f>
        <v>12.592292381580393</v>
      </c>
      <c r="E416" s="32">
        <f>C416+_xlfn.FORECAST.ETS.CONFINT(A416,$B$2:$B$366,$A$2:$A$366,0.95,1,1)</f>
        <v>85.360482416472479</v>
      </c>
    </row>
    <row r="417" spans="1:5">
      <c r="A417" s="31">
        <v>21966</v>
      </c>
      <c r="C417">
        <f>_xlfn.FORECAST.ETS(A417,$B$2:$B$366,$A$2:$A$366,1,1)</f>
        <v>46.438720510801751</v>
      </c>
      <c r="D417" s="32">
        <f>C417-_xlfn.FORECAST.ETS.CONFINT(A417,$B$2:$B$366,$A$2:$A$366,0.95,1,1)</f>
        <v>9.7878800722301733</v>
      </c>
      <c r="E417" s="32">
        <f>C417+_xlfn.FORECAST.ETS.CONFINT(A417,$B$2:$B$366,$A$2:$A$366,0.95,1,1)</f>
        <v>83.089560949373322</v>
      </c>
    </row>
    <row r="418" spans="1:5">
      <c r="A418" s="31">
        <v>21967</v>
      </c>
      <c r="C418">
        <f>_xlfn.FORECAST.ETS(A418,$B$2:$B$366,$A$2:$A$366,1,1)</f>
        <v>46.679395472024154</v>
      </c>
      <c r="D418" s="32">
        <f>C418-_xlfn.FORECAST.ETS.CONFINT(A418,$B$2:$B$366,$A$2:$A$366,0.95,1,1)</f>
        <v>9.761980865389468</v>
      </c>
      <c r="E418" s="32">
        <f>C418+_xlfn.FORECAST.ETS.CONFINT(A418,$B$2:$B$366,$A$2:$A$366,0.95,1,1)</f>
        <v>83.596810078658848</v>
      </c>
    </row>
    <row r="419" spans="1:5">
      <c r="A419" s="31">
        <v>21968</v>
      </c>
      <c r="C419">
        <f>_xlfn.FORECAST.ETS(A419,$B$2:$B$366,$A$2:$A$366,1,1)</f>
        <v>56.806590563374897</v>
      </c>
      <c r="D419" s="32">
        <f>C419-_xlfn.FORECAST.ETS.CONFINT(A419,$B$2:$B$366,$A$2:$A$366,0.95,1,1)</f>
        <v>19.622763575721336</v>
      </c>
      <c r="E419" s="32">
        <f>C419+_xlfn.FORECAST.ETS.CONFINT(A419,$B$2:$B$366,$A$2:$A$366,0.95,1,1)</f>
        <v>93.990417551028457</v>
      </c>
    </row>
    <row r="420" spans="1:5">
      <c r="A420" s="31">
        <v>21969</v>
      </c>
      <c r="C420">
        <f>_xlfn.FORECAST.ETS(A420,$B$2:$B$366,$A$2:$A$366,1,1)</f>
        <v>51.264715089313384</v>
      </c>
      <c r="D420" s="32">
        <f>C420-_xlfn.FORECAST.ETS.CONFINT(A420,$B$2:$B$366,$A$2:$A$366,0.95,1,1)</f>
        <v>13.814628313205368</v>
      </c>
      <c r="E420" s="32">
        <f>C420+_xlfn.FORECAST.ETS.CONFINT(A420,$B$2:$B$366,$A$2:$A$366,0.95,1,1)</f>
        <v>88.714801865421407</v>
      </c>
    </row>
    <row r="421" spans="1:5">
      <c r="A421" s="31">
        <v>21970</v>
      </c>
      <c r="C421">
        <f>_xlfn.FORECAST.ETS(A421,$B$2:$B$366,$A$2:$A$366,1,1)</f>
        <v>52.228742213916753</v>
      </c>
      <c r="D421" s="32">
        <f>C421-_xlfn.FORECAST.ETS.CONFINT(A421,$B$2:$B$366,$A$2:$A$366,0.95,1,1)</f>
        <v>14.512539309003508</v>
      </c>
      <c r="E421" s="32">
        <f>C421+_xlfn.FORECAST.ETS.CONFINT(A421,$B$2:$B$366,$A$2:$A$366,0.95,1,1)</f>
        <v>89.944945118829992</v>
      </c>
    </row>
    <row r="422" spans="1:5">
      <c r="A422" s="31">
        <v>21971</v>
      </c>
      <c r="C422">
        <f>_xlfn.FORECAST.ETS(A422,$B$2:$B$366,$A$2:$A$366,1,1)</f>
        <v>49.973246994830774</v>
      </c>
      <c r="D422" s="32">
        <f>C422-_xlfn.FORECAST.ETS.CONFINT(A422,$B$2:$B$366,$A$2:$A$366,0.95,1,1)</f>
        <v>11.991062939894285</v>
      </c>
      <c r="E422" s="32">
        <f>C422+_xlfn.FORECAST.ETS.CONFINT(A422,$B$2:$B$366,$A$2:$A$366,0.95,1,1)</f>
        <v>87.95543104976727</v>
      </c>
    </row>
    <row r="423" spans="1:5">
      <c r="A423" s="31">
        <v>21972</v>
      </c>
      <c r="C423">
        <f>_xlfn.FORECAST.ETS(A423,$B$2:$B$366,$A$2:$A$366,1,1)</f>
        <v>49.247516885963201</v>
      </c>
      <c r="D423" s="32">
        <f>C423-_xlfn.FORECAST.ETS.CONFINT(A423,$B$2:$B$366,$A$2:$A$366,0.95,1,1)</f>
        <v>10.397053972219801</v>
      </c>
      <c r="E423" s="32">
        <f>C423+_xlfn.FORECAST.ETS.CONFINT(A423,$B$2:$B$366,$A$2:$A$366,0.95,1,1)</f>
        <v>88.097979799706593</v>
      </c>
    </row>
    <row r="424" spans="1:5">
      <c r="A424" s="31">
        <v>21973</v>
      </c>
      <c r="C424">
        <f>_xlfn.FORECAST.ETS(A424,$B$2:$B$366,$A$2:$A$366,1,1)</f>
        <v>46.709849997738516</v>
      </c>
      <c r="D424" s="32">
        <f>C424-_xlfn.FORECAST.ETS.CONFINT(A424,$B$2:$B$366,$A$2:$A$366,0.95,1,1)</f>
        <v>7.5977436011081636</v>
      </c>
      <c r="E424" s="32">
        <f>C424+_xlfn.FORECAST.ETS.CONFINT(A424,$B$2:$B$366,$A$2:$A$366,0.95,1,1)</f>
        <v>85.821956394368868</v>
      </c>
    </row>
    <row r="425" spans="1:5">
      <c r="A425" s="31">
        <v>21974</v>
      </c>
      <c r="C425">
        <f>_xlfn.FORECAST.ETS(A425,$B$2:$B$366,$A$2:$A$366,1,1)</f>
        <v>46.950524958960926</v>
      </c>
      <c r="D425" s="32">
        <f>C425-_xlfn.FORECAST.ETS.CONFINT(A425,$B$2:$B$366,$A$2:$A$366,0.95,1,1)</f>
        <v>7.5768289537686542</v>
      </c>
      <c r="E425" s="32">
        <f>C425+_xlfn.FORECAST.ETS.CONFINT(A425,$B$2:$B$366,$A$2:$A$366,0.95,1,1)</f>
        <v>86.324220964153199</v>
      </c>
    </row>
    <row r="426" spans="1:5">
      <c r="A426" s="31">
        <v>21975</v>
      </c>
      <c r="C426">
        <f>_xlfn.FORECAST.ETS(A426,$B$2:$B$366,$A$2:$A$366,1,1)</f>
        <v>57.077720050311669</v>
      </c>
      <c r="D426" s="32">
        <f>C426-_xlfn.FORECAST.ETS.CONFINT(A426,$B$2:$B$366,$A$2:$A$366,0.95,1,1)</f>
        <v>17.442481819014844</v>
      </c>
      <c r="E426" s="32">
        <f>C426+_xlfn.FORECAST.ETS.CONFINT(A426,$B$2:$B$366,$A$2:$A$366,0.95,1,1)</f>
        <v>96.712958281608493</v>
      </c>
    </row>
    <row r="427" spans="1:5">
      <c r="A427" s="31">
        <v>21976</v>
      </c>
      <c r="C427">
        <f>_xlfn.FORECAST.ETS(A427,$B$2:$B$366,$A$2:$A$366,1,1)</f>
        <v>51.535844576250149</v>
      </c>
      <c r="D427" s="32">
        <f>C427-_xlfn.FORECAST.ETS.CONFINT(A427,$B$2:$B$366,$A$2:$A$366,0.95,1,1)</f>
        <v>11.639105179852955</v>
      </c>
      <c r="E427" s="32">
        <f>C427+_xlfn.FORECAST.ETS.CONFINT(A427,$B$2:$B$366,$A$2:$A$366,0.95,1,1)</f>
        <v>91.432583972647336</v>
      </c>
    </row>
    <row r="428" spans="1:5">
      <c r="A428" s="31">
        <v>21977</v>
      </c>
      <c r="C428">
        <f>_xlfn.FORECAST.ETS(A428,$B$2:$B$366,$A$2:$A$366,1,1)</f>
        <v>52.499871700853518</v>
      </c>
      <c r="D428" s="32">
        <f>C428-_xlfn.FORECAST.ETS.CONFINT(A428,$B$2:$B$366,$A$2:$A$366,0.95,1,1)</f>
        <v>12.341666043702332</v>
      </c>
      <c r="E428" s="32">
        <f>C428+_xlfn.FORECAST.ETS.CONFINT(A428,$B$2:$B$366,$A$2:$A$366,0.95,1,1)</f>
        <v>92.658077358004704</v>
      </c>
    </row>
    <row r="429" spans="1:5">
      <c r="A429" s="31">
        <v>21978</v>
      </c>
      <c r="C429">
        <f>_xlfn.FORECAST.ETS(A429,$B$2:$B$366,$A$2:$A$366,1,1)</f>
        <v>50.244376481767539</v>
      </c>
      <c r="D429" s="32">
        <f>C429-_xlfn.FORECAST.ETS.CONFINT(A429,$B$2:$B$366,$A$2:$A$366,0.95,1,1)</f>
        <v>9.8247334709574901</v>
      </c>
      <c r="E429" s="32">
        <f>C429+_xlfn.FORECAST.ETS.CONFINT(A429,$B$2:$B$366,$A$2:$A$366,0.95,1,1)</f>
        <v>90.66401949257758</v>
      </c>
    </row>
    <row r="430" spans="1:5">
      <c r="A430" s="31">
        <v>21979</v>
      </c>
      <c r="C430">
        <f>_xlfn.FORECAST.ETS(A430,$B$2:$B$366,$A$2:$A$366,1,1)</f>
        <v>49.518646372899973</v>
      </c>
      <c r="D430" s="32">
        <f>C430-_xlfn.FORECAST.ETS.CONFINT(A430,$B$2:$B$366,$A$2:$A$366,0.95,1,1)</f>
        <v>8.2615618009675345</v>
      </c>
      <c r="E430" s="32">
        <f>C430+_xlfn.FORECAST.ETS.CONFINT(A430,$B$2:$B$366,$A$2:$A$366,0.95,1,1)</f>
        <v>90.775730944832418</v>
      </c>
    </row>
    <row r="431" spans="1:5">
      <c r="A431" s="31">
        <v>21980</v>
      </c>
      <c r="C431">
        <f>_xlfn.FORECAST.ETS(A431,$B$2:$B$366,$A$2:$A$366,1,1)</f>
        <v>46.980979484675281</v>
      </c>
      <c r="D431" s="32">
        <f>C431-_xlfn.FORECAST.ETS.CONFINT(A431,$B$2:$B$366,$A$2:$A$366,0.95,1,1)</f>
        <v>5.4661247718831447</v>
      </c>
      <c r="E431" s="32">
        <f>C431+_xlfn.FORECAST.ETS.CONFINT(A431,$B$2:$B$366,$A$2:$A$366,0.95,1,1)</f>
        <v>88.495834197467417</v>
      </c>
    </row>
    <row r="432" spans="1:5">
      <c r="A432" s="31">
        <v>21981</v>
      </c>
      <c r="C432">
        <f>_xlfn.FORECAST.ETS(A432,$B$2:$B$366,$A$2:$A$366,1,1)</f>
        <v>47.221654445897691</v>
      </c>
      <c r="D432" s="32">
        <f>C432-_xlfn.FORECAST.ETS.CONFINT(A432,$B$2:$B$366,$A$2:$A$366,0.95,1,1)</f>
        <v>5.448996177348242</v>
      </c>
      <c r="E432" s="32">
        <f>C432+_xlfn.FORECAST.ETS.CONFINT(A432,$B$2:$B$366,$A$2:$A$366,0.95,1,1)</f>
        <v>88.994312714447148</v>
      </c>
    </row>
    <row r="433" spans="1:5">
      <c r="A433" s="31">
        <v>21982</v>
      </c>
      <c r="C433">
        <f>_xlfn.FORECAST.ETS(A433,$B$2:$B$366,$A$2:$A$366,1,1)</f>
        <v>57.348849537248434</v>
      </c>
      <c r="D433" s="32">
        <f>C433-_xlfn.FORECAST.ETS.CONFINT(A433,$B$2:$B$366,$A$2:$A$366,0.95,1,1)</f>
        <v>15.318349796922668</v>
      </c>
      <c r="E433" s="32">
        <f>C433+_xlfn.FORECAST.ETS.CONFINT(A433,$B$2:$B$366,$A$2:$A$366,0.95,1,1)</f>
        <v>99.379349277574192</v>
      </c>
    </row>
    <row r="434" spans="1:5">
      <c r="A434" s="31">
        <v>21983</v>
      </c>
      <c r="C434">
        <f>_xlfn.FORECAST.ETS(A434,$B$2:$B$366,$A$2:$A$366,1,1)</f>
        <v>51.806974063186921</v>
      </c>
      <c r="D434" s="32">
        <f>C434-_xlfn.FORECAST.ETS.CONFINT(A434,$B$2:$B$366,$A$2:$A$366,0.95,1,1)</f>
        <v>9.5185905438160816</v>
      </c>
      <c r="E434" s="32">
        <f>C434+_xlfn.FORECAST.ETS.CONFINT(A434,$B$2:$B$366,$A$2:$A$366,0.95,1,1)</f>
        <v>94.095357582557767</v>
      </c>
    </row>
    <row r="435" spans="1:5">
      <c r="A435" s="31">
        <v>21984</v>
      </c>
      <c r="C435">
        <f>_xlfn.FORECAST.ETS(A435,$B$2:$B$366,$A$2:$A$366,1,1)</f>
        <v>52.77100118779029</v>
      </c>
      <c r="D435" s="32">
        <f>C435-_xlfn.FORECAST.ETS.CONFINT(A435,$B$2:$B$366,$A$2:$A$366,0.95,1,1)</f>
        <v>10.224687297439644</v>
      </c>
      <c r="E435" s="32">
        <f>C435+_xlfn.FORECAST.ETS.CONFINT(A435,$B$2:$B$366,$A$2:$A$366,0.95,1,1)</f>
        <v>95.317315078140936</v>
      </c>
    </row>
    <row r="436" spans="1:5">
      <c r="A436" s="31">
        <v>21985</v>
      </c>
      <c r="C436">
        <f>_xlfn.FORECAST.ETS(A436,$B$2:$B$366,$A$2:$A$366,1,1)</f>
        <v>50.515505968704304</v>
      </c>
      <c r="D436" s="32">
        <f>C436-_xlfn.FORECAST.ETS.CONFINT(A436,$B$2:$B$366,$A$2:$A$366,0.95,1,1)</f>
        <v>7.7112109341906105</v>
      </c>
      <c r="E436" s="32">
        <f>C436+_xlfn.FORECAST.ETS.CONFINT(A436,$B$2:$B$366,$A$2:$A$366,0.95,1,1)</f>
        <v>93.319801003218004</v>
      </c>
    </row>
    <row r="437" spans="1:5">
      <c r="A437" s="31">
        <v>21986</v>
      </c>
      <c r="C437">
        <f>_xlfn.FORECAST.ETS(A437,$B$2:$B$366,$A$2:$A$366,1,1)</f>
        <v>49.789775859836737</v>
      </c>
      <c r="D437" s="32">
        <f>C437-_xlfn.FORECAST.ETS.CONFINT(A437,$B$2:$B$366,$A$2:$A$366,0.95,1,1)</f>
        <v>6.1742332676997407</v>
      </c>
      <c r="E437" s="32">
        <f>C437+_xlfn.FORECAST.ETS.CONFINT(A437,$B$2:$B$366,$A$2:$A$366,0.95,1,1)</f>
        <v>93.405318451973727</v>
      </c>
    </row>
    <row r="438" spans="1:5">
      <c r="A438" s="31">
        <v>21987</v>
      </c>
      <c r="C438">
        <f>_xlfn.FORECAST.ETS(A438,$B$2:$B$366,$A$2:$A$366,1,1)</f>
        <v>47.252108971612053</v>
      </c>
      <c r="D438" s="32">
        <f>C438-_xlfn.FORECAST.ETS.CONFINT(A438,$B$2:$B$366,$A$2:$A$366,0.95,1,1)</f>
        <v>3.3817260343726829</v>
      </c>
      <c r="E438" s="32">
        <f>C438+_xlfn.FORECAST.ETS.CONFINT(A438,$B$2:$B$366,$A$2:$A$366,0.95,1,1)</f>
        <v>91.12249190885143</v>
      </c>
    </row>
    <row r="439" spans="1:5">
      <c r="A439" s="31">
        <v>21988</v>
      </c>
      <c r="C439">
        <f>_xlfn.FORECAST.ETS(A439,$B$2:$B$366,$A$2:$A$366,1,1)</f>
        <v>47.492783932834463</v>
      </c>
      <c r="D439" s="32">
        <f>C439-_xlfn.FORECAST.ETS.CONFINT(A439,$B$2:$B$366,$A$2:$A$366,0.95,1,1)</f>
        <v>3.3674608694166821</v>
      </c>
      <c r="E439" s="32">
        <f>C439+_xlfn.FORECAST.ETS.CONFINT(A439,$B$2:$B$366,$A$2:$A$366,0.95,1,1)</f>
        <v>91.618106996252237</v>
      </c>
    </row>
    <row r="440" spans="1:5">
      <c r="A440" s="31">
        <v>21989</v>
      </c>
      <c r="C440">
        <f>_xlfn.FORECAST.ETS(A440,$B$2:$B$366,$A$2:$A$366,1,1)</f>
        <v>57.619979024185206</v>
      </c>
      <c r="D440" s="32">
        <f>C440-_xlfn.FORECAST.ETS.CONFINT(A440,$B$2:$B$366,$A$2:$A$366,0.95,1,1)</f>
        <v>13.239612927959335</v>
      </c>
      <c r="E440" s="32">
        <f>C440+_xlfn.FORECAST.ETS.CONFINT(A440,$B$2:$B$366,$A$2:$A$366,0.95,1,1)</f>
        <v>102.00034512041108</v>
      </c>
    </row>
    <row r="441" spans="1:5">
      <c r="A441" s="31">
        <v>21990</v>
      </c>
      <c r="C441">
        <f>_xlfn.FORECAST.ETS(A441,$B$2:$B$366,$A$2:$A$366,1,1)</f>
        <v>52.078103550123686</v>
      </c>
      <c r="D441" s="32">
        <f>C441-_xlfn.FORECAST.ETS.CONFINT(A441,$B$2:$B$366,$A$2:$A$366,0.95,1,1)</f>
        <v>7.4425884610404296</v>
      </c>
      <c r="E441" s="32">
        <f>C441+_xlfn.FORECAST.ETS.CONFINT(A441,$B$2:$B$366,$A$2:$A$366,0.95,1,1)</f>
        <v>96.713618639206942</v>
      </c>
    </row>
    <row r="442" spans="1:5">
      <c r="A442" s="31">
        <v>21991</v>
      </c>
      <c r="C442">
        <f>_xlfn.FORECAST.ETS(A442,$B$2:$B$366,$A$2:$A$366,1,1)</f>
        <v>53.042130674727055</v>
      </c>
      <c r="D442" s="32">
        <f>C442-_xlfn.FORECAST.ETS.CONFINT(A442,$B$2:$B$366,$A$2:$A$366,0.95,1,1)</f>
        <v>8.1513576494733826</v>
      </c>
      <c r="E442" s="32">
        <f>C442+_xlfn.FORECAST.ETS.CONFINT(A442,$B$2:$B$366,$A$2:$A$366,0.95,1,1)</f>
        <v>97.932903699980727</v>
      </c>
    </row>
    <row r="443" spans="1:5">
      <c r="A443" s="31">
        <v>21992</v>
      </c>
      <c r="C443">
        <f>_xlfn.FORECAST.ETS(A443,$B$2:$B$366,$A$2:$A$366,1,1)</f>
        <v>50.786635455641076</v>
      </c>
      <c r="D443" s="32">
        <f>C443-_xlfn.FORECAST.ETS.CONFINT(A443,$B$2:$B$366,$A$2:$A$366,0.95,1,1)</f>
        <v>5.640492635884641</v>
      </c>
      <c r="E443" s="32">
        <f>C443+_xlfn.FORECAST.ETS.CONFINT(A443,$B$2:$B$366,$A$2:$A$366,0.95,1,1)</f>
        <v>95.93277827539751</v>
      </c>
    </row>
    <row r="444" spans="1:5">
      <c r="A444" s="31">
        <v>21993</v>
      </c>
      <c r="C444">
        <f>_xlfn.FORECAST.ETS(A444,$B$2:$B$366,$A$2:$A$366,1,1)</f>
        <v>50.060905346773509</v>
      </c>
      <c r="D444" s="32">
        <f>C444-_xlfn.FORECAST.ETS.CONFINT(A444,$B$2:$B$366,$A$2:$A$366,0.95,1,1)</f>
        <v>4.1260431788882954</v>
      </c>
      <c r="E444" s="32">
        <f>C444+_xlfn.FORECAST.ETS.CONFINT(A444,$B$2:$B$366,$A$2:$A$366,0.95,1,1)</f>
        <v>95.995767514658723</v>
      </c>
    </row>
    <row r="445" spans="1:5">
      <c r="A445" s="31">
        <v>21994</v>
      </c>
      <c r="C445">
        <f>_xlfn.FORECAST.ETS(A445,$B$2:$B$366,$A$2:$A$366,1,1)</f>
        <v>47.523238458548818</v>
      </c>
      <c r="D445" s="32">
        <f>C445-_xlfn.FORECAST.ETS.CONFINT(A445,$B$2:$B$366,$A$2:$A$366,0.95,1,1)</f>
        <v>1.3357251290097025</v>
      </c>
      <c r="E445" s="32">
        <f>C445+_xlfn.FORECAST.ETS.CONFINT(A445,$B$2:$B$366,$A$2:$A$366,0.95,1,1)</f>
        <v>93.710751788087933</v>
      </c>
    </row>
    <row r="446" spans="1:5">
      <c r="A446" s="31">
        <v>21995</v>
      </c>
      <c r="C446">
        <f>_xlfn.FORECAST.ETS(A446,$B$2:$B$366,$A$2:$A$366,1,1)</f>
        <v>47.763913419771228</v>
      </c>
      <c r="D446" s="32">
        <f>C446-_xlfn.FORECAST.ETS.CONFINT(A446,$B$2:$B$366,$A$2:$A$366,0.95,1,1)</f>
        <v>1.3235977869410149</v>
      </c>
      <c r="E446" s="32">
        <f>C446+_xlfn.FORECAST.ETS.CONFINT(A446,$B$2:$B$366,$A$2:$A$366,0.95,1,1)</f>
        <v>94.204229052601448</v>
      </c>
    </row>
    <row r="447" spans="1:5">
      <c r="A447" s="31">
        <v>21996</v>
      </c>
      <c r="C447">
        <f>_xlfn.FORECAST.ETS(A447,$B$2:$B$366,$A$2:$A$366,1,1)</f>
        <v>57.891108511121971</v>
      </c>
      <c r="D447" s="32">
        <f>C447-_xlfn.FORECAST.ETS.CONFINT(A447,$B$2:$B$366,$A$2:$A$366,0.95,1,1)</f>
        <v>11.197837283140366</v>
      </c>
      <c r="E447" s="32">
        <f>C447+_xlfn.FORECAST.ETS.CONFINT(A447,$B$2:$B$366,$A$2:$A$366,0.95,1,1)</f>
        <v>104.58437973910358</v>
      </c>
    </row>
    <row r="448" spans="1:5">
      <c r="A448" s="31">
        <v>21997</v>
      </c>
      <c r="C448">
        <f>_xlfn.FORECAST.ETS(A448,$B$2:$B$366,$A$2:$A$366,1,1)</f>
        <v>52.349233037060458</v>
      </c>
      <c r="D448" s="32">
        <f>C448-_xlfn.FORECAST.ETS.CONFINT(A448,$B$2:$B$366,$A$2:$A$366,0.95,1,1)</f>
        <v>5.4028508196749101</v>
      </c>
      <c r="E448" s="32">
        <f>C448+_xlfn.FORECAST.ETS.CONFINT(A448,$B$2:$B$366,$A$2:$A$366,0.95,1,1)</f>
        <v>99.295615254446005</v>
      </c>
    </row>
    <row r="449" spans="1:5">
      <c r="A449" s="31">
        <v>21998</v>
      </c>
      <c r="C449">
        <f>_xlfn.FORECAST.ETS(A449,$B$2:$B$366,$A$2:$A$366,1,1)</f>
        <v>53.31326016166382</v>
      </c>
      <c r="D449" s="32">
        <f>C449-_xlfn.FORECAST.ETS.CONFINT(A449,$B$2:$B$366,$A$2:$A$366,0.95,1,1)</f>
        <v>6.113609504847382</v>
      </c>
      <c r="E449" s="32">
        <f>C449+_xlfn.FORECAST.ETS.CONFINT(A449,$B$2:$B$366,$A$2:$A$366,0.95,1,1)</f>
        <v>100.51291081848026</v>
      </c>
    </row>
    <row r="450" spans="1:5">
      <c r="A450" s="31">
        <v>21999</v>
      </c>
      <c r="C450">
        <f>_xlfn.FORECAST.ETS(A450,$B$2:$B$366,$A$2:$A$366,1,1)</f>
        <v>51.05776494257784</v>
      </c>
      <c r="D450" s="32">
        <f>C450-_xlfn.FORECAST.ETS.CONFINT(A450,$B$2:$B$366,$A$2:$A$366,0.95,1,1)</f>
        <v>3.6046863859715259</v>
      </c>
      <c r="E450" s="32">
        <f>C450+_xlfn.FORECAST.ETS.CONFINT(A450,$B$2:$B$366,$A$2:$A$366,0.95,1,1)</f>
        <v>98.510843499184148</v>
      </c>
    </row>
    <row r="451" spans="1:5">
      <c r="A451" s="31">
        <v>22000</v>
      </c>
      <c r="C451">
        <f>_xlfn.FORECAST.ETS(A451,$B$2:$B$366,$A$2:$A$366,1,1)</f>
        <v>50.332034833710274</v>
      </c>
      <c r="D451" s="32">
        <f>C451-_xlfn.FORECAST.ETS.CONFINT(A451,$B$2:$B$366,$A$2:$A$366,0.95,1,1)</f>
        <v>2.1098142628827361</v>
      </c>
      <c r="E451" s="32">
        <f>C451+_xlfn.FORECAST.ETS.CONFINT(A451,$B$2:$B$366,$A$2:$A$366,0.95,1,1)</f>
        <v>98.554255404537813</v>
      </c>
    </row>
    <row r="452" spans="1:5">
      <c r="A452" s="31">
        <v>22001</v>
      </c>
      <c r="C452">
        <f>_xlfn.FORECAST.ETS(A452,$B$2:$B$366,$A$2:$A$366,1,1)</f>
        <v>47.79436794548559</v>
      </c>
      <c r="D452" s="32">
        <f>C452-_xlfn.FORECAST.ETS.CONFINT(A452,$B$2:$B$366,$A$2:$A$366,0.95,1,1)</f>
        <v>-0.67890650983567014</v>
      </c>
      <c r="E452" s="32">
        <f>C452+_xlfn.FORECAST.ETS.CONFINT(A452,$B$2:$B$366,$A$2:$A$366,0.95,1,1)</f>
        <v>96.267642400806849</v>
      </c>
    </row>
    <row r="453" spans="1:5">
      <c r="A453" s="31">
        <v>22002</v>
      </c>
      <c r="C453">
        <f>_xlfn.FORECAST.ETS(A453,$B$2:$B$366,$A$2:$A$366,1,1)</f>
        <v>48.035042906708</v>
      </c>
      <c r="D453" s="32">
        <f>C453-_xlfn.FORECAST.ETS.CONFINT(A453,$B$2:$B$366,$A$2:$A$366,0.95,1,1)</f>
        <v>-0.68947689365941756</v>
      </c>
      <c r="E453" s="32">
        <f>C453+_xlfn.FORECAST.ETS.CONFINT(A453,$B$2:$B$366,$A$2:$A$366,0.95,1,1)</f>
        <v>96.759562707075418</v>
      </c>
    </row>
    <row r="454" spans="1:5">
      <c r="A454" s="31">
        <v>22003</v>
      </c>
      <c r="C454">
        <f>_xlfn.FORECAST.ETS(A454,$B$2:$B$366,$A$2:$A$366,1,1)</f>
        <v>58.162237998058735</v>
      </c>
      <c r="D454" s="32">
        <f>C454-_xlfn.FORECAST.ETS.CONFINT(A454,$B$2:$B$366,$A$2:$A$366,0.95,1,1)</f>
        <v>9.1862799481782531</v>
      </c>
      <c r="E454" s="32">
        <f>C454+_xlfn.FORECAST.ETS.CONFINT(A454,$B$2:$B$366,$A$2:$A$366,0.95,1,1)</f>
        <v>107.13819604793922</v>
      </c>
    </row>
    <row r="455" spans="1:5">
      <c r="A455" s="31">
        <v>22004</v>
      </c>
      <c r="C455">
        <f>_xlfn.FORECAST.ETS(A455,$B$2:$B$366,$A$2:$A$366,1,1)</f>
        <v>52.620362523997223</v>
      </c>
      <c r="D455" s="32">
        <f>C455-_xlfn.FORECAST.ETS.CONFINT(A455,$B$2:$B$366,$A$2:$A$366,0.95,1,1)</f>
        <v>3.3927719079789682</v>
      </c>
      <c r="E455" s="32">
        <f>C455+_xlfn.FORECAST.ETS.CONFINT(A455,$B$2:$B$366,$A$2:$A$366,0.95,1,1)</f>
        <v>101.84795314001548</v>
      </c>
    </row>
    <row r="456" spans="1:5">
      <c r="A456" s="31">
        <v>22005</v>
      </c>
      <c r="C456">
        <f>_xlfn.FORECAST.ETS(A456,$B$2:$B$366,$A$2:$A$366,1,1)</f>
        <v>53.584389648600592</v>
      </c>
      <c r="D456" s="32">
        <f>C456-_xlfn.FORECAST.ETS.CONFINT(A456,$B$2:$B$366,$A$2:$A$366,0.95,1,1)</f>
        <v>4.1049707686670445</v>
      </c>
      <c r="E456" s="32">
        <f>C456+_xlfn.FORECAST.ETS.CONFINT(A456,$B$2:$B$366,$A$2:$A$366,0.95,1,1)</f>
        <v>103.06380852853414</v>
      </c>
    </row>
    <row r="457" spans="1:5">
      <c r="A457" s="31">
        <v>22006</v>
      </c>
      <c r="C457">
        <f>_xlfn.FORECAST.ETS(A457,$B$2:$B$366,$A$2:$A$366,1,1)</f>
        <v>51.328894429514612</v>
      </c>
      <c r="D457" s="32">
        <f>C457-_xlfn.FORECAST.ETS.CONFINT(A457,$B$2:$B$366,$A$2:$A$366,0.95,1,1)</f>
        <v>1.5974502370102144</v>
      </c>
      <c r="E457" s="32">
        <f>C457+_xlfn.FORECAST.ETS.CONFINT(A457,$B$2:$B$366,$A$2:$A$366,0.95,1,1)</f>
        <v>101.060338622019</v>
      </c>
    </row>
    <row r="458" spans="1:5">
      <c r="A458" s="31">
        <v>22007</v>
      </c>
      <c r="C458">
        <f>_xlfn.FORECAST.ETS(A458,$B$2:$B$366,$A$2:$A$366,1,1)</f>
        <v>50.603164320647046</v>
      </c>
      <c r="D458" s="32">
        <f>C458-_xlfn.FORECAST.ETS.CONFINT(A458,$B$2:$B$366,$A$2:$A$366,0.95,1,1)</f>
        <v>0.11974082460254465</v>
      </c>
      <c r="E458" s="32">
        <f>C458+_xlfn.FORECAST.ETS.CONFINT(A458,$B$2:$B$366,$A$2:$A$366,0.95,1,1)</f>
        <v>101.08658781669155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topLeftCell="A5" zoomScale="90" zoomScaleNormal="90" workbookViewId="0">
      <selection activeCell="I16" sqref="I16"/>
    </sheetView>
  </sheetViews>
  <sheetFormatPr defaultColWidth="11.25" defaultRowHeight="15" customHeight="1"/>
  <cols>
    <col min="1" max="1" width="11" customWidth="1"/>
    <col min="2" max="2" width="11.625" customWidth="1"/>
    <col min="3" max="3" width="24.125" bestFit="1" customWidth="1"/>
    <col min="4" max="5" width="12.875" customWidth="1"/>
    <col min="6" max="6" width="21.375" bestFit="1" customWidth="1"/>
    <col min="7" max="7" width="22.875" customWidth="1"/>
    <col min="8" max="10" width="11" customWidth="1"/>
    <col min="11" max="11" width="20.37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11</v>
      </c>
      <c r="D1" s="2" t="s">
        <v>12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D2" s="8"/>
      <c r="E2" s="8"/>
      <c r="F2" s="8"/>
      <c r="G2" s="5"/>
    </row>
    <row r="3" spans="1:11" ht="15.75" customHeight="1">
      <c r="A3" s="3">
        <v>21552</v>
      </c>
      <c r="B3" s="4">
        <v>32</v>
      </c>
      <c r="D3" s="8"/>
      <c r="E3" s="8"/>
      <c r="F3" s="8"/>
      <c r="G3" s="5"/>
    </row>
    <row r="4" spans="1:11" ht="15.75" customHeight="1">
      <c r="A4" s="3">
        <v>21553</v>
      </c>
      <c r="B4" s="4">
        <v>30</v>
      </c>
      <c r="D4" s="8"/>
      <c r="E4" s="8"/>
      <c r="F4" s="8"/>
      <c r="G4" s="5"/>
    </row>
    <row r="5" spans="1:11" ht="15.75" customHeight="1">
      <c r="A5" s="3">
        <v>21554</v>
      </c>
      <c r="B5" s="4">
        <v>31</v>
      </c>
      <c r="C5" s="8">
        <f>AVERAGE(B2:B4)</f>
        <v>32.333333333333336</v>
      </c>
      <c r="D5" s="8">
        <f>B5-C5</f>
        <v>-1.3333333333333357</v>
      </c>
      <c r="E5" s="27">
        <f>ABS(D5)</f>
        <v>1.3333333333333357</v>
      </c>
      <c r="F5" s="8">
        <f>E5^2</f>
        <v>1.7777777777777841</v>
      </c>
      <c r="G5" s="5">
        <f>E5/B5</f>
        <v>4.3010752688172123E-2</v>
      </c>
    </row>
    <row r="6" spans="1:11" ht="15.75" customHeight="1">
      <c r="A6" s="3">
        <v>21555</v>
      </c>
      <c r="B6" s="4">
        <v>44</v>
      </c>
      <c r="C6" s="8">
        <f t="shared" ref="C6:C69" si="0">AVERAGE(B3:B5)</f>
        <v>31</v>
      </c>
      <c r="D6" s="8">
        <f t="shared" ref="D6:D69" si="1">B6-C6</f>
        <v>13</v>
      </c>
      <c r="E6" s="26">
        <f t="shared" ref="E6:E69" si="2">ABS(D6)</f>
        <v>13</v>
      </c>
      <c r="F6" s="8">
        <f t="shared" ref="F6:F69" si="3">E6^2</f>
        <v>169</v>
      </c>
      <c r="G6" s="5">
        <f t="shared" ref="G6:G69" si="4">E6/B6</f>
        <v>0.29545454545454547</v>
      </c>
    </row>
    <row r="7" spans="1:11" ht="15.75" customHeight="1">
      <c r="A7" s="3">
        <v>21556</v>
      </c>
      <c r="B7" s="4">
        <v>29</v>
      </c>
      <c r="C7" s="8">
        <f t="shared" si="0"/>
        <v>35</v>
      </c>
      <c r="D7" s="8">
        <f t="shared" si="1"/>
        <v>-6</v>
      </c>
      <c r="E7" s="8">
        <f t="shared" si="2"/>
        <v>6</v>
      </c>
      <c r="F7" s="8">
        <f t="shared" si="3"/>
        <v>36</v>
      </c>
      <c r="G7" s="5">
        <f t="shared" si="4"/>
        <v>0.20689655172413793</v>
      </c>
    </row>
    <row r="8" spans="1:11" ht="15.75" customHeight="1">
      <c r="A8" s="3">
        <v>21557</v>
      </c>
      <c r="B8" s="4">
        <v>45</v>
      </c>
      <c r="C8" s="8">
        <f t="shared" si="0"/>
        <v>34.666666666666664</v>
      </c>
      <c r="D8" s="8">
        <f t="shared" si="1"/>
        <v>10.333333333333336</v>
      </c>
      <c r="E8" s="8">
        <f t="shared" si="2"/>
        <v>10.333333333333336</v>
      </c>
      <c r="F8" s="8">
        <f t="shared" si="3"/>
        <v>106.77777777777783</v>
      </c>
      <c r="G8" s="5">
        <f t="shared" si="4"/>
        <v>0.22962962962962968</v>
      </c>
      <c r="J8" s="6" t="s">
        <v>7</v>
      </c>
      <c r="K8" s="7">
        <f>AVERAGE(E5:E366)</f>
        <v>6.2826887661141759</v>
      </c>
    </row>
    <row r="9" spans="1:11" ht="15.75" customHeight="1">
      <c r="A9" s="3">
        <v>21558</v>
      </c>
      <c r="B9" s="4">
        <v>43</v>
      </c>
      <c r="C9" s="8">
        <f t="shared" si="0"/>
        <v>39.333333333333336</v>
      </c>
      <c r="D9" s="8">
        <f t="shared" si="1"/>
        <v>3.6666666666666643</v>
      </c>
      <c r="E9" s="8">
        <f t="shared" si="2"/>
        <v>3.6666666666666643</v>
      </c>
      <c r="F9" s="8">
        <f t="shared" si="3"/>
        <v>13.444444444444427</v>
      </c>
      <c r="G9" s="5">
        <f t="shared" si="4"/>
        <v>8.5271317829457308E-2</v>
      </c>
      <c r="J9" s="2" t="s">
        <v>8</v>
      </c>
      <c r="K9" s="8">
        <f>AVERAGE(F5:F366)</f>
        <v>61.379066912216082</v>
      </c>
    </row>
    <row r="10" spans="1:11" ht="15.75" customHeight="1">
      <c r="A10" s="3">
        <v>21559</v>
      </c>
      <c r="B10" s="4">
        <v>38</v>
      </c>
      <c r="C10" s="8">
        <f t="shared" si="0"/>
        <v>39</v>
      </c>
      <c r="D10" s="8">
        <f t="shared" si="1"/>
        <v>-1</v>
      </c>
      <c r="E10" s="8">
        <f t="shared" si="2"/>
        <v>1</v>
      </c>
      <c r="F10" s="8">
        <f t="shared" si="3"/>
        <v>1</v>
      </c>
      <c r="G10" s="5">
        <f t="shared" si="4"/>
        <v>2.6315789473684209E-2</v>
      </c>
      <c r="J10" s="2" t="s">
        <v>9</v>
      </c>
      <c r="K10" s="5">
        <f>AVERAGE(G5:G366)</f>
        <v>0.15319908473816002</v>
      </c>
    </row>
    <row r="11" spans="1:11" ht="15.75" customHeight="1">
      <c r="A11" s="3">
        <v>21560</v>
      </c>
      <c r="B11" s="4">
        <v>27</v>
      </c>
      <c r="C11" s="8">
        <f t="shared" si="0"/>
        <v>42</v>
      </c>
      <c r="D11" s="8">
        <f t="shared" si="1"/>
        <v>-15</v>
      </c>
      <c r="E11" s="8">
        <f t="shared" si="2"/>
        <v>15</v>
      </c>
      <c r="F11" s="8">
        <f t="shared" si="3"/>
        <v>225</v>
      </c>
      <c r="G11" s="5">
        <f t="shared" si="4"/>
        <v>0.55555555555555558</v>
      </c>
      <c r="J11" s="11" t="s">
        <v>10</v>
      </c>
      <c r="K11" s="12">
        <f>100% - K10</f>
        <v>0.84680091526183998</v>
      </c>
    </row>
    <row r="12" spans="1:11" ht="15.75" customHeight="1">
      <c r="A12" s="3">
        <v>21561</v>
      </c>
      <c r="B12" s="4">
        <v>38</v>
      </c>
      <c r="C12" s="8">
        <f t="shared" si="0"/>
        <v>36</v>
      </c>
      <c r="D12" s="8">
        <f t="shared" si="1"/>
        <v>2</v>
      </c>
      <c r="E12" s="8">
        <f t="shared" si="2"/>
        <v>2</v>
      </c>
      <c r="F12" s="8">
        <f t="shared" si="3"/>
        <v>4</v>
      </c>
      <c r="G12" s="5">
        <f t="shared" si="4"/>
        <v>5.2631578947368418E-2</v>
      </c>
    </row>
    <row r="13" spans="1:11" ht="15.75" customHeight="1">
      <c r="A13" s="3">
        <v>21562</v>
      </c>
      <c r="B13" s="4">
        <v>33</v>
      </c>
      <c r="C13" s="8">
        <f t="shared" si="0"/>
        <v>34.333333333333336</v>
      </c>
      <c r="D13" s="8">
        <f t="shared" si="1"/>
        <v>-1.3333333333333357</v>
      </c>
      <c r="E13" s="8">
        <f t="shared" si="2"/>
        <v>1.3333333333333357</v>
      </c>
      <c r="F13" s="8">
        <f t="shared" si="3"/>
        <v>1.7777777777777841</v>
      </c>
      <c r="G13" s="5">
        <f t="shared" si="4"/>
        <v>4.0404040404040477E-2</v>
      </c>
    </row>
    <row r="14" spans="1:11" ht="15.75" customHeight="1">
      <c r="A14" s="3">
        <v>21563</v>
      </c>
      <c r="B14" s="4">
        <v>55</v>
      </c>
      <c r="C14" s="8">
        <f t="shared" si="0"/>
        <v>32.666666666666664</v>
      </c>
      <c r="D14" s="8">
        <f t="shared" si="1"/>
        <v>22.333333333333336</v>
      </c>
      <c r="E14" s="8">
        <f t="shared" si="2"/>
        <v>22.333333333333336</v>
      </c>
      <c r="F14" s="8">
        <f t="shared" si="3"/>
        <v>498.77777777777789</v>
      </c>
      <c r="G14" s="5">
        <f t="shared" si="4"/>
        <v>0.40606060606060612</v>
      </c>
    </row>
    <row r="15" spans="1:11" ht="15.75" customHeight="1">
      <c r="A15" s="3">
        <v>21564</v>
      </c>
      <c r="B15" s="4">
        <v>47</v>
      </c>
      <c r="C15" s="8">
        <f t="shared" si="0"/>
        <v>42</v>
      </c>
      <c r="D15" s="8">
        <f t="shared" si="1"/>
        <v>5</v>
      </c>
      <c r="E15" s="8">
        <f t="shared" si="2"/>
        <v>5</v>
      </c>
      <c r="F15" s="8">
        <f t="shared" si="3"/>
        <v>25</v>
      </c>
      <c r="G15" s="5">
        <f t="shared" si="4"/>
        <v>0.10638297872340426</v>
      </c>
    </row>
    <row r="16" spans="1:11" ht="15.75" customHeight="1">
      <c r="A16" s="3">
        <v>21565</v>
      </c>
      <c r="B16" s="4">
        <v>45</v>
      </c>
      <c r="C16" s="8">
        <f t="shared" si="0"/>
        <v>45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5">
        <f t="shared" si="4"/>
        <v>0</v>
      </c>
    </row>
    <row r="17" spans="1:7" ht="15.75" customHeight="1">
      <c r="A17" s="3">
        <v>21566</v>
      </c>
      <c r="B17" s="4">
        <v>37</v>
      </c>
      <c r="C17" s="8">
        <f t="shared" si="0"/>
        <v>49</v>
      </c>
      <c r="D17" s="8">
        <f t="shared" si="1"/>
        <v>-12</v>
      </c>
      <c r="E17" s="8">
        <f t="shared" si="2"/>
        <v>12</v>
      </c>
      <c r="F17" s="8">
        <f t="shared" si="3"/>
        <v>144</v>
      </c>
      <c r="G17" s="5">
        <f t="shared" si="4"/>
        <v>0.32432432432432434</v>
      </c>
    </row>
    <row r="18" spans="1:7" ht="15.75" customHeight="1">
      <c r="A18" s="3">
        <v>21567</v>
      </c>
      <c r="B18" s="4">
        <v>50</v>
      </c>
      <c r="C18" s="8">
        <f t="shared" si="0"/>
        <v>43</v>
      </c>
      <c r="D18" s="8">
        <f t="shared" si="1"/>
        <v>7</v>
      </c>
      <c r="E18" s="8">
        <f t="shared" si="2"/>
        <v>7</v>
      </c>
      <c r="F18" s="8">
        <f t="shared" si="3"/>
        <v>49</v>
      </c>
      <c r="G18" s="5">
        <f t="shared" si="4"/>
        <v>0.14000000000000001</v>
      </c>
    </row>
    <row r="19" spans="1:7" ht="15.75" customHeight="1">
      <c r="A19" s="3">
        <v>21568</v>
      </c>
      <c r="B19" s="4">
        <v>43</v>
      </c>
      <c r="C19" s="8">
        <f t="shared" si="0"/>
        <v>44</v>
      </c>
      <c r="D19" s="8">
        <f t="shared" si="1"/>
        <v>-1</v>
      </c>
      <c r="E19" s="8">
        <f t="shared" si="2"/>
        <v>1</v>
      </c>
      <c r="F19" s="8">
        <f t="shared" si="3"/>
        <v>1</v>
      </c>
      <c r="G19" s="5">
        <f t="shared" si="4"/>
        <v>2.3255813953488372E-2</v>
      </c>
    </row>
    <row r="20" spans="1:7" ht="15.75" customHeight="1">
      <c r="A20" s="3">
        <v>21569</v>
      </c>
      <c r="B20" s="4">
        <v>41</v>
      </c>
      <c r="C20" s="8">
        <f t="shared" si="0"/>
        <v>43.333333333333336</v>
      </c>
      <c r="D20" s="8">
        <f t="shared" si="1"/>
        <v>-2.3333333333333357</v>
      </c>
      <c r="E20" s="8">
        <f t="shared" si="2"/>
        <v>2.3333333333333357</v>
      </c>
      <c r="F20" s="8">
        <f t="shared" si="3"/>
        <v>5.4444444444444553</v>
      </c>
      <c r="G20" s="5">
        <f t="shared" si="4"/>
        <v>5.6910569105691117E-2</v>
      </c>
    </row>
    <row r="21" spans="1:7" ht="15.75" customHeight="1">
      <c r="A21" s="3">
        <v>21570</v>
      </c>
      <c r="B21" s="4">
        <v>52</v>
      </c>
      <c r="C21" s="8">
        <f t="shared" si="0"/>
        <v>44.666666666666664</v>
      </c>
      <c r="D21" s="8">
        <f t="shared" si="1"/>
        <v>7.3333333333333357</v>
      </c>
      <c r="E21" s="8">
        <f t="shared" si="2"/>
        <v>7.3333333333333357</v>
      </c>
      <c r="F21" s="8">
        <f t="shared" si="3"/>
        <v>53.777777777777814</v>
      </c>
      <c r="G21" s="5">
        <f t="shared" si="4"/>
        <v>0.14102564102564108</v>
      </c>
    </row>
    <row r="22" spans="1:7" ht="15.75" customHeight="1">
      <c r="A22" s="3">
        <v>21571</v>
      </c>
      <c r="B22" s="4">
        <v>34</v>
      </c>
      <c r="C22" s="8">
        <f t="shared" si="0"/>
        <v>45.333333333333336</v>
      </c>
      <c r="D22" s="8">
        <f t="shared" si="1"/>
        <v>-11.333333333333336</v>
      </c>
      <c r="E22" s="8">
        <f t="shared" si="2"/>
        <v>11.333333333333336</v>
      </c>
      <c r="F22" s="8">
        <f t="shared" si="3"/>
        <v>128.44444444444449</v>
      </c>
      <c r="G22" s="5">
        <f t="shared" si="4"/>
        <v>0.33333333333333343</v>
      </c>
    </row>
    <row r="23" spans="1:7" ht="15.75" customHeight="1">
      <c r="A23" s="3">
        <v>21572</v>
      </c>
      <c r="B23" s="4">
        <v>53</v>
      </c>
      <c r="C23" s="8">
        <f t="shared" si="0"/>
        <v>42.333333333333336</v>
      </c>
      <c r="D23" s="8">
        <f t="shared" si="1"/>
        <v>10.666666666666664</v>
      </c>
      <c r="E23" s="8">
        <f t="shared" si="2"/>
        <v>10.666666666666664</v>
      </c>
      <c r="F23" s="8">
        <f t="shared" si="3"/>
        <v>113.77777777777773</v>
      </c>
      <c r="G23" s="5">
        <f t="shared" si="4"/>
        <v>0.20125786163522008</v>
      </c>
    </row>
    <row r="24" spans="1:7" ht="15.75" customHeight="1">
      <c r="A24" s="3">
        <v>21573</v>
      </c>
      <c r="B24" s="4">
        <v>39</v>
      </c>
      <c r="C24" s="8">
        <f t="shared" si="0"/>
        <v>46.333333333333336</v>
      </c>
      <c r="D24" s="8">
        <f t="shared" si="1"/>
        <v>-7.3333333333333357</v>
      </c>
      <c r="E24" s="8">
        <f t="shared" si="2"/>
        <v>7.3333333333333357</v>
      </c>
      <c r="F24" s="8">
        <f t="shared" si="3"/>
        <v>53.777777777777814</v>
      </c>
      <c r="G24" s="5">
        <f t="shared" si="4"/>
        <v>0.18803418803418809</v>
      </c>
    </row>
    <row r="25" spans="1:7" ht="15.75" customHeight="1">
      <c r="A25" s="3">
        <v>21574</v>
      </c>
      <c r="B25" s="4">
        <v>32</v>
      </c>
      <c r="C25" s="8">
        <f t="shared" si="0"/>
        <v>42</v>
      </c>
      <c r="D25" s="8">
        <f t="shared" si="1"/>
        <v>-10</v>
      </c>
      <c r="E25" s="8">
        <f t="shared" si="2"/>
        <v>10</v>
      </c>
      <c r="F25" s="8">
        <f t="shared" si="3"/>
        <v>100</v>
      </c>
      <c r="G25" s="5">
        <f t="shared" si="4"/>
        <v>0.3125</v>
      </c>
    </row>
    <row r="26" spans="1:7" ht="15.75" customHeight="1">
      <c r="A26" s="3">
        <v>21575</v>
      </c>
      <c r="B26" s="4">
        <v>37</v>
      </c>
      <c r="C26" s="8">
        <f t="shared" si="0"/>
        <v>41.333333333333336</v>
      </c>
      <c r="D26" s="8">
        <f t="shared" si="1"/>
        <v>-4.3333333333333357</v>
      </c>
      <c r="E26" s="8">
        <f t="shared" si="2"/>
        <v>4.3333333333333357</v>
      </c>
      <c r="F26" s="8">
        <f t="shared" si="3"/>
        <v>18.7777777777778</v>
      </c>
      <c r="G26" s="5">
        <f t="shared" si="4"/>
        <v>0.11711711711711718</v>
      </c>
    </row>
    <row r="27" spans="1:7" ht="15.75" customHeight="1">
      <c r="A27" s="3">
        <v>21576</v>
      </c>
      <c r="B27" s="4">
        <v>43</v>
      </c>
      <c r="C27" s="8">
        <f t="shared" si="0"/>
        <v>36</v>
      </c>
      <c r="D27" s="8">
        <f t="shared" si="1"/>
        <v>7</v>
      </c>
      <c r="E27" s="8">
        <f t="shared" si="2"/>
        <v>7</v>
      </c>
      <c r="F27" s="8">
        <f t="shared" si="3"/>
        <v>49</v>
      </c>
      <c r="G27" s="5">
        <f t="shared" si="4"/>
        <v>0.16279069767441862</v>
      </c>
    </row>
    <row r="28" spans="1:7" ht="15.75" customHeight="1">
      <c r="A28" s="3">
        <v>21577</v>
      </c>
      <c r="B28" s="4">
        <v>39</v>
      </c>
      <c r="C28" s="8">
        <f t="shared" si="0"/>
        <v>37.333333333333336</v>
      </c>
      <c r="D28" s="8">
        <f t="shared" si="1"/>
        <v>1.6666666666666643</v>
      </c>
      <c r="E28" s="8">
        <f t="shared" si="2"/>
        <v>1.6666666666666643</v>
      </c>
      <c r="F28" s="8">
        <f t="shared" si="3"/>
        <v>2.7777777777777697</v>
      </c>
      <c r="G28" s="5">
        <f t="shared" si="4"/>
        <v>4.2735042735042673E-2</v>
      </c>
    </row>
    <row r="29" spans="1:7" ht="15.75" customHeight="1">
      <c r="A29" s="3">
        <v>21578</v>
      </c>
      <c r="B29" s="4">
        <v>35</v>
      </c>
      <c r="C29" s="8">
        <f t="shared" si="0"/>
        <v>39.666666666666664</v>
      </c>
      <c r="D29" s="8">
        <f t="shared" si="1"/>
        <v>-4.6666666666666643</v>
      </c>
      <c r="E29" s="8">
        <f t="shared" si="2"/>
        <v>4.6666666666666643</v>
      </c>
      <c r="F29" s="8">
        <f t="shared" si="3"/>
        <v>21.777777777777757</v>
      </c>
      <c r="G29" s="5">
        <f t="shared" si="4"/>
        <v>0.13333333333333328</v>
      </c>
    </row>
    <row r="30" spans="1:7" ht="15.75" customHeight="1">
      <c r="A30" s="3">
        <v>21579</v>
      </c>
      <c r="B30" s="4">
        <v>44</v>
      </c>
      <c r="C30" s="8">
        <f t="shared" si="0"/>
        <v>39</v>
      </c>
      <c r="D30" s="8">
        <f t="shared" si="1"/>
        <v>5</v>
      </c>
      <c r="E30" s="8">
        <f t="shared" si="2"/>
        <v>5</v>
      </c>
      <c r="F30" s="8">
        <f t="shared" si="3"/>
        <v>25</v>
      </c>
      <c r="G30" s="5">
        <f t="shared" si="4"/>
        <v>0.11363636363636363</v>
      </c>
    </row>
    <row r="31" spans="1:7" ht="15.75" customHeight="1">
      <c r="A31" s="3">
        <v>21580</v>
      </c>
      <c r="B31" s="4">
        <v>38</v>
      </c>
      <c r="C31" s="8">
        <f t="shared" si="0"/>
        <v>39.333333333333336</v>
      </c>
      <c r="D31" s="8">
        <f t="shared" si="1"/>
        <v>-1.3333333333333357</v>
      </c>
      <c r="E31" s="8">
        <f t="shared" si="2"/>
        <v>1.3333333333333357</v>
      </c>
      <c r="F31" s="8">
        <f t="shared" si="3"/>
        <v>1.7777777777777841</v>
      </c>
      <c r="G31" s="5">
        <f t="shared" si="4"/>
        <v>3.5087719298245675E-2</v>
      </c>
    </row>
    <row r="32" spans="1:7" ht="15.75" customHeight="1">
      <c r="A32" s="3">
        <v>21581</v>
      </c>
      <c r="B32" s="4">
        <v>24</v>
      </c>
      <c r="C32" s="8">
        <f t="shared" si="0"/>
        <v>39</v>
      </c>
      <c r="D32" s="8">
        <f t="shared" si="1"/>
        <v>-15</v>
      </c>
      <c r="E32" s="8">
        <f t="shared" si="2"/>
        <v>15</v>
      </c>
      <c r="F32" s="8">
        <f t="shared" si="3"/>
        <v>225</v>
      </c>
      <c r="G32" s="5">
        <f t="shared" si="4"/>
        <v>0.625</v>
      </c>
    </row>
    <row r="33" spans="1:7" ht="15.75" customHeight="1">
      <c r="A33" s="3">
        <v>21582</v>
      </c>
      <c r="B33" s="4">
        <v>23</v>
      </c>
      <c r="C33" s="8">
        <f t="shared" si="0"/>
        <v>35.333333333333336</v>
      </c>
      <c r="D33" s="8">
        <f t="shared" si="1"/>
        <v>-12.333333333333336</v>
      </c>
      <c r="E33" s="8">
        <f t="shared" si="2"/>
        <v>12.333333333333336</v>
      </c>
      <c r="F33" s="8">
        <f t="shared" si="3"/>
        <v>152.11111111111117</v>
      </c>
      <c r="G33" s="5">
        <f t="shared" si="4"/>
        <v>0.53623188405797106</v>
      </c>
    </row>
    <row r="34" spans="1:7" ht="15.75" customHeight="1">
      <c r="A34" s="3">
        <v>21583</v>
      </c>
      <c r="B34" s="4">
        <v>31</v>
      </c>
      <c r="C34" s="8">
        <f t="shared" si="0"/>
        <v>28.333333333333332</v>
      </c>
      <c r="D34" s="8">
        <f t="shared" si="1"/>
        <v>2.6666666666666679</v>
      </c>
      <c r="E34" s="8">
        <f t="shared" si="2"/>
        <v>2.6666666666666679</v>
      </c>
      <c r="F34" s="8">
        <f t="shared" si="3"/>
        <v>7.1111111111111178</v>
      </c>
      <c r="G34" s="5">
        <f t="shared" si="4"/>
        <v>8.6021505376344121E-2</v>
      </c>
    </row>
    <row r="35" spans="1:7" ht="15.75" customHeight="1">
      <c r="A35" s="3">
        <v>21584</v>
      </c>
      <c r="B35" s="4">
        <v>44</v>
      </c>
      <c r="C35" s="8">
        <f t="shared" si="0"/>
        <v>26</v>
      </c>
      <c r="D35" s="8">
        <f t="shared" si="1"/>
        <v>18</v>
      </c>
      <c r="E35" s="8">
        <f t="shared" si="2"/>
        <v>18</v>
      </c>
      <c r="F35" s="8">
        <f t="shared" si="3"/>
        <v>324</v>
      </c>
      <c r="G35" s="5">
        <f t="shared" si="4"/>
        <v>0.40909090909090912</v>
      </c>
    </row>
    <row r="36" spans="1:7" ht="15.75" customHeight="1">
      <c r="A36" s="3">
        <v>21585</v>
      </c>
      <c r="B36" s="4">
        <v>38</v>
      </c>
      <c r="C36" s="8">
        <f t="shared" si="0"/>
        <v>32.666666666666664</v>
      </c>
      <c r="D36" s="8">
        <f t="shared" si="1"/>
        <v>5.3333333333333357</v>
      </c>
      <c r="E36" s="8">
        <f t="shared" si="2"/>
        <v>5.3333333333333357</v>
      </c>
      <c r="F36" s="8">
        <f t="shared" si="3"/>
        <v>28.444444444444471</v>
      </c>
      <c r="G36" s="5">
        <f t="shared" si="4"/>
        <v>0.14035087719298253</v>
      </c>
    </row>
    <row r="37" spans="1:7" ht="15.75" customHeight="1">
      <c r="A37" s="3">
        <v>21586</v>
      </c>
      <c r="B37" s="4">
        <v>50</v>
      </c>
      <c r="C37" s="8">
        <f t="shared" si="0"/>
        <v>37.666666666666664</v>
      </c>
      <c r="D37" s="8">
        <f t="shared" si="1"/>
        <v>12.333333333333336</v>
      </c>
      <c r="E37" s="8">
        <f t="shared" si="2"/>
        <v>12.333333333333336</v>
      </c>
      <c r="F37" s="8">
        <f t="shared" si="3"/>
        <v>152.11111111111117</v>
      </c>
      <c r="G37" s="5">
        <f t="shared" si="4"/>
        <v>0.2466666666666667</v>
      </c>
    </row>
    <row r="38" spans="1:7" ht="15.75" customHeight="1">
      <c r="A38" s="3">
        <v>21587</v>
      </c>
      <c r="B38" s="4">
        <v>38</v>
      </c>
      <c r="C38" s="8">
        <f t="shared" si="0"/>
        <v>44</v>
      </c>
      <c r="D38" s="8">
        <f t="shared" si="1"/>
        <v>-6</v>
      </c>
      <c r="E38" s="8">
        <f t="shared" si="2"/>
        <v>6</v>
      </c>
      <c r="F38" s="8">
        <f t="shared" si="3"/>
        <v>36</v>
      </c>
      <c r="G38" s="5">
        <f t="shared" si="4"/>
        <v>0.15789473684210525</v>
      </c>
    </row>
    <row r="39" spans="1:7" ht="15.75" customHeight="1">
      <c r="A39" s="3">
        <v>21588</v>
      </c>
      <c r="B39" s="4">
        <v>51</v>
      </c>
      <c r="C39" s="8">
        <f t="shared" si="0"/>
        <v>42</v>
      </c>
      <c r="D39" s="8">
        <f t="shared" si="1"/>
        <v>9</v>
      </c>
      <c r="E39" s="8">
        <f t="shared" si="2"/>
        <v>9</v>
      </c>
      <c r="F39" s="8">
        <f t="shared" si="3"/>
        <v>81</v>
      </c>
      <c r="G39" s="5">
        <f t="shared" si="4"/>
        <v>0.17647058823529413</v>
      </c>
    </row>
    <row r="40" spans="1:7" ht="15.75" customHeight="1">
      <c r="A40" s="3">
        <v>21589</v>
      </c>
      <c r="B40" s="4">
        <v>31</v>
      </c>
      <c r="C40" s="8">
        <f t="shared" si="0"/>
        <v>46.333333333333336</v>
      </c>
      <c r="D40" s="8">
        <f t="shared" si="1"/>
        <v>-15.333333333333336</v>
      </c>
      <c r="E40" s="8">
        <f t="shared" si="2"/>
        <v>15.333333333333336</v>
      </c>
      <c r="F40" s="8">
        <f t="shared" si="3"/>
        <v>235.11111111111117</v>
      </c>
      <c r="G40" s="5">
        <f t="shared" si="4"/>
        <v>0.49462365591397855</v>
      </c>
    </row>
    <row r="41" spans="1:7" ht="15.75" customHeight="1">
      <c r="A41" s="3">
        <v>21590</v>
      </c>
      <c r="B41" s="4">
        <v>31</v>
      </c>
      <c r="C41" s="8">
        <f t="shared" si="0"/>
        <v>40</v>
      </c>
      <c r="D41" s="8">
        <f t="shared" si="1"/>
        <v>-9</v>
      </c>
      <c r="E41" s="8">
        <f t="shared" si="2"/>
        <v>9</v>
      </c>
      <c r="F41" s="8">
        <f t="shared" si="3"/>
        <v>81</v>
      </c>
      <c r="G41" s="5">
        <f t="shared" si="4"/>
        <v>0.29032258064516131</v>
      </c>
    </row>
    <row r="42" spans="1:7" ht="15.75" customHeight="1">
      <c r="A42" s="3">
        <v>21591</v>
      </c>
      <c r="B42" s="4">
        <v>51</v>
      </c>
      <c r="C42" s="8">
        <f t="shared" si="0"/>
        <v>37.666666666666664</v>
      </c>
      <c r="D42" s="8">
        <f t="shared" si="1"/>
        <v>13.333333333333336</v>
      </c>
      <c r="E42" s="8">
        <f t="shared" si="2"/>
        <v>13.333333333333336</v>
      </c>
      <c r="F42" s="8">
        <f t="shared" si="3"/>
        <v>177.77777777777783</v>
      </c>
      <c r="G42" s="5">
        <f t="shared" si="4"/>
        <v>0.2614379084967321</v>
      </c>
    </row>
    <row r="43" spans="1:7" ht="15.75" customHeight="1">
      <c r="A43" s="3">
        <v>21592</v>
      </c>
      <c r="B43" s="4">
        <v>36</v>
      </c>
      <c r="C43" s="8">
        <f t="shared" si="0"/>
        <v>37.666666666666664</v>
      </c>
      <c r="D43" s="8">
        <f t="shared" si="1"/>
        <v>-1.6666666666666643</v>
      </c>
      <c r="E43" s="8">
        <f t="shared" si="2"/>
        <v>1.6666666666666643</v>
      </c>
      <c r="F43" s="8">
        <f t="shared" si="3"/>
        <v>2.7777777777777697</v>
      </c>
      <c r="G43" s="5">
        <f t="shared" si="4"/>
        <v>4.6296296296296231E-2</v>
      </c>
    </row>
    <row r="44" spans="1:7" ht="15.75" customHeight="1">
      <c r="A44" s="3">
        <v>21593</v>
      </c>
      <c r="B44" s="4">
        <v>45</v>
      </c>
      <c r="C44" s="8">
        <f t="shared" si="0"/>
        <v>39.333333333333336</v>
      </c>
      <c r="D44" s="8">
        <f t="shared" si="1"/>
        <v>5.6666666666666643</v>
      </c>
      <c r="E44" s="8">
        <f t="shared" si="2"/>
        <v>5.6666666666666643</v>
      </c>
      <c r="F44" s="8">
        <f t="shared" si="3"/>
        <v>32.111111111111086</v>
      </c>
      <c r="G44" s="5">
        <f t="shared" si="4"/>
        <v>0.12592592592592589</v>
      </c>
    </row>
    <row r="45" spans="1:7" ht="15.75" customHeight="1">
      <c r="A45" s="3">
        <v>21594</v>
      </c>
      <c r="B45" s="4">
        <v>51</v>
      </c>
      <c r="C45" s="8">
        <f t="shared" si="0"/>
        <v>44</v>
      </c>
      <c r="D45" s="8">
        <f t="shared" si="1"/>
        <v>7</v>
      </c>
      <c r="E45" s="8">
        <f t="shared" si="2"/>
        <v>7</v>
      </c>
      <c r="F45" s="8">
        <f t="shared" si="3"/>
        <v>49</v>
      </c>
      <c r="G45" s="5">
        <f t="shared" si="4"/>
        <v>0.13725490196078433</v>
      </c>
    </row>
    <row r="46" spans="1:7" ht="15.75" customHeight="1">
      <c r="A46" s="3">
        <v>21595</v>
      </c>
      <c r="B46" s="4">
        <v>34</v>
      </c>
      <c r="C46" s="8">
        <f t="shared" si="0"/>
        <v>44</v>
      </c>
      <c r="D46" s="8">
        <f t="shared" si="1"/>
        <v>-10</v>
      </c>
      <c r="E46" s="8">
        <f t="shared" si="2"/>
        <v>10</v>
      </c>
      <c r="F46" s="8">
        <f t="shared" si="3"/>
        <v>100</v>
      </c>
      <c r="G46" s="5">
        <f t="shared" si="4"/>
        <v>0.29411764705882354</v>
      </c>
    </row>
    <row r="47" spans="1:7" ht="15.75" customHeight="1">
      <c r="A47" s="3">
        <v>21596</v>
      </c>
      <c r="B47" s="4">
        <v>52</v>
      </c>
      <c r="C47" s="8">
        <f t="shared" si="0"/>
        <v>43.333333333333336</v>
      </c>
      <c r="D47" s="8">
        <f t="shared" si="1"/>
        <v>8.6666666666666643</v>
      </c>
      <c r="E47" s="8">
        <f t="shared" si="2"/>
        <v>8.6666666666666643</v>
      </c>
      <c r="F47" s="8">
        <f t="shared" si="3"/>
        <v>75.111111111111072</v>
      </c>
      <c r="G47" s="5">
        <f t="shared" si="4"/>
        <v>0.16666666666666663</v>
      </c>
    </row>
    <row r="48" spans="1:7" ht="15.75" customHeight="1">
      <c r="A48" s="3">
        <v>21597</v>
      </c>
      <c r="B48" s="4">
        <v>47</v>
      </c>
      <c r="C48" s="8">
        <f t="shared" si="0"/>
        <v>45.666666666666664</v>
      </c>
      <c r="D48" s="8">
        <f t="shared" si="1"/>
        <v>1.3333333333333357</v>
      </c>
      <c r="E48" s="8">
        <f t="shared" si="2"/>
        <v>1.3333333333333357</v>
      </c>
      <c r="F48" s="8">
        <f t="shared" si="3"/>
        <v>1.7777777777777841</v>
      </c>
      <c r="G48" s="5">
        <f t="shared" si="4"/>
        <v>2.8368794326241186E-2</v>
      </c>
    </row>
    <row r="49" spans="1:7" ht="15.75" customHeight="1">
      <c r="A49" s="3">
        <v>21598</v>
      </c>
      <c r="B49" s="4">
        <v>45</v>
      </c>
      <c r="C49" s="8">
        <f t="shared" si="0"/>
        <v>44.333333333333336</v>
      </c>
      <c r="D49" s="8">
        <f t="shared" si="1"/>
        <v>0.6666666666666643</v>
      </c>
      <c r="E49" s="8">
        <f t="shared" si="2"/>
        <v>0.6666666666666643</v>
      </c>
      <c r="F49" s="8">
        <f t="shared" si="3"/>
        <v>0.44444444444444131</v>
      </c>
      <c r="G49" s="5">
        <f t="shared" si="4"/>
        <v>1.4814814814814762E-2</v>
      </c>
    </row>
    <row r="50" spans="1:7" ht="15.75" customHeight="1">
      <c r="A50" s="3">
        <v>21599</v>
      </c>
      <c r="B50" s="4">
        <v>46</v>
      </c>
      <c r="C50" s="8">
        <f t="shared" si="0"/>
        <v>48</v>
      </c>
      <c r="D50" s="8">
        <f t="shared" si="1"/>
        <v>-2</v>
      </c>
      <c r="E50" s="8">
        <f t="shared" si="2"/>
        <v>2</v>
      </c>
      <c r="F50" s="8">
        <f t="shared" si="3"/>
        <v>4</v>
      </c>
      <c r="G50" s="5">
        <f t="shared" si="4"/>
        <v>4.3478260869565216E-2</v>
      </c>
    </row>
    <row r="51" spans="1:7" ht="15.75" customHeight="1">
      <c r="A51" s="3">
        <v>21600</v>
      </c>
      <c r="B51" s="4">
        <v>39</v>
      </c>
      <c r="C51" s="8">
        <f t="shared" si="0"/>
        <v>46</v>
      </c>
      <c r="D51" s="8">
        <f t="shared" si="1"/>
        <v>-7</v>
      </c>
      <c r="E51" s="8">
        <f t="shared" si="2"/>
        <v>7</v>
      </c>
      <c r="F51" s="8">
        <f t="shared" si="3"/>
        <v>49</v>
      </c>
      <c r="G51" s="5">
        <f t="shared" si="4"/>
        <v>0.17948717948717949</v>
      </c>
    </row>
    <row r="52" spans="1:7" ht="15.75" customHeight="1">
      <c r="A52" s="3">
        <v>21601</v>
      </c>
      <c r="B52" s="4">
        <v>48</v>
      </c>
      <c r="C52" s="8">
        <f t="shared" si="0"/>
        <v>43.333333333333336</v>
      </c>
      <c r="D52" s="8">
        <f t="shared" si="1"/>
        <v>4.6666666666666643</v>
      </c>
      <c r="E52" s="8">
        <f t="shared" si="2"/>
        <v>4.6666666666666643</v>
      </c>
      <c r="F52" s="8">
        <f t="shared" si="3"/>
        <v>21.777777777777757</v>
      </c>
      <c r="G52" s="5">
        <f t="shared" si="4"/>
        <v>9.7222222222222168E-2</v>
      </c>
    </row>
    <row r="53" spans="1:7" ht="15.75" customHeight="1">
      <c r="A53" s="3">
        <v>21602</v>
      </c>
      <c r="B53" s="4">
        <v>37</v>
      </c>
      <c r="C53" s="8">
        <f t="shared" si="0"/>
        <v>44.333333333333336</v>
      </c>
      <c r="D53" s="8">
        <f t="shared" si="1"/>
        <v>-7.3333333333333357</v>
      </c>
      <c r="E53" s="8">
        <f t="shared" si="2"/>
        <v>7.3333333333333357</v>
      </c>
      <c r="F53" s="8">
        <f t="shared" si="3"/>
        <v>53.777777777777814</v>
      </c>
      <c r="G53" s="5">
        <f t="shared" si="4"/>
        <v>0.19819819819819826</v>
      </c>
    </row>
    <row r="54" spans="1:7" ht="15.75" customHeight="1">
      <c r="A54" s="3">
        <v>21603</v>
      </c>
      <c r="B54" s="4">
        <v>35</v>
      </c>
      <c r="C54" s="8">
        <f t="shared" si="0"/>
        <v>41.333333333333336</v>
      </c>
      <c r="D54" s="8">
        <f t="shared" si="1"/>
        <v>-6.3333333333333357</v>
      </c>
      <c r="E54" s="8">
        <f t="shared" si="2"/>
        <v>6.3333333333333357</v>
      </c>
      <c r="F54" s="8">
        <f t="shared" si="3"/>
        <v>40.111111111111143</v>
      </c>
      <c r="G54" s="5">
        <f t="shared" si="4"/>
        <v>0.18095238095238103</v>
      </c>
    </row>
    <row r="55" spans="1:7" ht="15.75" customHeight="1">
      <c r="A55" s="3">
        <v>21604</v>
      </c>
      <c r="B55" s="4">
        <v>52</v>
      </c>
      <c r="C55" s="8">
        <f t="shared" si="0"/>
        <v>40</v>
      </c>
      <c r="D55" s="8">
        <f t="shared" si="1"/>
        <v>12</v>
      </c>
      <c r="E55" s="8">
        <f t="shared" si="2"/>
        <v>12</v>
      </c>
      <c r="F55" s="8">
        <f t="shared" si="3"/>
        <v>144</v>
      </c>
      <c r="G55" s="5">
        <f t="shared" si="4"/>
        <v>0.23076923076923078</v>
      </c>
    </row>
    <row r="56" spans="1:7" ht="15.75" customHeight="1">
      <c r="A56" s="3">
        <v>21605</v>
      </c>
      <c r="B56" s="4">
        <v>42</v>
      </c>
      <c r="C56" s="8">
        <f t="shared" si="0"/>
        <v>41.333333333333336</v>
      </c>
      <c r="D56" s="8">
        <f t="shared" si="1"/>
        <v>0.6666666666666643</v>
      </c>
      <c r="E56" s="8">
        <f t="shared" si="2"/>
        <v>0.6666666666666643</v>
      </c>
      <c r="F56" s="8">
        <f t="shared" si="3"/>
        <v>0.44444444444444131</v>
      </c>
      <c r="G56" s="5">
        <f t="shared" si="4"/>
        <v>1.5873015873015817E-2</v>
      </c>
    </row>
    <row r="57" spans="1:7" ht="15.75" customHeight="1">
      <c r="A57" s="3">
        <v>21606</v>
      </c>
      <c r="B57" s="4">
        <v>45</v>
      </c>
      <c r="C57" s="8">
        <f t="shared" si="0"/>
        <v>43</v>
      </c>
      <c r="D57" s="8">
        <f t="shared" si="1"/>
        <v>2</v>
      </c>
      <c r="E57" s="8">
        <f t="shared" si="2"/>
        <v>2</v>
      </c>
      <c r="F57" s="8">
        <f t="shared" si="3"/>
        <v>4</v>
      </c>
      <c r="G57" s="5">
        <f t="shared" si="4"/>
        <v>4.4444444444444446E-2</v>
      </c>
    </row>
    <row r="58" spans="1:7" ht="15.75" customHeight="1">
      <c r="A58" s="3">
        <v>21607</v>
      </c>
      <c r="B58" s="4">
        <v>39</v>
      </c>
      <c r="C58" s="8">
        <f t="shared" si="0"/>
        <v>46.333333333333336</v>
      </c>
      <c r="D58" s="8">
        <f t="shared" si="1"/>
        <v>-7.3333333333333357</v>
      </c>
      <c r="E58" s="8">
        <f t="shared" si="2"/>
        <v>7.3333333333333357</v>
      </c>
      <c r="F58" s="8">
        <f t="shared" si="3"/>
        <v>53.777777777777814</v>
      </c>
      <c r="G58" s="5">
        <f t="shared" si="4"/>
        <v>0.18803418803418809</v>
      </c>
    </row>
    <row r="59" spans="1:7" ht="15.75" customHeight="1">
      <c r="A59" s="3">
        <v>21608</v>
      </c>
      <c r="B59" s="4">
        <v>37</v>
      </c>
      <c r="C59" s="8">
        <f t="shared" si="0"/>
        <v>42</v>
      </c>
      <c r="D59" s="8">
        <f t="shared" si="1"/>
        <v>-5</v>
      </c>
      <c r="E59" s="8">
        <f t="shared" si="2"/>
        <v>5</v>
      </c>
      <c r="F59" s="8">
        <f t="shared" si="3"/>
        <v>25</v>
      </c>
      <c r="G59" s="5">
        <f t="shared" si="4"/>
        <v>0.13513513513513514</v>
      </c>
    </row>
    <row r="60" spans="1:7" ht="15.75" customHeight="1">
      <c r="A60" s="3">
        <v>21609</v>
      </c>
      <c r="B60" s="4">
        <v>30</v>
      </c>
      <c r="C60" s="8">
        <f t="shared" si="0"/>
        <v>40.333333333333336</v>
      </c>
      <c r="D60" s="8">
        <f t="shared" si="1"/>
        <v>-10.333333333333336</v>
      </c>
      <c r="E60" s="8">
        <f t="shared" si="2"/>
        <v>10.333333333333336</v>
      </c>
      <c r="F60" s="8">
        <f t="shared" si="3"/>
        <v>106.77777777777783</v>
      </c>
      <c r="G60" s="5">
        <f t="shared" si="4"/>
        <v>0.3444444444444445</v>
      </c>
    </row>
    <row r="61" spans="1:7" ht="15.75" customHeight="1">
      <c r="A61" s="3">
        <v>21610</v>
      </c>
      <c r="B61" s="4">
        <v>35</v>
      </c>
      <c r="C61" s="8">
        <f t="shared" si="0"/>
        <v>35.333333333333336</v>
      </c>
      <c r="D61" s="8">
        <f t="shared" si="1"/>
        <v>-0.3333333333333357</v>
      </c>
      <c r="E61" s="8">
        <f t="shared" si="2"/>
        <v>0.3333333333333357</v>
      </c>
      <c r="F61" s="8">
        <f t="shared" si="3"/>
        <v>0.11111111111111269</v>
      </c>
      <c r="G61" s="5">
        <f t="shared" si="4"/>
        <v>9.5238095238095923E-3</v>
      </c>
    </row>
    <row r="62" spans="1:7" ht="15.75" customHeight="1">
      <c r="A62" s="3">
        <v>21611</v>
      </c>
      <c r="B62" s="4">
        <v>28</v>
      </c>
      <c r="C62" s="8">
        <f t="shared" si="0"/>
        <v>34</v>
      </c>
      <c r="D62" s="8">
        <f t="shared" si="1"/>
        <v>-6</v>
      </c>
      <c r="E62" s="8">
        <f t="shared" si="2"/>
        <v>6</v>
      </c>
      <c r="F62" s="8">
        <f t="shared" si="3"/>
        <v>36</v>
      </c>
      <c r="G62" s="5">
        <f t="shared" si="4"/>
        <v>0.21428571428571427</v>
      </c>
    </row>
    <row r="63" spans="1:7" ht="15.75" customHeight="1">
      <c r="A63" s="3">
        <v>21612</v>
      </c>
      <c r="B63" s="4">
        <v>45</v>
      </c>
      <c r="C63" s="8">
        <f t="shared" si="0"/>
        <v>31</v>
      </c>
      <c r="D63" s="8">
        <f t="shared" si="1"/>
        <v>14</v>
      </c>
      <c r="E63" s="8">
        <f t="shared" si="2"/>
        <v>14</v>
      </c>
      <c r="F63" s="8">
        <f t="shared" si="3"/>
        <v>196</v>
      </c>
      <c r="G63" s="5">
        <f t="shared" si="4"/>
        <v>0.31111111111111112</v>
      </c>
    </row>
    <row r="64" spans="1:7" ht="15.75" customHeight="1">
      <c r="A64" s="3">
        <v>21613</v>
      </c>
      <c r="B64" s="4">
        <v>34</v>
      </c>
      <c r="C64" s="8">
        <f t="shared" si="0"/>
        <v>36</v>
      </c>
      <c r="D64" s="8">
        <f t="shared" si="1"/>
        <v>-2</v>
      </c>
      <c r="E64" s="8">
        <f t="shared" si="2"/>
        <v>2</v>
      </c>
      <c r="F64" s="8">
        <f t="shared" si="3"/>
        <v>4</v>
      </c>
      <c r="G64" s="5">
        <f t="shared" si="4"/>
        <v>5.8823529411764705E-2</v>
      </c>
    </row>
    <row r="65" spans="1:7" ht="15.75" customHeight="1">
      <c r="A65" s="3">
        <v>21614</v>
      </c>
      <c r="B65" s="4">
        <v>36</v>
      </c>
      <c r="C65" s="8">
        <f t="shared" si="0"/>
        <v>35.666666666666664</v>
      </c>
      <c r="D65" s="8">
        <f t="shared" si="1"/>
        <v>0.3333333333333357</v>
      </c>
      <c r="E65" s="8">
        <f t="shared" si="2"/>
        <v>0.3333333333333357</v>
      </c>
      <c r="F65" s="8">
        <f t="shared" si="3"/>
        <v>0.11111111111111269</v>
      </c>
      <c r="G65" s="5">
        <f t="shared" si="4"/>
        <v>9.2592592592593247E-3</v>
      </c>
    </row>
    <row r="66" spans="1:7" ht="15.75" customHeight="1">
      <c r="A66" s="3">
        <v>21615</v>
      </c>
      <c r="B66" s="4">
        <v>50</v>
      </c>
      <c r="C66" s="8">
        <f t="shared" si="0"/>
        <v>38.333333333333336</v>
      </c>
      <c r="D66" s="8">
        <f t="shared" si="1"/>
        <v>11.666666666666664</v>
      </c>
      <c r="E66" s="8">
        <f t="shared" si="2"/>
        <v>11.666666666666664</v>
      </c>
      <c r="F66" s="8">
        <f t="shared" si="3"/>
        <v>136.11111111111106</v>
      </c>
      <c r="G66" s="5">
        <f t="shared" si="4"/>
        <v>0.23333333333333328</v>
      </c>
    </row>
    <row r="67" spans="1:7" ht="15.75" customHeight="1">
      <c r="A67" s="3">
        <v>21616</v>
      </c>
      <c r="B67" s="4">
        <v>44</v>
      </c>
      <c r="C67" s="8">
        <f t="shared" si="0"/>
        <v>40</v>
      </c>
      <c r="D67" s="8">
        <f t="shared" si="1"/>
        <v>4</v>
      </c>
      <c r="E67" s="8">
        <f t="shared" si="2"/>
        <v>4</v>
      </c>
      <c r="F67" s="8">
        <f t="shared" si="3"/>
        <v>16</v>
      </c>
      <c r="G67" s="5">
        <f t="shared" si="4"/>
        <v>9.0909090909090912E-2</v>
      </c>
    </row>
    <row r="68" spans="1:7" ht="15.75" customHeight="1">
      <c r="A68" s="3">
        <v>21617</v>
      </c>
      <c r="B68" s="4">
        <v>39</v>
      </c>
      <c r="C68" s="8">
        <f t="shared" si="0"/>
        <v>43.333333333333336</v>
      </c>
      <c r="D68" s="8">
        <f t="shared" si="1"/>
        <v>-4.3333333333333357</v>
      </c>
      <c r="E68" s="8">
        <f t="shared" si="2"/>
        <v>4.3333333333333357</v>
      </c>
      <c r="F68" s="8">
        <f t="shared" si="3"/>
        <v>18.7777777777778</v>
      </c>
      <c r="G68" s="5">
        <f t="shared" si="4"/>
        <v>0.11111111111111117</v>
      </c>
    </row>
    <row r="69" spans="1:7" ht="15.75" customHeight="1">
      <c r="A69" s="3">
        <v>21618</v>
      </c>
      <c r="B69" s="4">
        <v>32</v>
      </c>
      <c r="C69" s="8">
        <f t="shared" si="0"/>
        <v>44.333333333333336</v>
      </c>
      <c r="D69" s="8">
        <f t="shared" si="1"/>
        <v>-12.333333333333336</v>
      </c>
      <c r="E69" s="8">
        <f t="shared" si="2"/>
        <v>12.333333333333336</v>
      </c>
      <c r="F69" s="8">
        <f t="shared" si="3"/>
        <v>152.11111111111117</v>
      </c>
      <c r="G69" s="5">
        <f t="shared" si="4"/>
        <v>0.38541666666666674</v>
      </c>
    </row>
    <row r="70" spans="1:7" ht="15.75" customHeight="1">
      <c r="A70" s="3">
        <v>21619</v>
      </c>
      <c r="B70" s="4">
        <v>39</v>
      </c>
      <c r="C70" s="8">
        <f t="shared" ref="C70:C133" si="5">AVERAGE(B67:B69)</f>
        <v>38.333333333333336</v>
      </c>
      <c r="D70" s="8">
        <f t="shared" ref="D70:D133" si="6">B70-C70</f>
        <v>0.6666666666666643</v>
      </c>
      <c r="E70" s="8">
        <f t="shared" ref="E70:E133" si="7">ABS(D70)</f>
        <v>0.6666666666666643</v>
      </c>
      <c r="F70" s="8">
        <f t="shared" ref="F70:F133" si="8">E70^2</f>
        <v>0.44444444444444131</v>
      </c>
      <c r="G70" s="5">
        <f t="shared" ref="G70:G133" si="9">E70/B70</f>
        <v>1.7094017094017033E-2</v>
      </c>
    </row>
    <row r="71" spans="1:7" ht="15.75" customHeight="1">
      <c r="A71" s="3">
        <v>21620</v>
      </c>
      <c r="B71" s="4">
        <v>45</v>
      </c>
      <c r="C71" s="8">
        <f t="shared" si="5"/>
        <v>36.666666666666664</v>
      </c>
      <c r="D71" s="8">
        <f t="shared" si="6"/>
        <v>8.3333333333333357</v>
      </c>
      <c r="E71" s="8">
        <f t="shared" si="7"/>
        <v>8.3333333333333357</v>
      </c>
      <c r="F71" s="8">
        <f t="shared" si="8"/>
        <v>69.444444444444485</v>
      </c>
      <c r="G71" s="5">
        <f t="shared" si="9"/>
        <v>0.18518518518518523</v>
      </c>
    </row>
    <row r="72" spans="1:7" ht="15.75" customHeight="1">
      <c r="A72" s="3">
        <v>21621</v>
      </c>
      <c r="B72" s="4">
        <v>43</v>
      </c>
      <c r="C72" s="8">
        <f t="shared" si="5"/>
        <v>38.666666666666664</v>
      </c>
      <c r="D72" s="8">
        <f t="shared" si="6"/>
        <v>4.3333333333333357</v>
      </c>
      <c r="E72" s="8">
        <f t="shared" si="7"/>
        <v>4.3333333333333357</v>
      </c>
      <c r="F72" s="8">
        <f t="shared" si="8"/>
        <v>18.7777777777778</v>
      </c>
      <c r="G72" s="5">
        <f t="shared" si="9"/>
        <v>0.10077519379844967</v>
      </c>
    </row>
    <row r="73" spans="1:7" ht="15.75" customHeight="1">
      <c r="A73" s="3">
        <v>21622</v>
      </c>
      <c r="B73" s="4">
        <v>39</v>
      </c>
      <c r="C73" s="8">
        <f t="shared" si="5"/>
        <v>42.333333333333336</v>
      </c>
      <c r="D73" s="8">
        <f t="shared" si="6"/>
        <v>-3.3333333333333357</v>
      </c>
      <c r="E73" s="8">
        <f t="shared" si="7"/>
        <v>3.3333333333333357</v>
      </c>
      <c r="F73" s="8">
        <f t="shared" si="8"/>
        <v>11.111111111111127</v>
      </c>
      <c r="G73" s="5">
        <f t="shared" si="9"/>
        <v>8.5470085470085527E-2</v>
      </c>
    </row>
    <row r="74" spans="1:7" ht="15.75" customHeight="1">
      <c r="A74" s="3">
        <v>21623</v>
      </c>
      <c r="B74" s="4">
        <v>31</v>
      </c>
      <c r="C74" s="8">
        <f t="shared" si="5"/>
        <v>42.333333333333336</v>
      </c>
      <c r="D74" s="8">
        <f t="shared" si="6"/>
        <v>-11.333333333333336</v>
      </c>
      <c r="E74" s="8">
        <f t="shared" si="7"/>
        <v>11.333333333333336</v>
      </c>
      <c r="F74" s="8">
        <f t="shared" si="8"/>
        <v>128.44444444444449</v>
      </c>
      <c r="G74" s="5">
        <f t="shared" si="9"/>
        <v>0.36559139784946243</v>
      </c>
    </row>
    <row r="75" spans="1:7" ht="15.75" customHeight="1">
      <c r="A75" s="3">
        <v>21624</v>
      </c>
      <c r="B75" s="4">
        <v>27</v>
      </c>
      <c r="C75" s="8">
        <f t="shared" si="5"/>
        <v>37.666666666666664</v>
      </c>
      <c r="D75" s="8">
        <f t="shared" si="6"/>
        <v>-10.666666666666664</v>
      </c>
      <c r="E75" s="8">
        <f t="shared" si="7"/>
        <v>10.666666666666664</v>
      </c>
      <c r="F75" s="8">
        <f t="shared" si="8"/>
        <v>113.77777777777773</v>
      </c>
      <c r="G75" s="5">
        <f t="shared" si="9"/>
        <v>0.39506172839506165</v>
      </c>
    </row>
    <row r="76" spans="1:7" ht="15.75" customHeight="1">
      <c r="A76" s="3">
        <v>21625</v>
      </c>
      <c r="B76" s="4">
        <v>30</v>
      </c>
      <c r="C76" s="8">
        <f t="shared" si="5"/>
        <v>32.333333333333336</v>
      </c>
      <c r="D76" s="8">
        <f t="shared" si="6"/>
        <v>-2.3333333333333357</v>
      </c>
      <c r="E76" s="8">
        <f t="shared" si="7"/>
        <v>2.3333333333333357</v>
      </c>
      <c r="F76" s="8">
        <f t="shared" si="8"/>
        <v>5.4444444444444553</v>
      </c>
      <c r="G76" s="5">
        <f t="shared" si="9"/>
        <v>7.7777777777777862E-2</v>
      </c>
    </row>
    <row r="77" spans="1:7" ht="15.75" customHeight="1">
      <c r="A77" s="3">
        <v>21626</v>
      </c>
      <c r="B77" s="4">
        <v>42</v>
      </c>
      <c r="C77" s="8">
        <f t="shared" si="5"/>
        <v>29.333333333333332</v>
      </c>
      <c r="D77" s="8">
        <f t="shared" si="6"/>
        <v>12.666666666666668</v>
      </c>
      <c r="E77" s="8">
        <f t="shared" si="7"/>
        <v>12.666666666666668</v>
      </c>
      <c r="F77" s="8">
        <f t="shared" si="8"/>
        <v>160.44444444444449</v>
      </c>
      <c r="G77" s="5">
        <f t="shared" si="9"/>
        <v>0.30158730158730163</v>
      </c>
    </row>
    <row r="78" spans="1:7" ht="15.75" customHeight="1">
      <c r="A78" s="3">
        <v>21627</v>
      </c>
      <c r="B78" s="4">
        <v>46</v>
      </c>
      <c r="C78" s="8">
        <f t="shared" si="5"/>
        <v>33</v>
      </c>
      <c r="D78" s="8">
        <f t="shared" si="6"/>
        <v>13</v>
      </c>
      <c r="E78" s="8">
        <f t="shared" si="7"/>
        <v>13</v>
      </c>
      <c r="F78" s="8">
        <f t="shared" si="8"/>
        <v>169</v>
      </c>
      <c r="G78" s="5">
        <f t="shared" si="9"/>
        <v>0.28260869565217389</v>
      </c>
    </row>
    <row r="79" spans="1:7" ht="15.75" customHeight="1">
      <c r="A79" s="3">
        <v>21628</v>
      </c>
      <c r="B79" s="4">
        <v>41</v>
      </c>
      <c r="C79" s="8">
        <f t="shared" si="5"/>
        <v>39.333333333333336</v>
      </c>
      <c r="D79" s="8">
        <f t="shared" si="6"/>
        <v>1.6666666666666643</v>
      </c>
      <c r="E79" s="8">
        <f t="shared" si="7"/>
        <v>1.6666666666666643</v>
      </c>
      <c r="F79" s="8">
        <f t="shared" si="8"/>
        <v>2.7777777777777697</v>
      </c>
      <c r="G79" s="5">
        <f t="shared" si="9"/>
        <v>4.0650406504064984E-2</v>
      </c>
    </row>
    <row r="80" spans="1:7" ht="15.75" customHeight="1">
      <c r="A80" s="3">
        <v>21629</v>
      </c>
      <c r="B80" s="4">
        <v>36</v>
      </c>
      <c r="C80" s="8">
        <f t="shared" si="5"/>
        <v>43</v>
      </c>
      <c r="D80" s="8">
        <f t="shared" si="6"/>
        <v>-7</v>
      </c>
      <c r="E80" s="8">
        <f t="shared" si="7"/>
        <v>7</v>
      </c>
      <c r="F80" s="8">
        <f t="shared" si="8"/>
        <v>49</v>
      </c>
      <c r="G80" s="5">
        <f t="shared" si="9"/>
        <v>0.19444444444444445</v>
      </c>
    </row>
    <row r="81" spans="1:7" ht="15.75" customHeight="1">
      <c r="A81" s="3">
        <v>21630</v>
      </c>
      <c r="B81" s="4">
        <v>45</v>
      </c>
      <c r="C81" s="8">
        <f t="shared" si="5"/>
        <v>41</v>
      </c>
      <c r="D81" s="8">
        <f t="shared" si="6"/>
        <v>4</v>
      </c>
      <c r="E81" s="8">
        <f t="shared" si="7"/>
        <v>4</v>
      </c>
      <c r="F81" s="8">
        <f t="shared" si="8"/>
        <v>16</v>
      </c>
      <c r="G81" s="5">
        <f t="shared" si="9"/>
        <v>8.8888888888888892E-2</v>
      </c>
    </row>
    <row r="82" spans="1:7" ht="15.75" customHeight="1">
      <c r="A82" s="3">
        <v>21631</v>
      </c>
      <c r="B82" s="4">
        <v>46</v>
      </c>
      <c r="C82" s="8">
        <f t="shared" si="5"/>
        <v>40.666666666666664</v>
      </c>
      <c r="D82" s="8">
        <f t="shared" si="6"/>
        <v>5.3333333333333357</v>
      </c>
      <c r="E82" s="8">
        <f t="shared" si="7"/>
        <v>5.3333333333333357</v>
      </c>
      <c r="F82" s="8">
        <f t="shared" si="8"/>
        <v>28.444444444444471</v>
      </c>
      <c r="G82" s="5">
        <f t="shared" si="9"/>
        <v>0.1159420289855073</v>
      </c>
    </row>
    <row r="83" spans="1:7" ht="15.75" customHeight="1">
      <c r="A83" s="3">
        <v>21632</v>
      </c>
      <c r="B83" s="4">
        <v>43</v>
      </c>
      <c r="C83" s="8">
        <f t="shared" si="5"/>
        <v>42.333333333333336</v>
      </c>
      <c r="D83" s="8">
        <f t="shared" si="6"/>
        <v>0.6666666666666643</v>
      </c>
      <c r="E83" s="8">
        <f t="shared" si="7"/>
        <v>0.6666666666666643</v>
      </c>
      <c r="F83" s="8">
        <f t="shared" si="8"/>
        <v>0.44444444444444131</v>
      </c>
      <c r="G83" s="5">
        <f t="shared" si="9"/>
        <v>1.5503875968992192E-2</v>
      </c>
    </row>
    <row r="84" spans="1:7" ht="15.75" customHeight="1">
      <c r="A84" s="3">
        <v>21633</v>
      </c>
      <c r="B84" s="4">
        <v>38</v>
      </c>
      <c r="C84" s="8">
        <f t="shared" si="5"/>
        <v>44.666666666666664</v>
      </c>
      <c r="D84" s="8">
        <f t="shared" si="6"/>
        <v>-6.6666666666666643</v>
      </c>
      <c r="E84" s="8">
        <f t="shared" si="7"/>
        <v>6.6666666666666643</v>
      </c>
      <c r="F84" s="8">
        <f t="shared" si="8"/>
        <v>44.444444444444414</v>
      </c>
      <c r="G84" s="5">
        <f t="shared" si="9"/>
        <v>0.175438596491228</v>
      </c>
    </row>
    <row r="85" spans="1:7" ht="15.75" customHeight="1">
      <c r="A85" s="3">
        <v>21634</v>
      </c>
      <c r="B85" s="4">
        <v>34</v>
      </c>
      <c r="C85" s="8">
        <f t="shared" si="5"/>
        <v>42.333333333333336</v>
      </c>
      <c r="D85" s="8">
        <f t="shared" si="6"/>
        <v>-8.3333333333333357</v>
      </c>
      <c r="E85" s="8">
        <f t="shared" si="7"/>
        <v>8.3333333333333357</v>
      </c>
      <c r="F85" s="8">
        <f t="shared" si="8"/>
        <v>69.444444444444485</v>
      </c>
      <c r="G85" s="5">
        <f t="shared" si="9"/>
        <v>0.24509803921568635</v>
      </c>
    </row>
    <row r="86" spans="1:7" ht="15.75" customHeight="1">
      <c r="A86" s="3">
        <v>21635</v>
      </c>
      <c r="B86" s="4">
        <v>35</v>
      </c>
      <c r="C86" s="8">
        <f t="shared" si="5"/>
        <v>38.333333333333336</v>
      </c>
      <c r="D86" s="8">
        <f t="shared" si="6"/>
        <v>-3.3333333333333357</v>
      </c>
      <c r="E86" s="8">
        <f t="shared" si="7"/>
        <v>3.3333333333333357</v>
      </c>
      <c r="F86" s="8">
        <f t="shared" si="8"/>
        <v>11.111111111111127</v>
      </c>
      <c r="G86" s="5">
        <f t="shared" si="9"/>
        <v>9.5238095238095302E-2</v>
      </c>
    </row>
    <row r="87" spans="1:7" ht="15.75" customHeight="1">
      <c r="A87" s="3">
        <v>21636</v>
      </c>
      <c r="B87" s="4">
        <v>56</v>
      </c>
      <c r="C87" s="8">
        <f t="shared" si="5"/>
        <v>35.666666666666664</v>
      </c>
      <c r="D87" s="8">
        <f t="shared" si="6"/>
        <v>20.333333333333336</v>
      </c>
      <c r="E87" s="8">
        <f t="shared" si="7"/>
        <v>20.333333333333336</v>
      </c>
      <c r="F87" s="8">
        <f t="shared" si="8"/>
        <v>413.44444444444451</v>
      </c>
      <c r="G87" s="5">
        <f t="shared" si="9"/>
        <v>0.36309523809523814</v>
      </c>
    </row>
    <row r="88" spans="1:7" ht="15.75" customHeight="1">
      <c r="A88" s="3">
        <v>21637</v>
      </c>
      <c r="B88" s="4">
        <v>36</v>
      </c>
      <c r="C88" s="8">
        <f t="shared" si="5"/>
        <v>41.666666666666664</v>
      </c>
      <c r="D88" s="8">
        <f t="shared" si="6"/>
        <v>-5.6666666666666643</v>
      </c>
      <c r="E88" s="8">
        <f t="shared" si="7"/>
        <v>5.6666666666666643</v>
      </c>
      <c r="F88" s="8">
        <f t="shared" si="8"/>
        <v>32.111111111111086</v>
      </c>
      <c r="G88" s="5">
        <f t="shared" si="9"/>
        <v>0.15740740740740733</v>
      </c>
    </row>
    <row r="89" spans="1:7" ht="15.75" customHeight="1">
      <c r="A89" s="3">
        <v>21638</v>
      </c>
      <c r="B89" s="4">
        <v>32</v>
      </c>
      <c r="C89" s="8">
        <f t="shared" si="5"/>
        <v>42.333333333333336</v>
      </c>
      <c r="D89" s="8">
        <f t="shared" si="6"/>
        <v>-10.333333333333336</v>
      </c>
      <c r="E89" s="8">
        <f t="shared" si="7"/>
        <v>10.333333333333336</v>
      </c>
      <c r="F89" s="8">
        <f t="shared" si="8"/>
        <v>106.77777777777783</v>
      </c>
      <c r="G89" s="5">
        <f t="shared" si="9"/>
        <v>0.32291666666666674</v>
      </c>
    </row>
    <row r="90" spans="1:7" ht="15.75" customHeight="1">
      <c r="A90" s="3">
        <v>21639</v>
      </c>
      <c r="B90" s="4">
        <v>50</v>
      </c>
      <c r="C90" s="8">
        <f t="shared" si="5"/>
        <v>41.333333333333336</v>
      </c>
      <c r="D90" s="8">
        <f t="shared" si="6"/>
        <v>8.6666666666666643</v>
      </c>
      <c r="E90" s="8">
        <f t="shared" si="7"/>
        <v>8.6666666666666643</v>
      </c>
      <c r="F90" s="8">
        <f t="shared" si="8"/>
        <v>75.111111111111072</v>
      </c>
      <c r="G90" s="5">
        <f t="shared" si="9"/>
        <v>0.17333333333333328</v>
      </c>
    </row>
    <row r="91" spans="1:7" ht="15.75" customHeight="1">
      <c r="A91" s="3">
        <v>21640</v>
      </c>
      <c r="B91" s="4">
        <v>41</v>
      </c>
      <c r="C91" s="8">
        <f t="shared" si="5"/>
        <v>39.333333333333336</v>
      </c>
      <c r="D91" s="8">
        <f t="shared" si="6"/>
        <v>1.6666666666666643</v>
      </c>
      <c r="E91" s="8">
        <f t="shared" si="7"/>
        <v>1.6666666666666643</v>
      </c>
      <c r="F91" s="8">
        <f t="shared" si="8"/>
        <v>2.7777777777777697</v>
      </c>
      <c r="G91" s="5">
        <f t="shared" si="9"/>
        <v>4.0650406504064984E-2</v>
      </c>
    </row>
    <row r="92" spans="1:7" ht="15.75" customHeight="1">
      <c r="A92" s="3">
        <v>21641</v>
      </c>
      <c r="B92" s="4">
        <v>39</v>
      </c>
      <c r="C92" s="8">
        <f t="shared" si="5"/>
        <v>41</v>
      </c>
      <c r="D92" s="8">
        <f t="shared" si="6"/>
        <v>-2</v>
      </c>
      <c r="E92" s="8">
        <f t="shared" si="7"/>
        <v>2</v>
      </c>
      <c r="F92" s="8">
        <f t="shared" si="8"/>
        <v>4</v>
      </c>
      <c r="G92" s="5">
        <f t="shared" si="9"/>
        <v>5.128205128205128E-2</v>
      </c>
    </row>
    <row r="93" spans="1:7" ht="15.75" customHeight="1">
      <c r="A93" s="3">
        <v>21642</v>
      </c>
      <c r="B93" s="4">
        <v>41</v>
      </c>
      <c r="C93" s="8">
        <f t="shared" si="5"/>
        <v>43.333333333333336</v>
      </c>
      <c r="D93" s="8">
        <f t="shared" si="6"/>
        <v>-2.3333333333333357</v>
      </c>
      <c r="E93" s="8">
        <f t="shared" si="7"/>
        <v>2.3333333333333357</v>
      </c>
      <c r="F93" s="8">
        <f t="shared" si="8"/>
        <v>5.4444444444444553</v>
      </c>
      <c r="G93" s="5">
        <f t="shared" si="9"/>
        <v>5.6910569105691117E-2</v>
      </c>
    </row>
    <row r="94" spans="1:7" ht="15.75" customHeight="1">
      <c r="A94" s="3">
        <v>21643</v>
      </c>
      <c r="B94" s="4">
        <v>47</v>
      </c>
      <c r="C94" s="8">
        <f t="shared" si="5"/>
        <v>40.333333333333336</v>
      </c>
      <c r="D94" s="8">
        <f t="shared" si="6"/>
        <v>6.6666666666666643</v>
      </c>
      <c r="E94" s="8">
        <f t="shared" si="7"/>
        <v>6.6666666666666643</v>
      </c>
      <c r="F94" s="8">
        <f t="shared" si="8"/>
        <v>44.444444444444414</v>
      </c>
      <c r="G94" s="5">
        <f t="shared" si="9"/>
        <v>0.14184397163120563</v>
      </c>
    </row>
    <row r="95" spans="1:7" ht="15.75" customHeight="1">
      <c r="A95" s="3">
        <v>21644</v>
      </c>
      <c r="B95" s="4">
        <v>34</v>
      </c>
      <c r="C95" s="8">
        <f t="shared" si="5"/>
        <v>42.333333333333336</v>
      </c>
      <c r="D95" s="8">
        <f t="shared" si="6"/>
        <v>-8.3333333333333357</v>
      </c>
      <c r="E95" s="8">
        <f t="shared" si="7"/>
        <v>8.3333333333333357</v>
      </c>
      <c r="F95" s="8">
        <f t="shared" si="8"/>
        <v>69.444444444444485</v>
      </c>
      <c r="G95" s="5">
        <f t="shared" si="9"/>
        <v>0.24509803921568635</v>
      </c>
    </row>
    <row r="96" spans="1:7" ht="15.75" customHeight="1">
      <c r="A96" s="3">
        <v>21645</v>
      </c>
      <c r="B96" s="4">
        <v>36</v>
      </c>
      <c r="C96" s="8">
        <f t="shared" si="5"/>
        <v>40.666666666666664</v>
      </c>
      <c r="D96" s="8">
        <f t="shared" si="6"/>
        <v>-4.6666666666666643</v>
      </c>
      <c r="E96" s="8">
        <f t="shared" si="7"/>
        <v>4.6666666666666643</v>
      </c>
      <c r="F96" s="8">
        <f t="shared" si="8"/>
        <v>21.777777777777757</v>
      </c>
      <c r="G96" s="5">
        <f t="shared" si="9"/>
        <v>0.12962962962962957</v>
      </c>
    </row>
    <row r="97" spans="1:7" ht="15.75" customHeight="1">
      <c r="A97" s="3">
        <v>21646</v>
      </c>
      <c r="B97" s="4">
        <v>33</v>
      </c>
      <c r="C97" s="8">
        <f t="shared" si="5"/>
        <v>39</v>
      </c>
      <c r="D97" s="8">
        <f t="shared" si="6"/>
        <v>-6</v>
      </c>
      <c r="E97" s="8">
        <f t="shared" si="7"/>
        <v>6</v>
      </c>
      <c r="F97" s="8">
        <f t="shared" si="8"/>
        <v>36</v>
      </c>
      <c r="G97" s="5">
        <f t="shared" si="9"/>
        <v>0.18181818181818182</v>
      </c>
    </row>
    <row r="98" spans="1:7" ht="15.75" customHeight="1">
      <c r="A98" s="3">
        <v>21647</v>
      </c>
      <c r="B98" s="4">
        <v>35</v>
      </c>
      <c r="C98" s="8">
        <f t="shared" si="5"/>
        <v>34.333333333333336</v>
      </c>
      <c r="D98" s="8">
        <f t="shared" si="6"/>
        <v>0.6666666666666643</v>
      </c>
      <c r="E98" s="8">
        <f t="shared" si="7"/>
        <v>0.6666666666666643</v>
      </c>
      <c r="F98" s="8">
        <f t="shared" si="8"/>
        <v>0.44444444444444131</v>
      </c>
      <c r="G98" s="5">
        <f t="shared" si="9"/>
        <v>1.904761904761898E-2</v>
      </c>
    </row>
    <row r="99" spans="1:7" ht="15.75" customHeight="1">
      <c r="A99" s="3">
        <v>21648</v>
      </c>
      <c r="B99" s="4">
        <v>38</v>
      </c>
      <c r="C99" s="8">
        <f t="shared" si="5"/>
        <v>34.666666666666664</v>
      </c>
      <c r="D99" s="8">
        <f t="shared" si="6"/>
        <v>3.3333333333333357</v>
      </c>
      <c r="E99" s="8">
        <f t="shared" si="7"/>
        <v>3.3333333333333357</v>
      </c>
      <c r="F99" s="8">
        <f t="shared" si="8"/>
        <v>11.111111111111127</v>
      </c>
      <c r="G99" s="5">
        <f t="shared" si="9"/>
        <v>8.77192982456141E-2</v>
      </c>
    </row>
    <row r="100" spans="1:7" ht="15.75" customHeight="1">
      <c r="A100" s="3">
        <v>21649</v>
      </c>
      <c r="B100" s="4">
        <v>38</v>
      </c>
      <c r="C100" s="8">
        <f t="shared" si="5"/>
        <v>35.333333333333336</v>
      </c>
      <c r="D100" s="8">
        <f t="shared" si="6"/>
        <v>2.6666666666666643</v>
      </c>
      <c r="E100" s="8">
        <f t="shared" si="7"/>
        <v>2.6666666666666643</v>
      </c>
      <c r="F100" s="8">
        <f t="shared" si="8"/>
        <v>7.1111111111110983</v>
      </c>
      <c r="G100" s="5">
        <f t="shared" si="9"/>
        <v>7.0175438596491169E-2</v>
      </c>
    </row>
    <row r="101" spans="1:7" ht="15.75" customHeight="1">
      <c r="A101" s="3">
        <v>21650</v>
      </c>
      <c r="B101" s="4">
        <v>34</v>
      </c>
      <c r="C101" s="8">
        <f t="shared" si="5"/>
        <v>37</v>
      </c>
      <c r="D101" s="8">
        <f t="shared" si="6"/>
        <v>-3</v>
      </c>
      <c r="E101" s="8">
        <f t="shared" si="7"/>
        <v>3</v>
      </c>
      <c r="F101" s="8">
        <f t="shared" si="8"/>
        <v>9</v>
      </c>
      <c r="G101" s="5">
        <f t="shared" si="9"/>
        <v>8.8235294117647065E-2</v>
      </c>
    </row>
    <row r="102" spans="1:7" ht="15.75" customHeight="1">
      <c r="A102" s="3">
        <v>21651</v>
      </c>
      <c r="B102" s="4">
        <v>53</v>
      </c>
      <c r="C102" s="8">
        <f t="shared" si="5"/>
        <v>36.666666666666664</v>
      </c>
      <c r="D102" s="8">
        <f t="shared" si="6"/>
        <v>16.333333333333336</v>
      </c>
      <c r="E102" s="8">
        <f t="shared" si="7"/>
        <v>16.333333333333336</v>
      </c>
      <c r="F102" s="8">
        <f t="shared" si="8"/>
        <v>266.77777777777783</v>
      </c>
      <c r="G102" s="5">
        <f t="shared" si="9"/>
        <v>0.30817610062893086</v>
      </c>
    </row>
    <row r="103" spans="1:7" ht="15.75" customHeight="1">
      <c r="A103" s="3">
        <v>21652</v>
      </c>
      <c r="B103" s="4">
        <v>34</v>
      </c>
      <c r="C103" s="8">
        <f t="shared" si="5"/>
        <v>41.666666666666664</v>
      </c>
      <c r="D103" s="8">
        <f t="shared" si="6"/>
        <v>-7.6666666666666643</v>
      </c>
      <c r="E103" s="8">
        <f t="shared" si="7"/>
        <v>7.6666666666666643</v>
      </c>
      <c r="F103" s="8">
        <f t="shared" si="8"/>
        <v>58.777777777777743</v>
      </c>
      <c r="G103" s="5">
        <f t="shared" si="9"/>
        <v>0.22549019607843129</v>
      </c>
    </row>
    <row r="104" spans="1:7" ht="15.75" customHeight="1">
      <c r="A104" s="3">
        <v>21653</v>
      </c>
      <c r="B104" s="4">
        <v>34</v>
      </c>
      <c r="C104" s="8">
        <f t="shared" si="5"/>
        <v>40.333333333333336</v>
      </c>
      <c r="D104" s="8">
        <f t="shared" si="6"/>
        <v>-6.3333333333333357</v>
      </c>
      <c r="E104" s="8">
        <f t="shared" si="7"/>
        <v>6.3333333333333357</v>
      </c>
      <c r="F104" s="8">
        <f t="shared" si="8"/>
        <v>40.111111111111143</v>
      </c>
      <c r="G104" s="5">
        <f t="shared" si="9"/>
        <v>0.18627450980392163</v>
      </c>
    </row>
    <row r="105" spans="1:7" ht="15.75" customHeight="1">
      <c r="A105" s="3">
        <v>21654</v>
      </c>
      <c r="B105" s="4">
        <v>38</v>
      </c>
      <c r="C105" s="8">
        <f t="shared" si="5"/>
        <v>40.333333333333336</v>
      </c>
      <c r="D105" s="8">
        <f t="shared" si="6"/>
        <v>-2.3333333333333357</v>
      </c>
      <c r="E105" s="8">
        <f t="shared" si="7"/>
        <v>2.3333333333333357</v>
      </c>
      <c r="F105" s="8">
        <f t="shared" si="8"/>
        <v>5.4444444444444553</v>
      </c>
      <c r="G105" s="5">
        <f t="shared" si="9"/>
        <v>6.1403508771929884E-2</v>
      </c>
    </row>
    <row r="106" spans="1:7" ht="15.75" customHeight="1">
      <c r="A106" s="3">
        <v>21655</v>
      </c>
      <c r="B106" s="4">
        <v>35</v>
      </c>
      <c r="C106" s="8">
        <f t="shared" si="5"/>
        <v>35.333333333333336</v>
      </c>
      <c r="D106" s="8">
        <f t="shared" si="6"/>
        <v>-0.3333333333333357</v>
      </c>
      <c r="E106" s="8">
        <f t="shared" si="7"/>
        <v>0.3333333333333357</v>
      </c>
      <c r="F106" s="8">
        <f t="shared" si="8"/>
        <v>0.11111111111111269</v>
      </c>
      <c r="G106" s="5">
        <f t="shared" si="9"/>
        <v>9.5238095238095923E-3</v>
      </c>
    </row>
    <row r="107" spans="1:7" ht="15.75" customHeight="1">
      <c r="A107" s="3">
        <v>21656</v>
      </c>
      <c r="B107" s="4">
        <v>32</v>
      </c>
      <c r="C107" s="8">
        <f t="shared" si="5"/>
        <v>35.666666666666664</v>
      </c>
      <c r="D107" s="8">
        <f t="shared" si="6"/>
        <v>-3.6666666666666643</v>
      </c>
      <c r="E107" s="8">
        <f t="shared" si="7"/>
        <v>3.6666666666666643</v>
      </c>
      <c r="F107" s="8">
        <f t="shared" si="8"/>
        <v>13.444444444444427</v>
      </c>
      <c r="G107" s="5">
        <f t="shared" si="9"/>
        <v>0.11458333333333326</v>
      </c>
    </row>
    <row r="108" spans="1:7" ht="15.75" customHeight="1">
      <c r="A108" s="3">
        <v>21657</v>
      </c>
      <c r="B108" s="4">
        <v>42</v>
      </c>
      <c r="C108" s="8">
        <f t="shared" si="5"/>
        <v>35</v>
      </c>
      <c r="D108" s="8">
        <f t="shared" si="6"/>
        <v>7</v>
      </c>
      <c r="E108" s="8">
        <f t="shared" si="7"/>
        <v>7</v>
      </c>
      <c r="F108" s="8">
        <f t="shared" si="8"/>
        <v>49</v>
      </c>
      <c r="G108" s="5">
        <f t="shared" si="9"/>
        <v>0.16666666666666666</v>
      </c>
    </row>
    <row r="109" spans="1:7" ht="15.75" customHeight="1">
      <c r="A109" s="3">
        <v>21658</v>
      </c>
      <c r="B109" s="4">
        <v>34</v>
      </c>
      <c r="C109" s="8">
        <f t="shared" si="5"/>
        <v>36.333333333333336</v>
      </c>
      <c r="D109" s="8">
        <f t="shared" si="6"/>
        <v>-2.3333333333333357</v>
      </c>
      <c r="E109" s="8">
        <f t="shared" si="7"/>
        <v>2.3333333333333357</v>
      </c>
      <c r="F109" s="8">
        <f t="shared" si="8"/>
        <v>5.4444444444444553</v>
      </c>
      <c r="G109" s="5">
        <f t="shared" si="9"/>
        <v>6.8627450980392232E-2</v>
      </c>
    </row>
    <row r="110" spans="1:7" ht="15.75" customHeight="1">
      <c r="A110" s="3">
        <v>21659</v>
      </c>
      <c r="B110" s="4">
        <v>46</v>
      </c>
      <c r="C110" s="8">
        <f t="shared" si="5"/>
        <v>36</v>
      </c>
      <c r="D110" s="8">
        <f t="shared" si="6"/>
        <v>10</v>
      </c>
      <c r="E110" s="8">
        <f t="shared" si="7"/>
        <v>10</v>
      </c>
      <c r="F110" s="8">
        <f t="shared" si="8"/>
        <v>100</v>
      </c>
      <c r="G110" s="5">
        <f t="shared" si="9"/>
        <v>0.21739130434782608</v>
      </c>
    </row>
    <row r="111" spans="1:7" ht="15.75" customHeight="1">
      <c r="A111" s="3">
        <v>21660</v>
      </c>
      <c r="B111" s="4">
        <v>30</v>
      </c>
      <c r="C111" s="8">
        <f t="shared" si="5"/>
        <v>40.666666666666664</v>
      </c>
      <c r="D111" s="8">
        <f t="shared" si="6"/>
        <v>-10.666666666666664</v>
      </c>
      <c r="E111" s="8">
        <f t="shared" si="7"/>
        <v>10.666666666666664</v>
      </c>
      <c r="F111" s="8">
        <f t="shared" si="8"/>
        <v>113.77777777777773</v>
      </c>
      <c r="G111" s="5">
        <f t="shared" si="9"/>
        <v>0.35555555555555546</v>
      </c>
    </row>
    <row r="112" spans="1:7" ht="15.75" customHeight="1">
      <c r="A112" s="3">
        <v>21661</v>
      </c>
      <c r="B112" s="4">
        <v>46</v>
      </c>
      <c r="C112" s="8">
        <f t="shared" si="5"/>
        <v>36.666666666666664</v>
      </c>
      <c r="D112" s="8">
        <f t="shared" si="6"/>
        <v>9.3333333333333357</v>
      </c>
      <c r="E112" s="8">
        <f t="shared" si="7"/>
        <v>9.3333333333333357</v>
      </c>
      <c r="F112" s="8">
        <f t="shared" si="8"/>
        <v>87.111111111111157</v>
      </c>
      <c r="G112" s="5">
        <f t="shared" si="9"/>
        <v>0.20289855072463772</v>
      </c>
    </row>
    <row r="113" spans="1:7" ht="15.75" customHeight="1">
      <c r="A113" s="3">
        <v>21662</v>
      </c>
      <c r="B113" s="4">
        <v>45</v>
      </c>
      <c r="C113" s="8">
        <f t="shared" si="5"/>
        <v>40.666666666666664</v>
      </c>
      <c r="D113" s="8">
        <f t="shared" si="6"/>
        <v>4.3333333333333357</v>
      </c>
      <c r="E113" s="8">
        <f t="shared" si="7"/>
        <v>4.3333333333333357</v>
      </c>
      <c r="F113" s="8">
        <f t="shared" si="8"/>
        <v>18.7777777777778</v>
      </c>
      <c r="G113" s="5">
        <f t="shared" si="9"/>
        <v>9.6296296296296352E-2</v>
      </c>
    </row>
    <row r="114" spans="1:7" ht="15.75" customHeight="1">
      <c r="A114" s="3">
        <v>21663</v>
      </c>
      <c r="B114" s="4">
        <v>54</v>
      </c>
      <c r="C114" s="8">
        <f t="shared" si="5"/>
        <v>40.333333333333336</v>
      </c>
      <c r="D114" s="8">
        <f t="shared" si="6"/>
        <v>13.666666666666664</v>
      </c>
      <c r="E114" s="8">
        <f t="shared" si="7"/>
        <v>13.666666666666664</v>
      </c>
      <c r="F114" s="8">
        <f t="shared" si="8"/>
        <v>186.77777777777771</v>
      </c>
      <c r="G114" s="5">
        <f t="shared" si="9"/>
        <v>0.25308641975308638</v>
      </c>
    </row>
    <row r="115" spans="1:7" ht="15.75" customHeight="1">
      <c r="A115" s="3">
        <v>21664</v>
      </c>
      <c r="B115" s="4">
        <v>34</v>
      </c>
      <c r="C115" s="8">
        <f t="shared" si="5"/>
        <v>48.333333333333336</v>
      </c>
      <c r="D115" s="8">
        <f t="shared" si="6"/>
        <v>-14.333333333333336</v>
      </c>
      <c r="E115" s="8">
        <f t="shared" si="7"/>
        <v>14.333333333333336</v>
      </c>
      <c r="F115" s="8">
        <f t="shared" si="8"/>
        <v>205.44444444444451</v>
      </c>
      <c r="G115" s="5">
        <f t="shared" si="9"/>
        <v>0.42156862745098045</v>
      </c>
    </row>
    <row r="116" spans="1:7" ht="15.75" customHeight="1">
      <c r="A116" s="3">
        <v>21665</v>
      </c>
      <c r="B116" s="4">
        <v>37</v>
      </c>
      <c r="C116" s="8">
        <f t="shared" si="5"/>
        <v>44.333333333333336</v>
      </c>
      <c r="D116" s="8">
        <f t="shared" si="6"/>
        <v>-7.3333333333333357</v>
      </c>
      <c r="E116" s="8">
        <f t="shared" si="7"/>
        <v>7.3333333333333357</v>
      </c>
      <c r="F116" s="8">
        <f t="shared" si="8"/>
        <v>53.777777777777814</v>
      </c>
      <c r="G116" s="5">
        <f t="shared" si="9"/>
        <v>0.19819819819819826</v>
      </c>
    </row>
    <row r="117" spans="1:7" ht="15.75" customHeight="1">
      <c r="A117" s="3">
        <v>21666</v>
      </c>
      <c r="B117" s="4">
        <v>35</v>
      </c>
      <c r="C117" s="8">
        <f t="shared" si="5"/>
        <v>41.666666666666664</v>
      </c>
      <c r="D117" s="8">
        <f t="shared" si="6"/>
        <v>-6.6666666666666643</v>
      </c>
      <c r="E117" s="8">
        <f t="shared" si="7"/>
        <v>6.6666666666666643</v>
      </c>
      <c r="F117" s="8">
        <f t="shared" si="8"/>
        <v>44.444444444444414</v>
      </c>
      <c r="G117" s="5">
        <f t="shared" si="9"/>
        <v>0.19047619047619041</v>
      </c>
    </row>
    <row r="118" spans="1:7" ht="15.75" customHeight="1">
      <c r="A118" s="3">
        <v>21667</v>
      </c>
      <c r="B118" s="4">
        <v>40</v>
      </c>
      <c r="C118" s="8">
        <f t="shared" si="5"/>
        <v>35.333333333333336</v>
      </c>
      <c r="D118" s="8">
        <f t="shared" si="6"/>
        <v>4.6666666666666643</v>
      </c>
      <c r="E118" s="8">
        <f t="shared" si="7"/>
        <v>4.6666666666666643</v>
      </c>
      <c r="F118" s="8">
        <f t="shared" si="8"/>
        <v>21.777777777777757</v>
      </c>
      <c r="G118" s="5">
        <f t="shared" si="9"/>
        <v>0.11666666666666661</v>
      </c>
    </row>
    <row r="119" spans="1:7" ht="15.75" customHeight="1">
      <c r="A119" s="3">
        <v>21668</v>
      </c>
      <c r="B119" s="4">
        <v>42</v>
      </c>
      <c r="C119" s="8">
        <f t="shared" si="5"/>
        <v>37.333333333333336</v>
      </c>
      <c r="D119" s="8">
        <f t="shared" si="6"/>
        <v>4.6666666666666643</v>
      </c>
      <c r="E119" s="8">
        <f t="shared" si="7"/>
        <v>4.6666666666666643</v>
      </c>
      <c r="F119" s="8">
        <f t="shared" si="8"/>
        <v>21.777777777777757</v>
      </c>
      <c r="G119" s="5">
        <f t="shared" si="9"/>
        <v>0.11111111111111105</v>
      </c>
    </row>
    <row r="120" spans="1:7" ht="15.75" customHeight="1">
      <c r="A120" s="3">
        <v>21669</v>
      </c>
      <c r="B120" s="4">
        <v>58</v>
      </c>
      <c r="C120" s="8">
        <f t="shared" si="5"/>
        <v>39</v>
      </c>
      <c r="D120" s="8">
        <f t="shared" si="6"/>
        <v>19</v>
      </c>
      <c r="E120" s="8">
        <f t="shared" si="7"/>
        <v>19</v>
      </c>
      <c r="F120" s="8">
        <f t="shared" si="8"/>
        <v>361</v>
      </c>
      <c r="G120" s="5">
        <f t="shared" si="9"/>
        <v>0.32758620689655171</v>
      </c>
    </row>
    <row r="121" spans="1:7" ht="15.75" customHeight="1">
      <c r="A121" s="3">
        <v>21670</v>
      </c>
      <c r="B121" s="4">
        <v>51</v>
      </c>
      <c r="C121" s="8">
        <f t="shared" si="5"/>
        <v>46.666666666666664</v>
      </c>
      <c r="D121" s="8">
        <f t="shared" si="6"/>
        <v>4.3333333333333357</v>
      </c>
      <c r="E121" s="8">
        <f t="shared" si="7"/>
        <v>4.3333333333333357</v>
      </c>
      <c r="F121" s="8">
        <f t="shared" si="8"/>
        <v>18.7777777777778</v>
      </c>
      <c r="G121" s="5">
        <f t="shared" si="9"/>
        <v>8.4967320261437954E-2</v>
      </c>
    </row>
    <row r="122" spans="1:7" ht="15.75" customHeight="1">
      <c r="A122" s="3">
        <v>21671</v>
      </c>
      <c r="B122" s="4">
        <v>32</v>
      </c>
      <c r="C122" s="8">
        <f t="shared" si="5"/>
        <v>50.333333333333336</v>
      </c>
      <c r="D122" s="8">
        <f t="shared" si="6"/>
        <v>-18.333333333333336</v>
      </c>
      <c r="E122" s="8">
        <f t="shared" si="7"/>
        <v>18.333333333333336</v>
      </c>
      <c r="F122" s="8">
        <f t="shared" si="8"/>
        <v>336.1111111111112</v>
      </c>
      <c r="G122" s="5">
        <f t="shared" si="9"/>
        <v>0.57291666666666674</v>
      </c>
    </row>
    <row r="123" spans="1:7" ht="15.75" customHeight="1">
      <c r="A123" s="3">
        <v>21672</v>
      </c>
      <c r="B123" s="4">
        <v>35</v>
      </c>
      <c r="C123" s="8">
        <f t="shared" si="5"/>
        <v>47</v>
      </c>
      <c r="D123" s="8">
        <f t="shared" si="6"/>
        <v>-12</v>
      </c>
      <c r="E123" s="8">
        <f t="shared" si="7"/>
        <v>12</v>
      </c>
      <c r="F123" s="8">
        <f t="shared" si="8"/>
        <v>144</v>
      </c>
      <c r="G123" s="5">
        <f t="shared" si="9"/>
        <v>0.34285714285714286</v>
      </c>
    </row>
    <row r="124" spans="1:7" ht="15.75" customHeight="1">
      <c r="A124" s="3">
        <v>21673</v>
      </c>
      <c r="B124" s="4">
        <v>38</v>
      </c>
      <c r="C124" s="8">
        <f t="shared" si="5"/>
        <v>39.333333333333336</v>
      </c>
      <c r="D124" s="8">
        <f t="shared" si="6"/>
        <v>-1.3333333333333357</v>
      </c>
      <c r="E124" s="8">
        <f t="shared" si="7"/>
        <v>1.3333333333333357</v>
      </c>
      <c r="F124" s="8">
        <f t="shared" si="8"/>
        <v>1.7777777777777841</v>
      </c>
      <c r="G124" s="5">
        <f t="shared" si="9"/>
        <v>3.5087719298245675E-2</v>
      </c>
    </row>
    <row r="125" spans="1:7" ht="15.75" customHeight="1">
      <c r="A125" s="3">
        <v>21674</v>
      </c>
      <c r="B125" s="4">
        <v>33</v>
      </c>
      <c r="C125" s="8">
        <f t="shared" si="5"/>
        <v>35</v>
      </c>
      <c r="D125" s="8">
        <f t="shared" si="6"/>
        <v>-2</v>
      </c>
      <c r="E125" s="8">
        <f t="shared" si="7"/>
        <v>2</v>
      </c>
      <c r="F125" s="8">
        <f t="shared" si="8"/>
        <v>4</v>
      </c>
      <c r="G125" s="5">
        <f t="shared" si="9"/>
        <v>6.0606060606060608E-2</v>
      </c>
    </row>
    <row r="126" spans="1:7" ht="15.75" customHeight="1">
      <c r="A126" s="3">
        <v>21675</v>
      </c>
      <c r="B126" s="4">
        <v>39</v>
      </c>
      <c r="C126" s="8">
        <f t="shared" si="5"/>
        <v>35.333333333333336</v>
      </c>
      <c r="D126" s="8">
        <f t="shared" si="6"/>
        <v>3.6666666666666643</v>
      </c>
      <c r="E126" s="8">
        <f t="shared" si="7"/>
        <v>3.6666666666666643</v>
      </c>
      <c r="F126" s="8">
        <f t="shared" si="8"/>
        <v>13.444444444444427</v>
      </c>
      <c r="G126" s="5">
        <f t="shared" si="9"/>
        <v>9.4017094017093961E-2</v>
      </c>
    </row>
    <row r="127" spans="1:7" ht="15.75" customHeight="1">
      <c r="A127" s="3">
        <v>21676</v>
      </c>
      <c r="B127" s="4">
        <v>47</v>
      </c>
      <c r="C127" s="8">
        <f t="shared" si="5"/>
        <v>36.666666666666664</v>
      </c>
      <c r="D127" s="8">
        <f t="shared" si="6"/>
        <v>10.333333333333336</v>
      </c>
      <c r="E127" s="8">
        <f t="shared" si="7"/>
        <v>10.333333333333336</v>
      </c>
      <c r="F127" s="8">
        <f t="shared" si="8"/>
        <v>106.77777777777783</v>
      </c>
      <c r="G127" s="5">
        <f t="shared" si="9"/>
        <v>0.21985815602836883</v>
      </c>
    </row>
    <row r="128" spans="1:7" ht="15.75" customHeight="1">
      <c r="A128" s="3">
        <v>21677</v>
      </c>
      <c r="B128" s="4">
        <v>38</v>
      </c>
      <c r="C128" s="8">
        <f t="shared" si="5"/>
        <v>39.666666666666664</v>
      </c>
      <c r="D128" s="8">
        <f t="shared" si="6"/>
        <v>-1.6666666666666643</v>
      </c>
      <c r="E128" s="8">
        <f t="shared" si="7"/>
        <v>1.6666666666666643</v>
      </c>
      <c r="F128" s="8">
        <f t="shared" si="8"/>
        <v>2.7777777777777697</v>
      </c>
      <c r="G128" s="5">
        <f t="shared" si="9"/>
        <v>4.3859649122806953E-2</v>
      </c>
    </row>
    <row r="129" spans="1:7" ht="15.75" customHeight="1">
      <c r="A129" s="3">
        <v>21678</v>
      </c>
      <c r="B129" s="4">
        <v>52</v>
      </c>
      <c r="C129" s="8">
        <f t="shared" si="5"/>
        <v>41.333333333333336</v>
      </c>
      <c r="D129" s="8">
        <f t="shared" si="6"/>
        <v>10.666666666666664</v>
      </c>
      <c r="E129" s="8">
        <f t="shared" si="7"/>
        <v>10.666666666666664</v>
      </c>
      <c r="F129" s="8">
        <f t="shared" si="8"/>
        <v>113.77777777777773</v>
      </c>
      <c r="G129" s="5">
        <f t="shared" si="9"/>
        <v>0.20512820512820509</v>
      </c>
    </row>
    <row r="130" spans="1:7" ht="15.75" customHeight="1">
      <c r="A130" s="3">
        <v>21679</v>
      </c>
      <c r="B130" s="4">
        <v>30</v>
      </c>
      <c r="C130" s="8">
        <f t="shared" si="5"/>
        <v>45.666666666666664</v>
      </c>
      <c r="D130" s="8">
        <f t="shared" si="6"/>
        <v>-15.666666666666664</v>
      </c>
      <c r="E130" s="8">
        <f t="shared" si="7"/>
        <v>15.666666666666664</v>
      </c>
      <c r="F130" s="8">
        <f t="shared" si="8"/>
        <v>245.44444444444437</v>
      </c>
      <c r="G130" s="5">
        <f t="shared" si="9"/>
        <v>0.52222222222222214</v>
      </c>
    </row>
    <row r="131" spans="1:7" ht="15.75" customHeight="1">
      <c r="A131" s="3">
        <v>21680</v>
      </c>
      <c r="B131" s="4">
        <v>34</v>
      </c>
      <c r="C131" s="8">
        <f t="shared" si="5"/>
        <v>40</v>
      </c>
      <c r="D131" s="8">
        <f t="shared" si="6"/>
        <v>-6</v>
      </c>
      <c r="E131" s="8">
        <f t="shared" si="7"/>
        <v>6</v>
      </c>
      <c r="F131" s="8">
        <f t="shared" si="8"/>
        <v>36</v>
      </c>
      <c r="G131" s="5">
        <f t="shared" si="9"/>
        <v>0.17647058823529413</v>
      </c>
    </row>
    <row r="132" spans="1:7" ht="15.75" customHeight="1">
      <c r="A132" s="3">
        <v>21681</v>
      </c>
      <c r="B132" s="4">
        <v>40</v>
      </c>
      <c r="C132" s="8">
        <f t="shared" si="5"/>
        <v>38.666666666666664</v>
      </c>
      <c r="D132" s="8">
        <f t="shared" si="6"/>
        <v>1.3333333333333357</v>
      </c>
      <c r="E132" s="8">
        <f t="shared" si="7"/>
        <v>1.3333333333333357</v>
      </c>
      <c r="F132" s="8">
        <f t="shared" si="8"/>
        <v>1.7777777777777841</v>
      </c>
      <c r="G132" s="5">
        <f t="shared" si="9"/>
        <v>3.3333333333333395E-2</v>
      </c>
    </row>
    <row r="133" spans="1:7" ht="15.75" customHeight="1">
      <c r="A133" s="3">
        <v>21682</v>
      </c>
      <c r="B133" s="4">
        <v>35</v>
      </c>
      <c r="C133" s="8">
        <f t="shared" si="5"/>
        <v>34.666666666666664</v>
      </c>
      <c r="D133" s="8">
        <f t="shared" si="6"/>
        <v>0.3333333333333357</v>
      </c>
      <c r="E133" s="8">
        <f t="shared" si="7"/>
        <v>0.3333333333333357</v>
      </c>
      <c r="F133" s="8">
        <f t="shared" si="8"/>
        <v>0.11111111111111269</v>
      </c>
      <c r="G133" s="5">
        <f t="shared" si="9"/>
        <v>9.5238095238095923E-3</v>
      </c>
    </row>
    <row r="134" spans="1:7" ht="15.75" customHeight="1">
      <c r="A134" s="3">
        <v>21683</v>
      </c>
      <c r="B134" s="4">
        <v>42</v>
      </c>
      <c r="C134" s="8">
        <f t="shared" ref="C134:C197" si="10">AVERAGE(B131:B133)</f>
        <v>36.333333333333336</v>
      </c>
      <c r="D134" s="8">
        <f t="shared" ref="D134:D197" si="11">B134-C134</f>
        <v>5.6666666666666643</v>
      </c>
      <c r="E134" s="8">
        <f t="shared" ref="E134:E197" si="12">ABS(D134)</f>
        <v>5.6666666666666643</v>
      </c>
      <c r="F134" s="8">
        <f t="shared" ref="F134:F197" si="13">E134^2</f>
        <v>32.111111111111086</v>
      </c>
      <c r="G134" s="5">
        <f t="shared" ref="G134:G197" si="14">E134/B134</f>
        <v>0.13492063492063486</v>
      </c>
    </row>
    <row r="135" spans="1:7" ht="15.75" customHeight="1">
      <c r="A135" s="3">
        <v>21684</v>
      </c>
      <c r="B135" s="4">
        <v>41</v>
      </c>
      <c r="C135" s="8">
        <f t="shared" si="10"/>
        <v>39</v>
      </c>
      <c r="D135" s="8">
        <f t="shared" si="11"/>
        <v>2</v>
      </c>
      <c r="E135" s="8">
        <f t="shared" si="12"/>
        <v>2</v>
      </c>
      <c r="F135" s="8">
        <f t="shared" si="13"/>
        <v>4</v>
      </c>
      <c r="G135" s="5">
        <f t="shared" si="14"/>
        <v>4.878048780487805E-2</v>
      </c>
    </row>
    <row r="136" spans="1:7" ht="15.75" customHeight="1">
      <c r="A136" s="3">
        <v>21685</v>
      </c>
      <c r="B136" s="4">
        <v>42</v>
      </c>
      <c r="C136" s="8">
        <f t="shared" si="10"/>
        <v>39.333333333333336</v>
      </c>
      <c r="D136" s="8">
        <f t="shared" si="11"/>
        <v>2.6666666666666643</v>
      </c>
      <c r="E136" s="8">
        <f t="shared" si="12"/>
        <v>2.6666666666666643</v>
      </c>
      <c r="F136" s="8">
        <f t="shared" si="13"/>
        <v>7.1111111111110983</v>
      </c>
      <c r="G136" s="5">
        <f t="shared" si="14"/>
        <v>6.3492063492063433E-2</v>
      </c>
    </row>
    <row r="137" spans="1:7" ht="15.75" customHeight="1">
      <c r="A137" s="3">
        <v>21686</v>
      </c>
      <c r="B137" s="4">
        <v>38</v>
      </c>
      <c r="C137" s="8">
        <f t="shared" si="10"/>
        <v>41.666666666666664</v>
      </c>
      <c r="D137" s="8">
        <f t="shared" si="11"/>
        <v>-3.6666666666666643</v>
      </c>
      <c r="E137" s="8">
        <f t="shared" si="12"/>
        <v>3.6666666666666643</v>
      </c>
      <c r="F137" s="8">
        <f t="shared" si="13"/>
        <v>13.444444444444427</v>
      </c>
      <c r="G137" s="5">
        <f t="shared" si="14"/>
        <v>9.6491228070175378E-2</v>
      </c>
    </row>
    <row r="138" spans="1:7" ht="15.75" customHeight="1">
      <c r="A138" s="3">
        <v>21687</v>
      </c>
      <c r="B138" s="4">
        <v>24</v>
      </c>
      <c r="C138" s="8">
        <f t="shared" si="10"/>
        <v>40.333333333333336</v>
      </c>
      <c r="D138" s="8">
        <f t="shared" si="11"/>
        <v>-16.333333333333336</v>
      </c>
      <c r="E138" s="8">
        <f t="shared" si="12"/>
        <v>16.333333333333336</v>
      </c>
      <c r="F138" s="8">
        <f t="shared" si="13"/>
        <v>266.77777777777783</v>
      </c>
      <c r="G138" s="5">
        <f t="shared" si="14"/>
        <v>0.68055555555555569</v>
      </c>
    </row>
    <row r="139" spans="1:7" ht="15.75" customHeight="1">
      <c r="A139" s="3">
        <v>21688</v>
      </c>
      <c r="B139" s="4">
        <v>34</v>
      </c>
      <c r="C139" s="8">
        <f t="shared" si="10"/>
        <v>34.666666666666664</v>
      </c>
      <c r="D139" s="8">
        <f t="shared" si="11"/>
        <v>-0.6666666666666643</v>
      </c>
      <c r="E139" s="8">
        <f t="shared" si="12"/>
        <v>0.6666666666666643</v>
      </c>
      <c r="F139" s="8">
        <f t="shared" si="13"/>
        <v>0.44444444444444131</v>
      </c>
      <c r="G139" s="5">
        <f t="shared" si="14"/>
        <v>1.9607843137254832E-2</v>
      </c>
    </row>
    <row r="140" spans="1:7" ht="15.75" customHeight="1">
      <c r="A140" s="3">
        <v>21689</v>
      </c>
      <c r="B140" s="4">
        <v>43</v>
      </c>
      <c r="C140" s="8">
        <f t="shared" si="10"/>
        <v>32</v>
      </c>
      <c r="D140" s="8">
        <f t="shared" si="11"/>
        <v>11</v>
      </c>
      <c r="E140" s="8">
        <f t="shared" si="12"/>
        <v>11</v>
      </c>
      <c r="F140" s="8">
        <f t="shared" si="13"/>
        <v>121</v>
      </c>
      <c r="G140" s="5">
        <f t="shared" si="14"/>
        <v>0.2558139534883721</v>
      </c>
    </row>
    <row r="141" spans="1:7" ht="15.75" customHeight="1">
      <c r="A141" s="3">
        <v>21690</v>
      </c>
      <c r="B141" s="4">
        <v>36</v>
      </c>
      <c r="C141" s="8">
        <f t="shared" si="10"/>
        <v>33.666666666666664</v>
      </c>
      <c r="D141" s="8">
        <f t="shared" si="11"/>
        <v>2.3333333333333357</v>
      </c>
      <c r="E141" s="8">
        <f t="shared" si="12"/>
        <v>2.3333333333333357</v>
      </c>
      <c r="F141" s="8">
        <f t="shared" si="13"/>
        <v>5.4444444444444553</v>
      </c>
      <c r="G141" s="5">
        <f t="shared" si="14"/>
        <v>6.4814814814814881E-2</v>
      </c>
    </row>
    <row r="142" spans="1:7" ht="15.75" customHeight="1">
      <c r="A142" s="3">
        <v>21691</v>
      </c>
      <c r="B142" s="4">
        <v>55</v>
      </c>
      <c r="C142" s="8">
        <f t="shared" si="10"/>
        <v>37.666666666666664</v>
      </c>
      <c r="D142" s="8">
        <f t="shared" si="11"/>
        <v>17.333333333333336</v>
      </c>
      <c r="E142" s="8">
        <f t="shared" si="12"/>
        <v>17.333333333333336</v>
      </c>
      <c r="F142" s="8">
        <f t="shared" si="13"/>
        <v>300.44444444444451</v>
      </c>
      <c r="G142" s="5">
        <f t="shared" si="14"/>
        <v>0.31515151515151518</v>
      </c>
    </row>
    <row r="143" spans="1:7" ht="15.75" customHeight="1">
      <c r="A143" s="3">
        <v>21692</v>
      </c>
      <c r="B143" s="4">
        <v>41</v>
      </c>
      <c r="C143" s="8">
        <f t="shared" si="10"/>
        <v>44.666666666666664</v>
      </c>
      <c r="D143" s="8">
        <f t="shared" si="11"/>
        <v>-3.6666666666666643</v>
      </c>
      <c r="E143" s="8">
        <f t="shared" si="12"/>
        <v>3.6666666666666643</v>
      </c>
      <c r="F143" s="8">
        <f t="shared" si="13"/>
        <v>13.444444444444427</v>
      </c>
      <c r="G143" s="5">
        <f t="shared" si="14"/>
        <v>8.9430894308943035E-2</v>
      </c>
    </row>
    <row r="144" spans="1:7" ht="15.75" customHeight="1">
      <c r="A144" s="3">
        <v>21693</v>
      </c>
      <c r="B144" s="4">
        <v>45</v>
      </c>
      <c r="C144" s="8">
        <f t="shared" si="10"/>
        <v>44</v>
      </c>
      <c r="D144" s="8">
        <f t="shared" si="11"/>
        <v>1</v>
      </c>
      <c r="E144" s="8">
        <f t="shared" si="12"/>
        <v>1</v>
      </c>
      <c r="F144" s="8">
        <f t="shared" si="13"/>
        <v>1</v>
      </c>
      <c r="G144" s="5">
        <f t="shared" si="14"/>
        <v>2.2222222222222223E-2</v>
      </c>
    </row>
    <row r="145" spans="1:7" ht="15.75" customHeight="1">
      <c r="A145" s="3">
        <v>21694</v>
      </c>
      <c r="B145" s="4">
        <v>41</v>
      </c>
      <c r="C145" s="8">
        <f t="shared" si="10"/>
        <v>47</v>
      </c>
      <c r="D145" s="8">
        <f t="shared" si="11"/>
        <v>-6</v>
      </c>
      <c r="E145" s="8">
        <f t="shared" si="12"/>
        <v>6</v>
      </c>
      <c r="F145" s="8">
        <f t="shared" si="13"/>
        <v>36</v>
      </c>
      <c r="G145" s="5">
        <f t="shared" si="14"/>
        <v>0.14634146341463414</v>
      </c>
    </row>
    <row r="146" spans="1:7" ht="15.75" customHeight="1">
      <c r="A146" s="3">
        <v>21695</v>
      </c>
      <c r="B146" s="4">
        <v>37</v>
      </c>
      <c r="C146" s="8">
        <f t="shared" si="10"/>
        <v>42.333333333333336</v>
      </c>
      <c r="D146" s="8">
        <f t="shared" si="11"/>
        <v>-5.3333333333333357</v>
      </c>
      <c r="E146" s="8">
        <f t="shared" si="12"/>
        <v>5.3333333333333357</v>
      </c>
      <c r="F146" s="8">
        <f t="shared" si="13"/>
        <v>28.444444444444471</v>
      </c>
      <c r="G146" s="5">
        <f t="shared" si="14"/>
        <v>0.1441441441441442</v>
      </c>
    </row>
    <row r="147" spans="1:7" ht="15.75" customHeight="1">
      <c r="A147" s="3">
        <v>21696</v>
      </c>
      <c r="B147" s="4">
        <v>43</v>
      </c>
      <c r="C147" s="8">
        <f t="shared" si="10"/>
        <v>41</v>
      </c>
      <c r="D147" s="8">
        <f t="shared" si="11"/>
        <v>2</v>
      </c>
      <c r="E147" s="8">
        <f t="shared" si="12"/>
        <v>2</v>
      </c>
      <c r="F147" s="8">
        <f t="shared" si="13"/>
        <v>4</v>
      </c>
      <c r="G147" s="5">
        <f t="shared" si="14"/>
        <v>4.6511627906976744E-2</v>
      </c>
    </row>
    <row r="148" spans="1:7" ht="15.75" customHeight="1">
      <c r="A148" s="3">
        <v>21697</v>
      </c>
      <c r="B148" s="4">
        <v>39</v>
      </c>
      <c r="C148" s="8">
        <f t="shared" si="10"/>
        <v>40.333333333333336</v>
      </c>
      <c r="D148" s="8">
        <f t="shared" si="11"/>
        <v>-1.3333333333333357</v>
      </c>
      <c r="E148" s="8">
        <f t="shared" si="12"/>
        <v>1.3333333333333357</v>
      </c>
      <c r="F148" s="8">
        <f t="shared" si="13"/>
        <v>1.7777777777777841</v>
      </c>
      <c r="G148" s="5">
        <f t="shared" si="14"/>
        <v>3.4188034188034247E-2</v>
      </c>
    </row>
    <row r="149" spans="1:7" ht="15.75" customHeight="1">
      <c r="A149" s="3">
        <v>21698</v>
      </c>
      <c r="B149" s="4">
        <v>33</v>
      </c>
      <c r="C149" s="8">
        <f t="shared" si="10"/>
        <v>39.666666666666664</v>
      </c>
      <c r="D149" s="8">
        <f t="shared" si="11"/>
        <v>-6.6666666666666643</v>
      </c>
      <c r="E149" s="8">
        <f t="shared" si="12"/>
        <v>6.6666666666666643</v>
      </c>
      <c r="F149" s="8">
        <f t="shared" si="13"/>
        <v>44.444444444444414</v>
      </c>
      <c r="G149" s="5">
        <f t="shared" si="14"/>
        <v>0.20202020202020196</v>
      </c>
    </row>
    <row r="150" spans="1:7" ht="15.75" customHeight="1">
      <c r="A150" s="3">
        <v>21699</v>
      </c>
      <c r="B150" s="4">
        <v>43</v>
      </c>
      <c r="C150" s="8">
        <f t="shared" si="10"/>
        <v>38.333333333333336</v>
      </c>
      <c r="D150" s="8">
        <f t="shared" si="11"/>
        <v>4.6666666666666643</v>
      </c>
      <c r="E150" s="8">
        <f t="shared" si="12"/>
        <v>4.6666666666666643</v>
      </c>
      <c r="F150" s="8">
        <f t="shared" si="13"/>
        <v>21.777777777777757</v>
      </c>
      <c r="G150" s="5">
        <f t="shared" si="14"/>
        <v>0.10852713178294568</v>
      </c>
    </row>
    <row r="151" spans="1:7" ht="15.75" customHeight="1">
      <c r="A151" s="3">
        <v>21700</v>
      </c>
      <c r="B151" s="4">
        <v>40</v>
      </c>
      <c r="C151" s="8">
        <f t="shared" si="10"/>
        <v>38.333333333333336</v>
      </c>
      <c r="D151" s="8">
        <f t="shared" si="11"/>
        <v>1.6666666666666643</v>
      </c>
      <c r="E151" s="8">
        <f t="shared" si="12"/>
        <v>1.6666666666666643</v>
      </c>
      <c r="F151" s="8">
        <f t="shared" si="13"/>
        <v>2.7777777777777697</v>
      </c>
      <c r="G151" s="5">
        <f t="shared" si="14"/>
        <v>4.1666666666666609E-2</v>
      </c>
    </row>
    <row r="152" spans="1:7" ht="15.75" customHeight="1">
      <c r="A152" s="3">
        <v>21701</v>
      </c>
      <c r="B152" s="4">
        <v>38</v>
      </c>
      <c r="C152" s="8">
        <f t="shared" si="10"/>
        <v>38.666666666666664</v>
      </c>
      <c r="D152" s="8">
        <f t="shared" si="11"/>
        <v>-0.6666666666666643</v>
      </c>
      <c r="E152" s="8">
        <f t="shared" si="12"/>
        <v>0.6666666666666643</v>
      </c>
      <c r="F152" s="8">
        <f t="shared" si="13"/>
        <v>0.44444444444444131</v>
      </c>
      <c r="G152" s="5">
        <f t="shared" si="14"/>
        <v>1.7543859649122744E-2</v>
      </c>
    </row>
    <row r="153" spans="1:7" ht="15.75" customHeight="1">
      <c r="A153" s="3">
        <v>21702</v>
      </c>
      <c r="B153" s="4">
        <v>45</v>
      </c>
      <c r="C153" s="8">
        <f t="shared" si="10"/>
        <v>40.333333333333336</v>
      </c>
      <c r="D153" s="8">
        <f t="shared" si="11"/>
        <v>4.6666666666666643</v>
      </c>
      <c r="E153" s="8">
        <f t="shared" si="12"/>
        <v>4.6666666666666643</v>
      </c>
      <c r="F153" s="8">
        <f t="shared" si="13"/>
        <v>21.777777777777757</v>
      </c>
      <c r="G153" s="5">
        <f t="shared" si="14"/>
        <v>0.10370370370370365</v>
      </c>
    </row>
    <row r="154" spans="1:7" ht="15.75" customHeight="1">
      <c r="A154" s="3">
        <v>21703</v>
      </c>
      <c r="B154" s="4">
        <v>46</v>
      </c>
      <c r="C154" s="8">
        <f t="shared" si="10"/>
        <v>41</v>
      </c>
      <c r="D154" s="8">
        <f t="shared" si="11"/>
        <v>5</v>
      </c>
      <c r="E154" s="8">
        <f t="shared" si="12"/>
        <v>5</v>
      </c>
      <c r="F154" s="8">
        <f t="shared" si="13"/>
        <v>25</v>
      </c>
      <c r="G154" s="5">
        <f t="shared" si="14"/>
        <v>0.10869565217391304</v>
      </c>
    </row>
    <row r="155" spans="1:7" ht="15.75" customHeight="1">
      <c r="A155" s="3">
        <v>21704</v>
      </c>
      <c r="B155" s="4">
        <v>34</v>
      </c>
      <c r="C155" s="8">
        <f t="shared" si="10"/>
        <v>43</v>
      </c>
      <c r="D155" s="8">
        <f t="shared" si="11"/>
        <v>-9</v>
      </c>
      <c r="E155" s="8">
        <f t="shared" si="12"/>
        <v>9</v>
      </c>
      <c r="F155" s="8">
        <f t="shared" si="13"/>
        <v>81</v>
      </c>
      <c r="G155" s="5">
        <f t="shared" si="14"/>
        <v>0.26470588235294118</v>
      </c>
    </row>
    <row r="156" spans="1:7" ht="15.75" customHeight="1">
      <c r="A156" s="3">
        <v>21705</v>
      </c>
      <c r="B156" s="4">
        <v>35</v>
      </c>
      <c r="C156" s="8">
        <f t="shared" si="10"/>
        <v>41.666666666666664</v>
      </c>
      <c r="D156" s="8">
        <f t="shared" si="11"/>
        <v>-6.6666666666666643</v>
      </c>
      <c r="E156" s="8">
        <f t="shared" si="12"/>
        <v>6.6666666666666643</v>
      </c>
      <c r="F156" s="8">
        <f t="shared" si="13"/>
        <v>44.444444444444414</v>
      </c>
      <c r="G156" s="5">
        <f t="shared" si="14"/>
        <v>0.19047619047619041</v>
      </c>
    </row>
    <row r="157" spans="1:7" ht="15.75" customHeight="1">
      <c r="A157" s="3">
        <v>21706</v>
      </c>
      <c r="B157" s="4">
        <v>48</v>
      </c>
      <c r="C157" s="8">
        <f t="shared" si="10"/>
        <v>38.333333333333336</v>
      </c>
      <c r="D157" s="8">
        <f t="shared" si="11"/>
        <v>9.6666666666666643</v>
      </c>
      <c r="E157" s="8">
        <f t="shared" si="12"/>
        <v>9.6666666666666643</v>
      </c>
      <c r="F157" s="8">
        <f t="shared" si="13"/>
        <v>93.4444444444444</v>
      </c>
      <c r="G157" s="5">
        <f t="shared" si="14"/>
        <v>0.20138888888888884</v>
      </c>
    </row>
    <row r="158" spans="1:7" ht="15.75" customHeight="1">
      <c r="A158" s="3">
        <v>21707</v>
      </c>
      <c r="B158" s="4">
        <v>51</v>
      </c>
      <c r="C158" s="8">
        <f t="shared" si="10"/>
        <v>39</v>
      </c>
      <c r="D158" s="8">
        <f t="shared" si="11"/>
        <v>12</v>
      </c>
      <c r="E158" s="8">
        <f t="shared" si="12"/>
        <v>12</v>
      </c>
      <c r="F158" s="8">
        <f t="shared" si="13"/>
        <v>144</v>
      </c>
      <c r="G158" s="5">
        <f t="shared" si="14"/>
        <v>0.23529411764705882</v>
      </c>
    </row>
    <row r="159" spans="1:7" ht="15.75" customHeight="1">
      <c r="A159" s="3">
        <v>21708</v>
      </c>
      <c r="B159" s="4">
        <v>36</v>
      </c>
      <c r="C159" s="8">
        <f t="shared" si="10"/>
        <v>44.666666666666664</v>
      </c>
      <c r="D159" s="8">
        <f t="shared" si="11"/>
        <v>-8.6666666666666643</v>
      </c>
      <c r="E159" s="8">
        <f t="shared" si="12"/>
        <v>8.6666666666666643</v>
      </c>
      <c r="F159" s="8">
        <f t="shared" si="13"/>
        <v>75.111111111111072</v>
      </c>
      <c r="G159" s="5">
        <f t="shared" si="14"/>
        <v>0.24074074074074067</v>
      </c>
    </row>
    <row r="160" spans="1:7" ht="15.75" customHeight="1">
      <c r="A160" s="3">
        <v>21709</v>
      </c>
      <c r="B160" s="4">
        <v>33</v>
      </c>
      <c r="C160" s="8">
        <f t="shared" si="10"/>
        <v>45</v>
      </c>
      <c r="D160" s="8">
        <f t="shared" si="11"/>
        <v>-12</v>
      </c>
      <c r="E160" s="8">
        <f t="shared" si="12"/>
        <v>12</v>
      </c>
      <c r="F160" s="8">
        <f t="shared" si="13"/>
        <v>144</v>
      </c>
      <c r="G160" s="5">
        <f t="shared" si="14"/>
        <v>0.36363636363636365</v>
      </c>
    </row>
    <row r="161" spans="1:7" ht="15.75" customHeight="1">
      <c r="A161" s="3">
        <v>21710</v>
      </c>
      <c r="B161" s="4">
        <v>46</v>
      </c>
      <c r="C161" s="8">
        <f t="shared" si="10"/>
        <v>40</v>
      </c>
      <c r="D161" s="8">
        <f t="shared" si="11"/>
        <v>6</v>
      </c>
      <c r="E161" s="8">
        <f t="shared" si="12"/>
        <v>6</v>
      </c>
      <c r="F161" s="8">
        <f t="shared" si="13"/>
        <v>36</v>
      </c>
      <c r="G161" s="5">
        <f t="shared" si="14"/>
        <v>0.13043478260869565</v>
      </c>
    </row>
    <row r="162" spans="1:7" ht="15.75" customHeight="1">
      <c r="A162" s="3">
        <v>21711</v>
      </c>
      <c r="B162" s="4">
        <v>42</v>
      </c>
      <c r="C162" s="8">
        <f t="shared" si="10"/>
        <v>38.333333333333336</v>
      </c>
      <c r="D162" s="8">
        <f t="shared" si="11"/>
        <v>3.6666666666666643</v>
      </c>
      <c r="E162" s="8">
        <f t="shared" si="12"/>
        <v>3.6666666666666643</v>
      </c>
      <c r="F162" s="8">
        <f t="shared" si="13"/>
        <v>13.444444444444427</v>
      </c>
      <c r="G162" s="5">
        <f t="shared" si="14"/>
        <v>8.7301587301587241E-2</v>
      </c>
    </row>
    <row r="163" spans="1:7" ht="15.75" customHeight="1">
      <c r="A163" s="3">
        <v>21712</v>
      </c>
      <c r="B163" s="4">
        <v>48</v>
      </c>
      <c r="C163" s="8">
        <f t="shared" si="10"/>
        <v>40.333333333333336</v>
      </c>
      <c r="D163" s="8">
        <f t="shared" si="11"/>
        <v>7.6666666666666643</v>
      </c>
      <c r="E163" s="8">
        <f t="shared" si="12"/>
        <v>7.6666666666666643</v>
      </c>
      <c r="F163" s="8">
        <f t="shared" si="13"/>
        <v>58.777777777777743</v>
      </c>
      <c r="G163" s="5">
        <f t="shared" si="14"/>
        <v>0.15972222222222218</v>
      </c>
    </row>
    <row r="164" spans="1:7" ht="15.75" customHeight="1">
      <c r="A164" s="3">
        <v>21713</v>
      </c>
      <c r="B164" s="4">
        <v>34</v>
      </c>
      <c r="C164" s="8">
        <f t="shared" si="10"/>
        <v>45.333333333333336</v>
      </c>
      <c r="D164" s="8">
        <f t="shared" si="11"/>
        <v>-11.333333333333336</v>
      </c>
      <c r="E164" s="8">
        <f t="shared" si="12"/>
        <v>11.333333333333336</v>
      </c>
      <c r="F164" s="8">
        <f t="shared" si="13"/>
        <v>128.44444444444449</v>
      </c>
      <c r="G164" s="5">
        <f t="shared" si="14"/>
        <v>0.33333333333333343</v>
      </c>
    </row>
    <row r="165" spans="1:7" ht="15.75" customHeight="1">
      <c r="A165" s="3">
        <v>21714</v>
      </c>
      <c r="B165" s="4">
        <v>41</v>
      </c>
      <c r="C165" s="8">
        <f t="shared" si="10"/>
        <v>41.333333333333336</v>
      </c>
      <c r="D165" s="8">
        <f t="shared" si="11"/>
        <v>-0.3333333333333357</v>
      </c>
      <c r="E165" s="8">
        <f t="shared" si="12"/>
        <v>0.3333333333333357</v>
      </c>
      <c r="F165" s="8">
        <f t="shared" si="13"/>
        <v>0.11111111111111269</v>
      </c>
      <c r="G165" s="5">
        <f t="shared" si="14"/>
        <v>8.1300813008130662E-3</v>
      </c>
    </row>
    <row r="166" spans="1:7" ht="15.75" customHeight="1">
      <c r="A166" s="3">
        <v>21715</v>
      </c>
      <c r="B166" s="4">
        <v>35</v>
      </c>
      <c r="C166" s="8">
        <f t="shared" si="10"/>
        <v>41</v>
      </c>
      <c r="D166" s="8">
        <f t="shared" si="11"/>
        <v>-6</v>
      </c>
      <c r="E166" s="8">
        <f t="shared" si="12"/>
        <v>6</v>
      </c>
      <c r="F166" s="8">
        <f t="shared" si="13"/>
        <v>36</v>
      </c>
      <c r="G166" s="5">
        <f t="shared" si="14"/>
        <v>0.17142857142857143</v>
      </c>
    </row>
    <row r="167" spans="1:7" ht="15.75" customHeight="1">
      <c r="A167" s="3">
        <v>21716</v>
      </c>
      <c r="B167" s="4">
        <v>40</v>
      </c>
      <c r="C167" s="8">
        <f t="shared" si="10"/>
        <v>36.666666666666664</v>
      </c>
      <c r="D167" s="8">
        <f t="shared" si="11"/>
        <v>3.3333333333333357</v>
      </c>
      <c r="E167" s="8">
        <f t="shared" si="12"/>
        <v>3.3333333333333357</v>
      </c>
      <c r="F167" s="8">
        <f t="shared" si="13"/>
        <v>11.111111111111127</v>
      </c>
      <c r="G167" s="5">
        <f t="shared" si="14"/>
        <v>8.3333333333333398E-2</v>
      </c>
    </row>
    <row r="168" spans="1:7" ht="15.75" customHeight="1">
      <c r="A168" s="3">
        <v>21717</v>
      </c>
      <c r="B168" s="4">
        <v>34</v>
      </c>
      <c r="C168" s="8">
        <f t="shared" si="10"/>
        <v>38.666666666666664</v>
      </c>
      <c r="D168" s="8">
        <f t="shared" si="11"/>
        <v>-4.6666666666666643</v>
      </c>
      <c r="E168" s="8">
        <f t="shared" si="12"/>
        <v>4.6666666666666643</v>
      </c>
      <c r="F168" s="8">
        <f t="shared" si="13"/>
        <v>21.777777777777757</v>
      </c>
      <c r="G168" s="5">
        <f t="shared" si="14"/>
        <v>0.13725490196078424</v>
      </c>
    </row>
    <row r="169" spans="1:7" ht="15.75" customHeight="1">
      <c r="A169" s="3">
        <v>21718</v>
      </c>
      <c r="B169" s="4">
        <v>30</v>
      </c>
      <c r="C169" s="8">
        <f t="shared" si="10"/>
        <v>36.333333333333336</v>
      </c>
      <c r="D169" s="8">
        <f t="shared" si="11"/>
        <v>-6.3333333333333357</v>
      </c>
      <c r="E169" s="8">
        <f t="shared" si="12"/>
        <v>6.3333333333333357</v>
      </c>
      <c r="F169" s="8">
        <f t="shared" si="13"/>
        <v>40.111111111111143</v>
      </c>
      <c r="G169" s="5">
        <f t="shared" si="14"/>
        <v>0.21111111111111119</v>
      </c>
    </row>
    <row r="170" spans="1:7" ht="15.75" customHeight="1">
      <c r="A170" s="3">
        <v>21719</v>
      </c>
      <c r="B170" s="4">
        <v>36</v>
      </c>
      <c r="C170" s="8">
        <f t="shared" si="10"/>
        <v>34.666666666666664</v>
      </c>
      <c r="D170" s="8">
        <f t="shared" si="11"/>
        <v>1.3333333333333357</v>
      </c>
      <c r="E170" s="8">
        <f t="shared" si="12"/>
        <v>1.3333333333333357</v>
      </c>
      <c r="F170" s="8">
        <f t="shared" si="13"/>
        <v>1.7777777777777841</v>
      </c>
      <c r="G170" s="5">
        <f t="shared" si="14"/>
        <v>3.7037037037037104E-2</v>
      </c>
    </row>
    <row r="171" spans="1:7" ht="15.75" customHeight="1">
      <c r="A171" s="3">
        <v>21720</v>
      </c>
      <c r="B171" s="4">
        <v>40</v>
      </c>
      <c r="C171" s="8">
        <f t="shared" si="10"/>
        <v>33.333333333333336</v>
      </c>
      <c r="D171" s="8">
        <f t="shared" si="11"/>
        <v>6.6666666666666643</v>
      </c>
      <c r="E171" s="8">
        <f t="shared" si="12"/>
        <v>6.6666666666666643</v>
      </c>
      <c r="F171" s="8">
        <f t="shared" si="13"/>
        <v>44.444444444444414</v>
      </c>
      <c r="G171" s="5">
        <f t="shared" si="14"/>
        <v>0.1666666666666666</v>
      </c>
    </row>
    <row r="172" spans="1:7" ht="15.75" customHeight="1">
      <c r="A172" s="3">
        <v>21721</v>
      </c>
      <c r="B172" s="4">
        <v>39</v>
      </c>
      <c r="C172" s="8">
        <f t="shared" si="10"/>
        <v>35.333333333333336</v>
      </c>
      <c r="D172" s="8">
        <f t="shared" si="11"/>
        <v>3.6666666666666643</v>
      </c>
      <c r="E172" s="8">
        <f t="shared" si="12"/>
        <v>3.6666666666666643</v>
      </c>
      <c r="F172" s="8">
        <f t="shared" si="13"/>
        <v>13.444444444444427</v>
      </c>
      <c r="G172" s="5">
        <f t="shared" si="14"/>
        <v>9.4017094017093961E-2</v>
      </c>
    </row>
    <row r="173" spans="1:7" ht="15.75" customHeight="1">
      <c r="A173" s="3">
        <v>21722</v>
      </c>
      <c r="B173" s="4">
        <v>45</v>
      </c>
      <c r="C173" s="8">
        <f t="shared" si="10"/>
        <v>38.333333333333336</v>
      </c>
      <c r="D173" s="8">
        <f t="shared" si="11"/>
        <v>6.6666666666666643</v>
      </c>
      <c r="E173" s="8">
        <f t="shared" si="12"/>
        <v>6.6666666666666643</v>
      </c>
      <c r="F173" s="8">
        <f t="shared" si="13"/>
        <v>44.444444444444414</v>
      </c>
      <c r="G173" s="5">
        <f t="shared" si="14"/>
        <v>0.14814814814814808</v>
      </c>
    </row>
    <row r="174" spans="1:7" ht="15.75" customHeight="1">
      <c r="A174" s="3">
        <v>21723</v>
      </c>
      <c r="B174" s="4">
        <v>38</v>
      </c>
      <c r="C174" s="8">
        <f t="shared" si="10"/>
        <v>41.333333333333336</v>
      </c>
      <c r="D174" s="8">
        <f t="shared" si="11"/>
        <v>-3.3333333333333357</v>
      </c>
      <c r="E174" s="8">
        <f t="shared" si="12"/>
        <v>3.3333333333333357</v>
      </c>
      <c r="F174" s="8">
        <f t="shared" si="13"/>
        <v>11.111111111111127</v>
      </c>
      <c r="G174" s="5">
        <f t="shared" si="14"/>
        <v>8.77192982456141E-2</v>
      </c>
    </row>
    <row r="175" spans="1:7" ht="15.75" customHeight="1">
      <c r="A175" s="3">
        <v>21724</v>
      </c>
      <c r="B175" s="4">
        <v>47</v>
      </c>
      <c r="C175" s="8">
        <f t="shared" si="10"/>
        <v>40.666666666666664</v>
      </c>
      <c r="D175" s="8">
        <f t="shared" si="11"/>
        <v>6.3333333333333357</v>
      </c>
      <c r="E175" s="8">
        <f t="shared" si="12"/>
        <v>6.3333333333333357</v>
      </c>
      <c r="F175" s="8">
        <f t="shared" si="13"/>
        <v>40.111111111111143</v>
      </c>
      <c r="G175" s="5">
        <f t="shared" si="14"/>
        <v>0.13475177304964545</v>
      </c>
    </row>
    <row r="176" spans="1:7" ht="15.75" customHeight="1">
      <c r="A176" s="3">
        <v>21725</v>
      </c>
      <c r="B176" s="4">
        <v>33</v>
      </c>
      <c r="C176" s="8">
        <f t="shared" si="10"/>
        <v>43.333333333333336</v>
      </c>
      <c r="D176" s="8">
        <f t="shared" si="11"/>
        <v>-10.333333333333336</v>
      </c>
      <c r="E176" s="8">
        <f t="shared" si="12"/>
        <v>10.333333333333336</v>
      </c>
      <c r="F176" s="8">
        <f t="shared" si="13"/>
        <v>106.77777777777783</v>
      </c>
      <c r="G176" s="5">
        <f t="shared" si="14"/>
        <v>0.3131313131313132</v>
      </c>
    </row>
    <row r="177" spans="1:7" ht="15.75" customHeight="1">
      <c r="A177" s="3">
        <v>21726</v>
      </c>
      <c r="B177" s="4">
        <v>30</v>
      </c>
      <c r="C177" s="8">
        <f t="shared" si="10"/>
        <v>39.333333333333336</v>
      </c>
      <c r="D177" s="8">
        <f t="shared" si="11"/>
        <v>-9.3333333333333357</v>
      </c>
      <c r="E177" s="8">
        <f t="shared" si="12"/>
        <v>9.3333333333333357</v>
      </c>
      <c r="F177" s="8">
        <f t="shared" si="13"/>
        <v>87.111111111111157</v>
      </c>
      <c r="G177" s="5">
        <f t="shared" si="14"/>
        <v>0.31111111111111117</v>
      </c>
    </row>
    <row r="178" spans="1:7" ht="15.75" customHeight="1">
      <c r="A178" s="3">
        <v>21727</v>
      </c>
      <c r="B178" s="4">
        <v>42</v>
      </c>
      <c r="C178" s="8">
        <f t="shared" si="10"/>
        <v>36.666666666666664</v>
      </c>
      <c r="D178" s="8">
        <f t="shared" si="11"/>
        <v>5.3333333333333357</v>
      </c>
      <c r="E178" s="8">
        <f t="shared" si="12"/>
        <v>5.3333333333333357</v>
      </c>
      <c r="F178" s="8">
        <f t="shared" si="13"/>
        <v>28.444444444444471</v>
      </c>
      <c r="G178" s="5">
        <f t="shared" si="14"/>
        <v>0.12698412698412703</v>
      </c>
    </row>
    <row r="179" spans="1:7" ht="15.75" customHeight="1">
      <c r="A179" s="3">
        <v>21728</v>
      </c>
      <c r="B179" s="4">
        <v>43</v>
      </c>
      <c r="C179" s="8">
        <f t="shared" si="10"/>
        <v>35</v>
      </c>
      <c r="D179" s="8">
        <f t="shared" si="11"/>
        <v>8</v>
      </c>
      <c r="E179" s="8">
        <f t="shared" si="12"/>
        <v>8</v>
      </c>
      <c r="F179" s="8">
        <f t="shared" si="13"/>
        <v>64</v>
      </c>
      <c r="G179" s="5">
        <f t="shared" si="14"/>
        <v>0.18604651162790697</v>
      </c>
    </row>
    <row r="180" spans="1:7" ht="15.75" customHeight="1">
      <c r="A180" s="3">
        <v>21729</v>
      </c>
      <c r="B180" s="4">
        <v>41</v>
      </c>
      <c r="C180" s="8">
        <f t="shared" si="10"/>
        <v>38.333333333333336</v>
      </c>
      <c r="D180" s="8">
        <f t="shared" si="11"/>
        <v>2.6666666666666643</v>
      </c>
      <c r="E180" s="8">
        <f t="shared" si="12"/>
        <v>2.6666666666666643</v>
      </c>
      <c r="F180" s="8">
        <f t="shared" si="13"/>
        <v>7.1111111111110983</v>
      </c>
      <c r="G180" s="5">
        <f t="shared" si="14"/>
        <v>6.5040650406504003E-2</v>
      </c>
    </row>
    <row r="181" spans="1:7" ht="15.75" customHeight="1">
      <c r="A181" s="3">
        <v>21730</v>
      </c>
      <c r="B181" s="4">
        <v>41</v>
      </c>
      <c r="C181" s="8">
        <f t="shared" si="10"/>
        <v>42</v>
      </c>
      <c r="D181" s="8">
        <f t="shared" si="11"/>
        <v>-1</v>
      </c>
      <c r="E181" s="8">
        <f t="shared" si="12"/>
        <v>1</v>
      </c>
      <c r="F181" s="8">
        <f t="shared" si="13"/>
        <v>1</v>
      </c>
      <c r="G181" s="5">
        <f t="shared" si="14"/>
        <v>2.4390243902439025E-2</v>
      </c>
    </row>
    <row r="182" spans="1:7" ht="15.75" customHeight="1">
      <c r="A182" s="3">
        <v>21731</v>
      </c>
      <c r="B182" s="4">
        <v>59</v>
      </c>
      <c r="C182" s="8">
        <f t="shared" si="10"/>
        <v>41.666666666666664</v>
      </c>
      <c r="D182" s="8">
        <f t="shared" si="11"/>
        <v>17.333333333333336</v>
      </c>
      <c r="E182" s="8">
        <f t="shared" si="12"/>
        <v>17.333333333333336</v>
      </c>
      <c r="F182" s="8">
        <f t="shared" si="13"/>
        <v>300.44444444444451</v>
      </c>
      <c r="G182" s="5">
        <f t="shared" si="14"/>
        <v>0.29378531073446329</v>
      </c>
    </row>
    <row r="183" spans="1:7" ht="15.75" customHeight="1">
      <c r="A183" s="3">
        <v>21732</v>
      </c>
      <c r="B183" s="4">
        <v>43</v>
      </c>
      <c r="C183" s="8">
        <f t="shared" si="10"/>
        <v>47</v>
      </c>
      <c r="D183" s="8">
        <f t="shared" si="11"/>
        <v>-4</v>
      </c>
      <c r="E183" s="8">
        <f t="shared" si="12"/>
        <v>4</v>
      </c>
      <c r="F183" s="8">
        <f t="shared" si="13"/>
        <v>16</v>
      </c>
      <c r="G183" s="5">
        <f t="shared" si="14"/>
        <v>9.3023255813953487E-2</v>
      </c>
    </row>
    <row r="184" spans="1:7" ht="15.75" customHeight="1">
      <c r="A184" s="3">
        <v>21733</v>
      </c>
      <c r="B184" s="4">
        <v>45</v>
      </c>
      <c r="C184" s="8">
        <f t="shared" si="10"/>
        <v>47.666666666666664</v>
      </c>
      <c r="D184" s="8">
        <f t="shared" si="11"/>
        <v>-2.6666666666666643</v>
      </c>
      <c r="E184" s="8">
        <f t="shared" si="12"/>
        <v>2.6666666666666643</v>
      </c>
      <c r="F184" s="8">
        <f t="shared" si="13"/>
        <v>7.1111111111110983</v>
      </c>
      <c r="G184" s="5">
        <f t="shared" si="14"/>
        <v>5.9259259259259206E-2</v>
      </c>
    </row>
    <row r="185" spans="1:7" ht="15.75" customHeight="1">
      <c r="A185" s="3">
        <v>21734</v>
      </c>
      <c r="B185" s="4">
        <v>38</v>
      </c>
      <c r="C185" s="8">
        <f t="shared" si="10"/>
        <v>49</v>
      </c>
      <c r="D185" s="8">
        <f t="shared" si="11"/>
        <v>-11</v>
      </c>
      <c r="E185" s="8">
        <f t="shared" si="12"/>
        <v>11</v>
      </c>
      <c r="F185" s="8">
        <f t="shared" si="13"/>
        <v>121</v>
      </c>
      <c r="G185" s="5">
        <f t="shared" si="14"/>
        <v>0.28947368421052633</v>
      </c>
    </row>
    <row r="186" spans="1:7" ht="15.75" customHeight="1">
      <c r="A186" s="3">
        <v>21735</v>
      </c>
      <c r="B186" s="4">
        <v>37</v>
      </c>
      <c r="C186" s="8">
        <f t="shared" si="10"/>
        <v>42</v>
      </c>
      <c r="D186" s="8">
        <f t="shared" si="11"/>
        <v>-5</v>
      </c>
      <c r="E186" s="8">
        <f t="shared" si="12"/>
        <v>5</v>
      </c>
      <c r="F186" s="8">
        <f t="shared" si="13"/>
        <v>25</v>
      </c>
      <c r="G186" s="5">
        <f t="shared" si="14"/>
        <v>0.13513513513513514</v>
      </c>
    </row>
    <row r="187" spans="1:7" ht="15.75" customHeight="1">
      <c r="A187" s="3">
        <v>21736</v>
      </c>
      <c r="B187" s="4">
        <v>45</v>
      </c>
      <c r="C187" s="8">
        <f t="shared" si="10"/>
        <v>40</v>
      </c>
      <c r="D187" s="8">
        <f t="shared" si="11"/>
        <v>5</v>
      </c>
      <c r="E187" s="8">
        <f t="shared" si="12"/>
        <v>5</v>
      </c>
      <c r="F187" s="8">
        <f t="shared" si="13"/>
        <v>25</v>
      </c>
      <c r="G187" s="5">
        <f t="shared" si="14"/>
        <v>0.1111111111111111</v>
      </c>
    </row>
    <row r="188" spans="1:7" ht="15.75" customHeight="1">
      <c r="A188" s="3">
        <v>21737</v>
      </c>
      <c r="B188" s="4">
        <v>42</v>
      </c>
      <c r="C188" s="8">
        <f t="shared" si="10"/>
        <v>40</v>
      </c>
      <c r="D188" s="8">
        <f t="shared" si="11"/>
        <v>2</v>
      </c>
      <c r="E188" s="8">
        <f t="shared" si="12"/>
        <v>2</v>
      </c>
      <c r="F188" s="8">
        <f t="shared" si="13"/>
        <v>4</v>
      </c>
      <c r="G188" s="5">
        <f t="shared" si="14"/>
        <v>4.7619047619047616E-2</v>
      </c>
    </row>
    <row r="189" spans="1:7" ht="15.75" customHeight="1">
      <c r="A189" s="3">
        <v>21738</v>
      </c>
      <c r="B189" s="4">
        <v>57</v>
      </c>
      <c r="C189" s="8">
        <f t="shared" si="10"/>
        <v>41.333333333333336</v>
      </c>
      <c r="D189" s="8">
        <f t="shared" si="11"/>
        <v>15.666666666666664</v>
      </c>
      <c r="E189" s="8">
        <f t="shared" si="12"/>
        <v>15.666666666666664</v>
      </c>
      <c r="F189" s="8">
        <f t="shared" si="13"/>
        <v>245.44444444444437</v>
      </c>
      <c r="G189" s="5">
        <f t="shared" si="14"/>
        <v>0.27485380116959063</v>
      </c>
    </row>
    <row r="190" spans="1:7" ht="15.75" customHeight="1">
      <c r="A190" s="3">
        <v>21739</v>
      </c>
      <c r="B190" s="4">
        <v>46</v>
      </c>
      <c r="C190" s="8">
        <f t="shared" si="10"/>
        <v>48</v>
      </c>
      <c r="D190" s="8">
        <f t="shared" si="11"/>
        <v>-2</v>
      </c>
      <c r="E190" s="8">
        <f t="shared" si="12"/>
        <v>2</v>
      </c>
      <c r="F190" s="8">
        <f t="shared" si="13"/>
        <v>4</v>
      </c>
      <c r="G190" s="5">
        <f t="shared" si="14"/>
        <v>4.3478260869565216E-2</v>
      </c>
    </row>
    <row r="191" spans="1:7" ht="15.75" customHeight="1">
      <c r="A191" s="3">
        <v>21740</v>
      </c>
      <c r="B191" s="4">
        <v>51</v>
      </c>
      <c r="C191" s="8">
        <f t="shared" si="10"/>
        <v>48.333333333333336</v>
      </c>
      <c r="D191" s="8">
        <f t="shared" si="11"/>
        <v>2.6666666666666643</v>
      </c>
      <c r="E191" s="8">
        <f t="shared" si="12"/>
        <v>2.6666666666666643</v>
      </c>
      <c r="F191" s="8">
        <f t="shared" si="13"/>
        <v>7.1111111111110983</v>
      </c>
      <c r="G191" s="5">
        <f t="shared" si="14"/>
        <v>5.2287581699346358E-2</v>
      </c>
    </row>
    <row r="192" spans="1:7" ht="15.75" customHeight="1">
      <c r="A192" s="3">
        <v>21741</v>
      </c>
      <c r="B192" s="4">
        <v>41</v>
      </c>
      <c r="C192" s="8">
        <f t="shared" si="10"/>
        <v>51.333333333333336</v>
      </c>
      <c r="D192" s="8">
        <f t="shared" si="11"/>
        <v>-10.333333333333336</v>
      </c>
      <c r="E192" s="8">
        <f t="shared" si="12"/>
        <v>10.333333333333336</v>
      </c>
      <c r="F192" s="8">
        <f t="shared" si="13"/>
        <v>106.77777777777783</v>
      </c>
      <c r="G192" s="5">
        <f t="shared" si="14"/>
        <v>0.25203252032520329</v>
      </c>
    </row>
    <row r="193" spans="1:7" ht="15.75" customHeight="1">
      <c r="A193" s="3">
        <v>21742</v>
      </c>
      <c r="B193" s="4">
        <v>47</v>
      </c>
      <c r="C193" s="8">
        <f t="shared" si="10"/>
        <v>46</v>
      </c>
      <c r="D193" s="8">
        <f t="shared" si="11"/>
        <v>1</v>
      </c>
      <c r="E193" s="8">
        <f t="shared" si="12"/>
        <v>1</v>
      </c>
      <c r="F193" s="8">
        <f t="shared" si="13"/>
        <v>1</v>
      </c>
      <c r="G193" s="5">
        <f t="shared" si="14"/>
        <v>2.1276595744680851E-2</v>
      </c>
    </row>
    <row r="194" spans="1:7" ht="15.75" customHeight="1">
      <c r="A194" s="3">
        <v>21743</v>
      </c>
      <c r="B194" s="4">
        <v>26</v>
      </c>
      <c r="C194" s="8">
        <f t="shared" si="10"/>
        <v>46.333333333333336</v>
      </c>
      <c r="D194" s="8">
        <f t="shared" si="11"/>
        <v>-20.333333333333336</v>
      </c>
      <c r="E194" s="8">
        <f t="shared" si="12"/>
        <v>20.333333333333336</v>
      </c>
      <c r="F194" s="8">
        <f t="shared" si="13"/>
        <v>413.44444444444451</v>
      </c>
      <c r="G194" s="5">
        <f t="shared" si="14"/>
        <v>0.78205128205128216</v>
      </c>
    </row>
    <row r="195" spans="1:7" ht="15.75" customHeight="1">
      <c r="A195" s="3">
        <v>21744</v>
      </c>
      <c r="B195" s="4">
        <v>35</v>
      </c>
      <c r="C195" s="8">
        <f t="shared" si="10"/>
        <v>38</v>
      </c>
      <c r="D195" s="8">
        <f t="shared" si="11"/>
        <v>-3</v>
      </c>
      <c r="E195" s="8">
        <f t="shared" si="12"/>
        <v>3</v>
      </c>
      <c r="F195" s="8">
        <f t="shared" si="13"/>
        <v>9</v>
      </c>
      <c r="G195" s="5">
        <f t="shared" si="14"/>
        <v>8.5714285714285715E-2</v>
      </c>
    </row>
    <row r="196" spans="1:7" ht="15.75" customHeight="1">
      <c r="A196" s="3">
        <v>21745</v>
      </c>
      <c r="B196" s="4">
        <v>44</v>
      </c>
      <c r="C196" s="8">
        <f t="shared" si="10"/>
        <v>36</v>
      </c>
      <c r="D196" s="8">
        <f t="shared" si="11"/>
        <v>8</v>
      </c>
      <c r="E196" s="8">
        <f t="shared" si="12"/>
        <v>8</v>
      </c>
      <c r="F196" s="8">
        <f t="shared" si="13"/>
        <v>64</v>
      </c>
      <c r="G196" s="5">
        <f t="shared" si="14"/>
        <v>0.18181818181818182</v>
      </c>
    </row>
    <row r="197" spans="1:7" ht="15.75" customHeight="1">
      <c r="A197" s="3">
        <v>21746</v>
      </c>
      <c r="B197" s="4">
        <v>41</v>
      </c>
      <c r="C197" s="8">
        <f t="shared" si="10"/>
        <v>35</v>
      </c>
      <c r="D197" s="8">
        <f t="shared" si="11"/>
        <v>6</v>
      </c>
      <c r="E197" s="8">
        <f t="shared" si="12"/>
        <v>6</v>
      </c>
      <c r="F197" s="8">
        <f t="shared" si="13"/>
        <v>36</v>
      </c>
      <c r="G197" s="5">
        <f t="shared" si="14"/>
        <v>0.14634146341463414</v>
      </c>
    </row>
    <row r="198" spans="1:7" ht="15.75" customHeight="1">
      <c r="A198" s="3">
        <v>21747</v>
      </c>
      <c r="B198" s="4">
        <v>42</v>
      </c>
      <c r="C198" s="8">
        <f t="shared" ref="C198:C261" si="15">AVERAGE(B195:B197)</f>
        <v>40</v>
      </c>
      <c r="D198" s="8">
        <f t="shared" ref="D198:D261" si="16">B198-C198</f>
        <v>2</v>
      </c>
      <c r="E198" s="8">
        <f t="shared" ref="E198:E261" si="17">ABS(D198)</f>
        <v>2</v>
      </c>
      <c r="F198" s="8">
        <f t="shared" ref="F198:F261" si="18">E198^2</f>
        <v>4</v>
      </c>
      <c r="G198" s="5">
        <f t="shared" ref="G198:G261" si="19">E198/B198</f>
        <v>4.7619047619047616E-2</v>
      </c>
    </row>
    <row r="199" spans="1:7" ht="15.75" customHeight="1">
      <c r="A199" s="3">
        <v>21748</v>
      </c>
      <c r="B199" s="4">
        <v>36</v>
      </c>
      <c r="C199" s="8">
        <f t="shared" si="15"/>
        <v>42.333333333333336</v>
      </c>
      <c r="D199" s="8">
        <f t="shared" si="16"/>
        <v>-6.3333333333333357</v>
      </c>
      <c r="E199" s="8">
        <f t="shared" si="17"/>
        <v>6.3333333333333357</v>
      </c>
      <c r="F199" s="8">
        <f t="shared" si="18"/>
        <v>40.111111111111143</v>
      </c>
      <c r="G199" s="5">
        <f t="shared" si="19"/>
        <v>0.17592592592592599</v>
      </c>
    </row>
    <row r="200" spans="1:7" ht="15.75" customHeight="1">
      <c r="A200" s="3">
        <v>21749</v>
      </c>
      <c r="B200" s="4">
        <v>45</v>
      </c>
      <c r="C200" s="8">
        <f t="shared" si="15"/>
        <v>39.666666666666664</v>
      </c>
      <c r="D200" s="8">
        <f t="shared" si="16"/>
        <v>5.3333333333333357</v>
      </c>
      <c r="E200" s="8">
        <f t="shared" si="17"/>
        <v>5.3333333333333357</v>
      </c>
      <c r="F200" s="8">
        <f t="shared" si="18"/>
        <v>28.444444444444471</v>
      </c>
      <c r="G200" s="5">
        <f t="shared" si="19"/>
        <v>0.11851851851851856</v>
      </c>
    </row>
    <row r="201" spans="1:7" ht="15.75" customHeight="1">
      <c r="A201" s="3">
        <v>21750</v>
      </c>
      <c r="B201" s="4">
        <v>45</v>
      </c>
      <c r="C201" s="8">
        <f t="shared" si="15"/>
        <v>41</v>
      </c>
      <c r="D201" s="8">
        <f t="shared" si="16"/>
        <v>4</v>
      </c>
      <c r="E201" s="8">
        <f t="shared" si="17"/>
        <v>4</v>
      </c>
      <c r="F201" s="8">
        <f t="shared" si="18"/>
        <v>16</v>
      </c>
      <c r="G201" s="5">
        <f t="shared" si="19"/>
        <v>8.8888888888888892E-2</v>
      </c>
    </row>
    <row r="202" spans="1:7" ht="15.75" customHeight="1">
      <c r="A202" s="3">
        <v>21751</v>
      </c>
      <c r="B202" s="4">
        <v>45</v>
      </c>
      <c r="C202" s="8">
        <f t="shared" si="15"/>
        <v>42</v>
      </c>
      <c r="D202" s="8">
        <f t="shared" si="16"/>
        <v>3</v>
      </c>
      <c r="E202" s="8">
        <f t="shared" si="17"/>
        <v>3</v>
      </c>
      <c r="F202" s="8">
        <f t="shared" si="18"/>
        <v>9</v>
      </c>
      <c r="G202" s="5">
        <f t="shared" si="19"/>
        <v>6.6666666666666666E-2</v>
      </c>
    </row>
    <row r="203" spans="1:7" ht="15.75" customHeight="1">
      <c r="A203" s="3">
        <v>21752</v>
      </c>
      <c r="B203" s="4">
        <v>47</v>
      </c>
      <c r="C203" s="8">
        <f t="shared" si="15"/>
        <v>45</v>
      </c>
      <c r="D203" s="8">
        <f t="shared" si="16"/>
        <v>2</v>
      </c>
      <c r="E203" s="8">
        <f t="shared" si="17"/>
        <v>2</v>
      </c>
      <c r="F203" s="8">
        <f t="shared" si="18"/>
        <v>4</v>
      </c>
      <c r="G203" s="5">
        <f t="shared" si="19"/>
        <v>4.2553191489361701E-2</v>
      </c>
    </row>
    <row r="204" spans="1:7" ht="15.75" customHeight="1">
      <c r="A204" s="3">
        <v>21753</v>
      </c>
      <c r="B204" s="4">
        <v>38</v>
      </c>
      <c r="C204" s="8">
        <f t="shared" si="15"/>
        <v>45.666666666666664</v>
      </c>
      <c r="D204" s="8">
        <f t="shared" si="16"/>
        <v>-7.6666666666666643</v>
      </c>
      <c r="E204" s="8">
        <f t="shared" si="17"/>
        <v>7.6666666666666643</v>
      </c>
      <c r="F204" s="8">
        <f t="shared" si="18"/>
        <v>58.777777777777743</v>
      </c>
      <c r="G204" s="5">
        <f t="shared" si="19"/>
        <v>0.20175438596491221</v>
      </c>
    </row>
    <row r="205" spans="1:7" ht="15.75" customHeight="1">
      <c r="A205" s="3">
        <v>21754</v>
      </c>
      <c r="B205" s="4">
        <v>42</v>
      </c>
      <c r="C205" s="8">
        <f t="shared" si="15"/>
        <v>43.333333333333336</v>
      </c>
      <c r="D205" s="8">
        <f t="shared" si="16"/>
        <v>-1.3333333333333357</v>
      </c>
      <c r="E205" s="8">
        <f t="shared" si="17"/>
        <v>1.3333333333333357</v>
      </c>
      <c r="F205" s="8">
        <f t="shared" si="18"/>
        <v>1.7777777777777841</v>
      </c>
      <c r="G205" s="5">
        <f t="shared" si="19"/>
        <v>3.17460317460318E-2</v>
      </c>
    </row>
    <row r="206" spans="1:7" ht="15.75" customHeight="1">
      <c r="A206" s="3">
        <v>21755</v>
      </c>
      <c r="B206" s="4">
        <v>35</v>
      </c>
      <c r="C206" s="8">
        <f t="shared" si="15"/>
        <v>42.333333333333336</v>
      </c>
      <c r="D206" s="8">
        <f t="shared" si="16"/>
        <v>-7.3333333333333357</v>
      </c>
      <c r="E206" s="8">
        <f t="shared" si="17"/>
        <v>7.3333333333333357</v>
      </c>
      <c r="F206" s="8">
        <f t="shared" si="18"/>
        <v>53.777777777777814</v>
      </c>
      <c r="G206" s="5">
        <f t="shared" si="19"/>
        <v>0.20952380952380958</v>
      </c>
    </row>
    <row r="207" spans="1:7" ht="15.75" customHeight="1">
      <c r="A207" s="3">
        <v>21756</v>
      </c>
      <c r="B207" s="4">
        <v>36</v>
      </c>
      <c r="C207" s="8">
        <f t="shared" si="15"/>
        <v>38.333333333333336</v>
      </c>
      <c r="D207" s="8">
        <f t="shared" si="16"/>
        <v>-2.3333333333333357</v>
      </c>
      <c r="E207" s="8">
        <f t="shared" si="17"/>
        <v>2.3333333333333357</v>
      </c>
      <c r="F207" s="8">
        <f t="shared" si="18"/>
        <v>5.4444444444444553</v>
      </c>
      <c r="G207" s="5">
        <f t="shared" si="19"/>
        <v>6.4814814814814881E-2</v>
      </c>
    </row>
    <row r="208" spans="1:7" ht="15.75" customHeight="1">
      <c r="A208" s="3">
        <v>21757</v>
      </c>
      <c r="B208" s="4">
        <v>39</v>
      </c>
      <c r="C208" s="8">
        <f t="shared" si="15"/>
        <v>37.666666666666664</v>
      </c>
      <c r="D208" s="8">
        <f t="shared" si="16"/>
        <v>1.3333333333333357</v>
      </c>
      <c r="E208" s="8">
        <f t="shared" si="17"/>
        <v>1.3333333333333357</v>
      </c>
      <c r="F208" s="8">
        <f t="shared" si="18"/>
        <v>1.7777777777777841</v>
      </c>
      <c r="G208" s="5">
        <f t="shared" si="19"/>
        <v>3.4188034188034247E-2</v>
      </c>
    </row>
    <row r="209" spans="1:7" ht="15.75" customHeight="1">
      <c r="A209" s="3">
        <v>21758</v>
      </c>
      <c r="B209" s="4">
        <v>45</v>
      </c>
      <c r="C209" s="8">
        <f t="shared" si="15"/>
        <v>36.666666666666664</v>
      </c>
      <c r="D209" s="8">
        <f t="shared" si="16"/>
        <v>8.3333333333333357</v>
      </c>
      <c r="E209" s="8">
        <f t="shared" si="17"/>
        <v>8.3333333333333357</v>
      </c>
      <c r="F209" s="8">
        <f t="shared" si="18"/>
        <v>69.444444444444485</v>
      </c>
      <c r="G209" s="5">
        <f t="shared" si="19"/>
        <v>0.18518518518518523</v>
      </c>
    </row>
    <row r="210" spans="1:7" ht="15.75" customHeight="1">
      <c r="A210" s="3">
        <v>21759</v>
      </c>
      <c r="B210" s="4">
        <v>43</v>
      </c>
      <c r="C210" s="8">
        <f t="shared" si="15"/>
        <v>40</v>
      </c>
      <c r="D210" s="8">
        <f t="shared" si="16"/>
        <v>3</v>
      </c>
      <c r="E210" s="8">
        <f t="shared" si="17"/>
        <v>3</v>
      </c>
      <c r="F210" s="8">
        <f t="shared" si="18"/>
        <v>9</v>
      </c>
      <c r="G210" s="5">
        <f t="shared" si="19"/>
        <v>6.9767441860465115E-2</v>
      </c>
    </row>
    <row r="211" spans="1:7" ht="15.75" customHeight="1">
      <c r="A211" s="3">
        <v>21760</v>
      </c>
      <c r="B211" s="4">
        <v>47</v>
      </c>
      <c r="C211" s="8">
        <f t="shared" si="15"/>
        <v>42.333333333333336</v>
      </c>
      <c r="D211" s="8">
        <f t="shared" si="16"/>
        <v>4.6666666666666643</v>
      </c>
      <c r="E211" s="8">
        <f t="shared" si="17"/>
        <v>4.6666666666666643</v>
      </c>
      <c r="F211" s="8">
        <f t="shared" si="18"/>
        <v>21.777777777777757</v>
      </c>
      <c r="G211" s="5">
        <f t="shared" si="19"/>
        <v>9.9290780141843921E-2</v>
      </c>
    </row>
    <row r="212" spans="1:7" ht="15.75" customHeight="1">
      <c r="A212" s="3">
        <v>21761</v>
      </c>
      <c r="B212" s="4">
        <v>36</v>
      </c>
      <c r="C212" s="8">
        <f t="shared" si="15"/>
        <v>45</v>
      </c>
      <c r="D212" s="8">
        <f t="shared" si="16"/>
        <v>-9</v>
      </c>
      <c r="E212" s="8">
        <f t="shared" si="17"/>
        <v>9</v>
      </c>
      <c r="F212" s="8">
        <f t="shared" si="18"/>
        <v>81</v>
      </c>
      <c r="G212" s="5">
        <f t="shared" si="19"/>
        <v>0.25</v>
      </c>
    </row>
    <row r="213" spans="1:7" ht="15.75" customHeight="1">
      <c r="A213" s="3">
        <v>21762</v>
      </c>
      <c r="B213" s="4">
        <v>41</v>
      </c>
      <c r="C213" s="8">
        <f t="shared" si="15"/>
        <v>42</v>
      </c>
      <c r="D213" s="8">
        <f t="shared" si="16"/>
        <v>-1</v>
      </c>
      <c r="E213" s="8">
        <f t="shared" si="17"/>
        <v>1</v>
      </c>
      <c r="F213" s="8">
        <f t="shared" si="18"/>
        <v>1</v>
      </c>
      <c r="G213" s="5">
        <f t="shared" si="19"/>
        <v>2.4390243902439025E-2</v>
      </c>
    </row>
    <row r="214" spans="1:7" ht="15.75" customHeight="1">
      <c r="A214" s="3">
        <v>21763</v>
      </c>
      <c r="B214" s="4">
        <v>50</v>
      </c>
      <c r="C214" s="8">
        <f t="shared" si="15"/>
        <v>41.333333333333336</v>
      </c>
      <c r="D214" s="8">
        <f t="shared" si="16"/>
        <v>8.6666666666666643</v>
      </c>
      <c r="E214" s="8">
        <f t="shared" si="17"/>
        <v>8.6666666666666643</v>
      </c>
      <c r="F214" s="8">
        <f t="shared" si="18"/>
        <v>75.111111111111072</v>
      </c>
      <c r="G214" s="5">
        <f t="shared" si="19"/>
        <v>0.17333333333333328</v>
      </c>
    </row>
    <row r="215" spans="1:7" ht="15.75" customHeight="1">
      <c r="A215" s="3">
        <v>21764</v>
      </c>
      <c r="B215" s="4">
        <v>39</v>
      </c>
      <c r="C215" s="8">
        <f t="shared" si="15"/>
        <v>42.333333333333336</v>
      </c>
      <c r="D215" s="8">
        <f t="shared" si="16"/>
        <v>-3.3333333333333357</v>
      </c>
      <c r="E215" s="8">
        <f t="shared" si="17"/>
        <v>3.3333333333333357</v>
      </c>
      <c r="F215" s="8">
        <f t="shared" si="18"/>
        <v>11.111111111111127</v>
      </c>
      <c r="G215" s="5">
        <f t="shared" si="19"/>
        <v>8.5470085470085527E-2</v>
      </c>
    </row>
    <row r="216" spans="1:7" ht="15.75" customHeight="1">
      <c r="A216" s="3">
        <v>21765</v>
      </c>
      <c r="B216" s="4">
        <v>41</v>
      </c>
      <c r="C216" s="8">
        <f t="shared" si="15"/>
        <v>43.333333333333336</v>
      </c>
      <c r="D216" s="8">
        <f t="shared" si="16"/>
        <v>-2.3333333333333357</v>
      </c>
      <c r="E216" s="8">
        <f t="shared" si="17"/>
        <v>2.3333333333333357</v>
      </c>
      <c r="F216" s="8">
        <f t="shared" si="18"/>
        <v>5.4444444444444553</v>
      </c>
      <c r="G216" s="5">
        <f t="shared" si="19"/>
        <v>5.6910569105691117E-2</v>
      </c>
    </row>
    <row r="217" spans="1:7" ht="15.75" customHeight="1">
      <c r="A217" s="3">
        <v>21766</v>
      </c>
      <c r="B217" s="4">
        <v>46</v>
      </c>
      <c r="C217" s="8">
        <f t="shared" si="15"/>
        <v>43.333333333333336</v>
      </c>
      <c r="D217" s="8">
        <f t="shared" si="16"/>
        <v>2.6666666666666643</v>
      </c>
      <c r="E217" s="8">
        <f t="shared" si="17"/>
        <v>2.6666666666666643</v>
      </c>
      <c r="F217" s="8">
        <f t="shared" si="18"/>
        <v>7.1111111111110983</v>
      </c>
      <c r="G217" s="5">
        <f t="shared" si="19"/>
        <v>5.7971014492753568E-2</v>
      </c>
    </row>
    <row r="218" spans="1:7" ht="15.75" customHeight="1">
      <c r="A218" s="3">
        <v>21767</v>
      </c>
      <c r="B218" s="4">
        <v>64</v>
      </c>
      <c r="C218" s="8">
        <f t="shared" si="15"/>
        <v>42</v>
      </c>
      <c r="D218" s="8">
        <f t="shared" si="16"/>
        <v>22</v>
      </c>
      <c r="E218" s="8">
        <f t="shared" si="17"/>
        <v>22</v>
      </c>
      <c r="F218" s="8">
        <f t="shared" si="18"/>
        <v>484</v>
      </c>
      <c r="G218" s="5">
        <f t="shared" si="19"/>
        <v>0.34375</v>
      </c>
    </row>
    <row r="219" spans="1:7" ht="15.75" customHeight="1">
      <c r="A219" s="3">
        <v>21768</v>
      </c>
      <c r="B219" s="4">
        <v>45</v>
      </c>
      <c r="C219" s="8">
        <f t="shared" si="15"/>
        <v>50.333333333333336</v>
      </c>
      <c r="D219" s="8">
        <f t="shared" si="16"/>
        <v>-5.3333333333333357</v>
      </c>
      <c r="E219" s="8">
        <f t="shared" si="17"/>
        <v>5.3333333333333357</v>
      </c>
      <c r="F219" s="8">
        <f t="shared" si="18"/>
        <v>28.444444444444471</v>
      </c>
      <c r="G219" s="5">
        <f t="shared" si="19"/>
        <v>0.11851851851851856</v>
      </c>
    </row>
    <row r="220" spans="1:7" ht="15.75" customHeight="1">
      <c r="A220" s="3">
        <v>21769</v>
      </c>
      <c r="B220" s="4">
        <v>34</v>
      </c>
      <c r="C220" s="8">
        <f t="shared" si="15"/>
        <v>51.666666666666664</v>
      </c>
      <c r="D220" s="8">
        <f t="shared" si="16"/>
        <v>-17.666666666666664</v>
      </c>
      <c r="E220" s="8">
        <f t="shared" si="17"/>
        <v>17.666666666666664</v>
      </c>
      <c r="F220" s="8">
        <f t="shared" si="18"/>
        <v>312.11111111111103</v>
      </c>
      <c r="G220" s="5">
        <f t="shared" si="19"/>
        <v>0.51960784313725483</v>
      </c>
    </row>
    <row r="221" spans="1:7" ht="15.75" customHeight="1">
      <c r="A221" s="3">
        <v>21770</v>
      </c>
      <c r="B221" s="4">
        <v>38</v>
      </c>
      <c r="C221" s="8">
        <f t="shared" si="15"/>
        <v>47.666666666666664</v>
      </c>
      <c r="D221" s="8">
        <f t="shared" si="16"/>
        <v>-9.6666666666666643</v>
      </c>
      <c r="E221" s="8">
        <f t="shared" si="17"/>
        <v>9.6666666666666643</v>
      </c>
      <c r="F221" s="8">
        <f t="shared" si="18"/>
        <v>93.4444444444444</v>
      </c>
      <c r="G221" s="5">
        <f t="shared" si="19"/>
        <v>0.25438596491228066</v>
      </c>
    </row>
    <row r="222" spans="1:7" ht="15.75" customHeight="1">
      <c r="A222" s="3">
        <v>21771</v>
      </c>
      <c r="B222" s="4">
        <v>44</v>
      </c>
      <c r="C222" s="8">
        <f t="shared" si="15"/>
        <v>39</v>
      </c>
      <c r="D222" s="8">
        <f t="shared" si="16"/>
        <v>5</v>
      </c>
      <c r="E222" s="8">
        <f t="shared" si="17"/>
        <v>5</v>
      </c>
      <c r="F222" s="8">
        <f t="shared" si="18"/>
        <v>25</v>
      </c>
      <c r="G222" s="5">
        <f t="shared" si="19"/>
        <v>0.11363636363636363</v>
      </c>
    </row>
    <row r="223" spans="1:7" ht="15.75" customHeight="1">
      <c r="A223" s="3">
        <v>21772</v>
      </c>
      <c r="B223" s="4">
        <v>48</v>
      </c>
      <c r="C223" s="8">
        <f t="shared" si="15"/>
        <v>38.666666666666664</v>
      </c>
      <c r="D223" s="8">
        <f t="shared" si="16"/>
        <v>9.3333333333333357</v>
      </c>
      <c r="E223" s="8">
        <f t="shared" si="17"/>
        <v>9.3333333333333357</v>
      </c>
      <c r="F223" s="8">
        <f t="shared" si="18"/>
        <v>87.111111111111157</v>
      </c>
      <c r="G223" s="5">
        <f t="shared" si="19"/>
        <v>0.1944444444444445</v>
      </c>
    </row>
    <row r="224" spans="1:7" ht="15.75" customHeight="1">
      <c r="A224" s="3">
        <v>21773</v>
      </c>
      <c r="B224" s="4">
        <v>46</v>
      </c>
      <c r="C224" s="8">
        <f t="shared" si="15"/>
        <v>43.333333333333336</v>
      </c>
      <c r="D224" s="8">
        <f t="shared" si="16"/>
        <v>2.6666666666666643</v>
      </c>
      <c r="E224" s="8">
        <f t="shared" si="17"/>
        <v>2.6666666666666643</v>
      </c>
      <c r="F224" s="8">
        <f t="shared" si="18"/>
        <v>7.1111111111110983</v>
      </c>
      <c r="G224" s="5">
        <f t="shared" si="19"/>
        <v>5.7971014492753568E-2</v>
      </c>
    </row>
    <row r="225" spans="1:7" ht="15.75" customHeight="1">
      <c r="A225" s="3">
        <v>21774</v>
      </c>
      <c r="B225" s="4">
        <v>44</v>
      </c>
      <c r="C225" s="8">
        <f t="shared" si="15"/>
        <v>46</v>
      </c>
      <c r="D225" s="8">
        <f t="shared" si="16"/>
        <v>-2</v>
      </c>
      <c r="E225" s="8">
        <f t="shared" si="17"/>
        <v>2</v>
      </c>
      <c r="F225" s="8">
        <f t="shared" si="18"/>
        <v>4</v>
      </c>
      <c r="G225" s="5">
        <f t="shared" si="19"/>
        <v>4.5454545454545456E-2</v>
      </c>
    </row>
    <row r="226" spans="1:7" ht="15.75" customHeight="1">
      <c r="A226" s="3">
        <v>21775</v>
      </c>
      <c r="B226" s="4">
        <v>37</v>
      </c>
      <c r="C226" s="8">
        <f t="shared" si="15"/>
        <v>46</v>
      </c>
      <c r="D226" s="8">
        <f t="shared" si="16"/>
        <v>-9</v>
      </c>
      <c r="E226" s="8">
        <f t="shared" si="17"/>
        <v>9</v>
      </c>
      <c r="F226" s="8">
        <f t="shared" si="18"/>
        <v>81</v>
      </c>
      <c r="G226" s="5">
        <f t="shared" si="19"/>
        <v>0.24324324324324326</v>
      </c>
    </row>
    <row r="227" spans="1:7" ht="15.75" customHeight="1">
      <c r="A227" s="3">
        <v>21776</v>
      </c>
      <c r="B227" s="4">
        <v>39</v>
      </c>
      <c r="C227" s="8">
        <f t="shared" si="15"/>
        <v>42.333333333333336</v>
      </c>
      <c r="D227" s="8">
        <f t="shared" si="16"/>
        <v>-3.3333333333333357</v>
      </c>
      <c r="E227" s="8">
        <f t="shared" si="17"/>
        <v>3.3333333333333357</v>
      </c>
      <c r="F227" s="8">
        <f t="shared" si="18"/>
        <v>11.111111111111127</v>
      </c>
      <c r="G227" s="5">
        <f t="shared" si="19"/>
        <v>8.5470085470085527E-2</v>
      </c>
    </row>
    <row r="228" spans="1:7" ht="15.75" customHeight="1">
      <c r="A228" s="3">
        <v>21777</v>
      </c>
      <c r="B228" s="4">
        <v>44</v>
      </c>
      <c r="C228" s="8">
        <f t="shared" si="15"/>
        <v>40</v>
      </c>
      <c r="D228" s="8">
        <f t="shared" si="16"/>
        <v>4</v>
      </c>
      <c r="E228" s="8">
        <f t="shared" si="17"/>
        <v>4</v>
      </c>
      <c r="F228" s="8">
        <f t="shared" si="18"/>
        <v>16</v>
      </c>
      <c r="G228" s="5">
        <f t="shared" si="19"/>
        <v>9.0909090909090912E-2</v>
      </c>
    </row>
    <row r="229" spans="1:7" ht="15.75" customHeight="1">
      <c r="A229" s="3">
        <v>21778</v>
      </c>
      <c r="B229" s="4">
        <v>45</v>
      </c>
      <c r="C229" s="8">
        <f t="shared" si="15"/>
        <v>40</v>
      </c>
      <c r="D229" s="8">
        <f t="shared" si="16"/>
        <v>5</v>
      </c>
      <c r="E229" s="8">
        <f t="shared" si="17"/>
        <v>5</v>
      </c>
      <c r="F229" s="8">
        <f t="shared" si="18"/>
        <v>25</v>
      </c>
      <c r="G229" s="5">
        <f t="shared" si="19"/>
        <v>0.1111111111111111</v>
      </c>
    </row>
    <row r="230" spans="1:7" ht="15.75" customHeight="1">
      <c r="A230" s="3">
        <v>21779</v>
      </c>
      <c r="B230" s="4">
        <v>33</v>
      </c>
      <c r="C230" s="8">
        <f t="shared" si="15"/>
        <v>42.666666666666664</v>
      </c>
      <c r="D230" s="8">
        <f t="shared" si="16"/>
        <v>-9.6666666666666643</v>
      </c>
      <c r="E230" s="8">
        <f t="shared" si="17"/>
        <v>9.6666666666666643</v>
      </c>
      <c r="F230" s="8">
        <f t="shared" si="18"/>
        <v>93.4444444444444</v>
      </c>
      <c r="G230" s="5">
        <f t="shared" si="19"/>
        <v>0.29292929292929287</v>
      </c>
    </row>
    <row r="231" spans="1:7" ht="15.75" customHeight="1">
      <c r="A231" s="3">
        <v>21780</v>
      </c>
      <c r="B231" s="4">
        <v>44</v>
      </c>
      <c r="C231" s="8">
        <f t="shared" si="15"/>
        <v>40.666666666666664</v>
      </c>
      <c r="D231" s="8">
        <f t="shared" si="16"/>
        <v>3.3333333333333357</v>
      </c>
      <c r="E231" s="8">
        <f t="shared" si="17"/>
        <v>3.3333333333333357</v>
      </c>
      <c r="F231" s="8">
        <f t="shared" si="18"/>
        <v>11.111111111111127</v>
      </c>
      <c r="G231" s="5">
        <f t="shared" si="19"/>
        <v>7.5757575757575815E-2</v>
      </c>
    </row>
    <row r="232" spans="1:7" ht="15.75" customHeight="1">
      <c r="A232" s="3">
        <v>21781</v>
      </c>
      <c r="B232" s="4">
        <v>38</v>
      </c>
      <c r="C232" s="8">
        <f t="shared" si="15"/>
        <v>40.666666666666664</v>
      </c>
      <c r="D232" s="8">
        <f t="shared" si="16"/>
        <v>-2.6666666666666643</v>
      </c>
      <c r="E232" s="8">
        <f t="shared" si="17"/>
        <v>2.6666666666666643</v>
      </c>
      <c r="F232" s="8">
        <f t="shared" si="18"/>
        <v>7.1111111111110983</v>
      </c>
      <c r="G232" s="5">
        <f t="shared" si="19"/>
        <v>7.0175438596491169E-2</v>
      </c>
    </row>
    <row r="233" spans="1:7" ht="15.75" customHeight="1">
      <c r="A233" s="3">
        <v>21782</v>
      </c>
      <c r="B233" s="4">
        <v>46</v>
      </c>
      <c r="C233" s="8">
        <f t="shared" si="15"/>
        <v>38.333333333333336</v>
      </c>
      <c r="D233" s="8">
        <f t="shared" si="16"/>
        <v>7.6666666666666643</v>
      </c>
      <c r="E233" s="8">
        <f t="shared" si="17"/>
        <v>7.6666666666666643</v>
      </c>
      <c r="F233" s="8">
        <f t="shared" si="18"/>
        <v>58.777777777777743</v>
      </c>
      <c r="G233" s="5">
        <f t="shared" si="19"/>
        <v>0.1666666666666666</v>
      </c>
    </row>
    <row r="234" spans="1:7" ht="15.75" customHeight="1">
      <c r="A234" s="3">
        <v>21783</v>
      </c>
      <c r="B234" s="4">
        <v>46</v>
      </c>
      <c r="C234" s="8">
        <f t="shared" si="15"/>
        <v>42.666666666666664</v>
      </c>
      <c r="D234" s="8">
        <f t="shared" si="16"/>
        <v>3.3333333333333357</v>
      </c>
      <c r="E234" s="8">
        <f t="shared" si="17"/>
        <v>3.3333333333333357</v>
      </c>
      <c r="F234" s="8">
        <f t="shared" si="18"/>
        <v>11.111111111111127</v>
      </c>
      <c r="G234" s="5">
        <f t="shared" si="19"/>
        <v>7.2463768115942087E-2</v>
      </c>
    </row>
    <row r="235" spans="1:7" ht="15.75" customHeight="1">
      <c r="A235" s="3">
        <v>21784</v>
      </c>
      <c r="B235" s="4">
        <v>40</v>
      </c>
      <c r="C235" s="8">
        <f t="shared" si="15"/>
        <v>43.333333333333336</v>
      </c>
      <c r="D235" s="8">
        <f t="shared" si="16"/>
        <v>-3.3333333333333357</v>
      </c>
      <c r="E235" s="8">
        <f t="shared" si="17"/>
        <v>3.3333333333333357</v>
      </c>
      <c r="F235" s="8">
        <f t="shared" si="18"/>
        <v>11.111111111111127</v>
      </c>
      <c r="G235" s="5">
        <f t="shared" si="19"/>
        <v>8.3333333333333398E-2</v>
      </c>
    </row>
    <row r="236" spans="1:7" ht="15.75" customHeight="1">
      <c r="A236" s="3">
        <v>21785</v>
      </c>
      <c r="B236" s="4">
        <v>39</v>
      </c>
      <c r="C236" s="8">
        <f t="shared" si="15"/>
        <v>44</v>
      </c>
      <c r="D236" s="8">
        <f t="shared" si="16"/>
        <v>-5</v>
      </c>
      <c r="E236" s="8">
        <f t="shared" si="17"/>
        <v>5</v>
      </c>
      <c r="F236" s="8">
        <f t="shared" si="18"/>
        <v>25</v>
      </c>
      <c r="G236" s="5">
        <f t="shared" si="19"/>
        <v>0.12820512820512819</v>
      </c>
    </row>
    <row r="237" spans="1:7" ht="15.75" customHeight="1">
      <c r="A237" s="3">
        <v>21786</v>
      </c>
      <c r="B237" s="4">
        <v>44</v>
      </c>
      <c r="C237" s="8">
        <f t="shared" si="15"/>
        <v>41.666666666666664</v>
      </c>
      <c r="D237" s="8">
        <f t="shared" si="16"/>
        <v>2.3333333333333357</v>
      </c>
      <c r="E237" s="8">
        <f t="shared" si="17"/>
        <v>2.3333333333333357</v>
      </c>
      <c r="F237" s="8">
        <f t="shared" si="18"/>
        <v>5.4444444444444553</v>
      </c>
      <c r="G237" s="5">
        <f t="shared" si="19"/>
        <v>5.3030303030303087E-2</v>
      </c>
    </row>
    <row r="238" spans="1:7" ht="15.75" customHeight="1">
      <c r="A238" s="3">
        <v>21787</v>
      </c>
      <c r="B238" s="4">
        <v>48</v>
      </c>
      <c r="C238" s="8">
        <f t="shared" si="15"/>
        <v>41</v>
      </c>
      <c r="D238" s="8">
        <f t="shared" si="16"/>
        <v>7</v>
      </c>
      <c r="E238" s="8">
        <f t="shared" si="17"/>
        <v>7</v>
      </c>
      <c r="F238" s="8">
        <f t="shared" si="18"/>
        <v>49</v>
      </c>
      <c r="G238" s="5">
        <f t="shared" si="19"/>
        <v>0.14583333333333334</v>
      </c>
    </row>
    <row r="239" spans="1:7" ht="15.75" customHeight="1">
      <c r="A239" s="3">
        <v>21788</v>
      </c>
      <c r="B239" s="4">
        <v>50</v>
      </c>
      <c r="C239" s="8">
        <f t="shared" si="15"/>
        <v>43.666666666666664</v>
      </c>
      <c r="D239" s="8">
        <f t="shared" si="16"/>
        <v>6.3333333333333357</v>
      </c>
      <c r="E239" s="8">
        <f t="shared" si="17"/>
        <v>6.3333333333333357</v>
      </c>
      <c r="F239" s="8">
        <f t="shared" si="18"/>
        <v>40.111111111111143</v>
      </c>
      <c r="G239" s="5">
        <f t="shared" si="19"/>
        <v>0.12666666666666671</v>
      </c>
    </row>
    <row r="240" spans="1:7" ht="15.75" customHeight="1">
      <c r="A240" s="3">
        <v>21789</v>
      </c>
      <c r="B240" s="4">
        <v>41</v>
      </c>
      <c r="C240" s="8">
        <f t="shared" si="15"/>
        <v>47.333333333333336</v>
      </c>
      <c r="D240" s="8">
        <f t="shared" si="16"/>
        <v>-6.3333333333333357</v>
      </c>
      <c r="E240" s="8">
        <f t="shared" si="17"/>
        <v>6.3333333333333357</v>
      </c>
      <c r="F240" s="8">
        <f t="shared" si="18"/>
        <v>40.111111111111143</v>
      </c>
      <c r="G240" s="5">
        <f t="shared" si="19"/>
        <v>0.15447154471544722</v>
      </c>
    </row>
    <row r="241" spans="1:7" ht="15.75" customHeight="1">
      <c r="A241" s="3">
        <v>21790</v>
      </c>
      <c r="B241" s="4">
        <v>42</v>
      </c>
      <c r="C241" s="8">
        <f t="shared" si="15"/>
        <v>46.333333333333336</v>
      </c>
      <c r="D241" s="8">
        <f t="shared" si="16"/>
        <v>-4.3333333333333357</v>
      </c>
      <c r="E241" s="8">
        <f t="shared" si="17"/>
        <v>4.3333333333333357</v>
      </c>
      <c r="F241" s="8">
        <f t="shared" si="18"/>
        <v>18.7777777777778</v>
      </c>
      <c r="G241" s="5">
        <f t="shared" si="19"/>
        <v>0.10317460317460322</v>
      </c>
    </row>
    <row r="242" spans="1:7" ht="15.75" customHeight="1">
      <c r="A242" s="3">
        <v>21791</v>
      </c>
      <c r="B242" s="4">
        <v>51</v>
      </c>
      <c r="C242" s="8">
        <f t="shared" si="15"/>
        <v>44.333333333333336</v>
      </c>
      <c r="D242" s="8">
        <f t="shared" si="16"/>
        <v>6.6666666666666643</v>
      </c>
      <c r="E242" s="8">
        <f t="shared" si="17"/>
        <v>6.6666666666666643</v>
      </c>
      <c r="F242" s="8">
        <f t="shared" si="18"/>
        <v>44.444444444444414</v>
      </c>
      <c r="G242" s="5">
        <f t="shared" si="19"/>
        <v>0.13071895424836596</v>
      </c>
    </row>
    <row r="243" spans="1:7" ht="15.75" customHeight="1">
      <c r="A243" s="3">
        <v>21792</v>
      </c>
      <c r="B243" s="4">
        <v>41</v>
      </c>
      <c r="C243" s="8">
        <f t="shared" si="15"/>
        <v>44.666666666666664</v>
      </c>
      <c r="D243" s="8">
        <f t="shared" si="16"/>
        <v>-3.6666666666666643</v>
      </c>
      <c r="E243" s="8">
        <f t="shared" si="17"/>
        <v>3.6666666666666643</v>
      </c>
      <c r="F243" s="8">
        <f t="shared" si="18"/>
        <v>13.444444444444427</v>
      </c>
      <c r="G243" s="5">
        <f t="shared" si="19"/>
        <v>8.9430894308943035E-2</v>
      </c>
    </row>
    <row r="244" spans="1:7" ht="15.75" customHeight="1">
      <c r="A244" s="3">
        <v>21793</v>
      </c>
      <c r="B244" s="4">
        <v>44</v>
      </c>
      <c r="C244" s="8">
        <f t="shared" si="15"/>
        <v>44.666666666666664</v>
      </c>
      <c r="D244" s="8">
        <f t="shared" si="16"/>
        <v>-0.6666666666666643</v>
      </c>
      <c r="E244" s="8">
        <f t="shared" si="17"/>
        <v>0.6666666666666643</v>
      </c>
      <c r="F244" s="8">
        <f t="shared" si="18"/>
        <v>0.44444444444444131</v>
      </c>
      <c r="G244" s="5">
        <f t="shared" si="19"/>
        <v>1.5151515151515098E-2</v>
      </c>
    </row>
    <row r="245" spans="1:7" ht="15.75" customHeight="1">
      <c r="A245" s="3">
        <v>21794</v>
      </c>
      <c r="B245" s="4">
        <v>38</v>
      </c>
      <c r="C245" s="8">
        <f t="shared" si="15"/>
        <v>45.333333333333336</v>
      </c>
      <c r="D245" s="8">
        <f t="shared" si="16"/>
        <v>-7.3333333333333357</v>
      </c>
      <c r="E245" s="8">
        <f t="shared" si="17"/>
        <v>7.3333333333333357</v>
      </c>
      <c r="F245" s="8">
        <f t="shared" si="18"/>
        <v>53.777777777777814</v>
      </c>
      <c r="G245" s="5">
        <f t="shared" si="19"/>
        <v>0.19298245614035095</v>
      </c>
    </row>
    <row r="246" spans="1:7" ht="15.75" customHeight="1">
      <c r="A246" s="3">
        <v>21795</v>
      </c>
      <c r="B246" s="4">
        <v>68</v>
      </c>
      <c r="C246" s="8">
        <f t="shared" si="15"/>
        <v>41</v>
      </c>
      <c r="D246" s="8">
        <f t="shared" si="16"/>
        <v>27</v>
      </c>
      <c r="E246" s="8">
        <f t="shared" si="17"/>
        <v>27</v>
      </c>
      <c r="F246" s="8">
        <f t="shared" si="18"/>
        <v>729</v>
      </c>
      <c r="G246" s="5">
        <f t="shared" si="19"/>
        <v>0.39705882352941174</v>
      </c>
    </row>
    <row r="247" spans="1:7" ht="15.75" customHeight="1">
      <c r="A247" s="3">
        <v>21796</v>
      </c>
      <c r="B247" s="4">
        <v>40</v>
      </c>
      <c r="C247" s="8">
        <f t="shared" si="15"/>
        <v>50</v>
      </c>
      <c r="D247" s="8">
        <f t="shared" si="16"/>
        <v>-10</v>
      </c>
      <c r="E247" s="8">
        <f t="shared" si="17"/>
        <v>10</v>
      </c>
      <c r="F247" s="8">
        <f t="shared" si="18"/>
        <v>100</v>
      </c>
      <c r="G247" s="5">
        <f t="shared" si="19"/>
        <v>0.25</v>
      </c>
    </row>
    <row r="248" spans="1:7" ht="15.75" customHeight="1">
      <c r="A248" s="3">
        <v>21797</v>
      </c>
      <c r="B248" s="4">
        <v>42</v>
      </c>
      <c r="C248" s="8">
        <f t="shared" si="15"/>
        <v>48.666666666666664</v>
      </c>
      <c r="D248" s="8">
        <f t="shared" si="16"/>
        <v>-6.6666666666666643</v>
      </c>
      <c r="E248" s="8">
        <f t="shared" si="17"/>
        <v>6.6666666666666643</v>
      </c>
      <c r="F248" s="8">
        <f t="shared" si="18"/>
        <v>44.444444444444414</v>
      </c>
      <c r="G248" s="5">
        <f t="shared" si="19"/>
        <v>0.15873015873015867</v>
      </c>
    </row>
    <row r="249" spans="1:7" ht="15.75" customHeight="1">
      <c r="A249" s="3">
        <v>21798</v>
      </c>
      <c r="B249" s="4">
        <v>51</v>
      </c>
      <c r="C249" s="8">
        <f t="shared" si="15"/>
        <v>50</v>
      </c>
      <c r="D249" s="8">
        <f t="shared" si="16"/>
        <v>1</v>
      </c>
      <c r="E249" s="8">
        <f t="shared" si="17"/>
        <v>1</v>
      </c>
      <c r="F249" s="8">
        <f t="shared" si="18"/>
        <v>1</v>
      </c>
      <c r="G249" s="5">
        <f t="shared" si="19"/>
        <v>1.9607843137254902E-2</v>
      </c>
    </row>
    <row r="250" spans="1:7" ht="15.75" customHeight="1">
      <c r="A250" s="3">
        <v>21799</v>
      </c>
      <c r="B250" s="4">
        <v>44</v>
      </c>
      <c r="C250" s="8">
        <f t="shared" si="15"/>
        <v>44.333333333333336</v>
      </c>
      <c r="D250" s="8">
        <f t="shared" si="16"/>
        <v>-0.3333333333333357</v>
      </c>
      <c r="E250" s="8">
        <f t="shared" si="17"/>
        <v>0.3333333333333357</v>
      </c>
      <c r="F250" s="8">
        <f t="shared" si="18"/>
        <v>0.11111111111111269</v>
      </c>
      <c r="G250" s="5">
        <f t="shared" si="19"/>
        <v>7.5757575757576297E-3</v>
      </c>
    </row>
    <row r="251" spans="1:7" ht="15.75" customHeight="1">
      <c r="A251" s="3">
        <v>21800</v>
      </c>
      <c r="B251" s="4">
        <v>45</v>
      </c>
      <c r="C251" s="8">
        <f t="shared" si="15"/>
        <v>45.666666666666664</v>
      </c>
      <c r="D251" s="8">
        <f t="shared" si="16"/>
        <v>-0.6666666666666643</v>
      </c>
      <c r="E251" s="8">
        <f t="shared" si="17"/>
        <v>0.6666666666666643</v>
      </c>
      <c r="F251" s="8">
        <f t="shared" si="18"/>
        <v>0.44444444444444131</v>
      </c>
      <c r="G251" s="5">
        <f t="shared" si="19"/>
        <v>1.4814814814814762E-2</v>
      </c>
    </row>
    <row r="252" spans="1:7" ht="15.75" customHeight="1">
      <c r="A252" s="3">
        <v>21801</v>
      </c>
      <c r="B252" s="4">
        <v>36</v>
      </c>
      <c r="C252" s="8">
        <f t="shared" si="15"/>
        <v>46.666666666666664</v>
      </c>
      <c r="D252" s="8">
        <f t="shared" si="16"/>
        <v>-10.666666666666664</v>
      </c>
      <c r="E252" s="8">
        <f t="shared" si="17"/>
        <v>10.666666666666664</v>
      </c>
      <c r="F252" s="8">
        <f t="shared" si="18"/>
        <v>113.77777777777773</v>
      </c>
      <c r="G252" s="5">
        <f t="shared" si="19"/>
        <v>0.29629629629629622</v>
      </c>
    </row>
    <row r="253" spans="1:7" ht="15.75" customHeight="1">
      <c r="A253" s="3">
        <v>21802</v>
      </c>
      <c r="B253" s="4">
        <v>57</v>
      </c>
      <c r="C253" s="8">
        <f t="shared" si="15"/>
        <v>41.666666666666664</v>
      </c>
      <c r="D253" s="8">
        <f t="shared" si="16"/>
        <v>15.333333333333336</v>
      </c>
      <c r="E253" s="8">
        <f t="shared" si="17"/>
        <v>15.333333333333336</v>
      </c>
      <c r="F253" s="8">
        <f t="shared" si="18"/>
        <v>235.11111111111117</v>
      </c>
      <c r="G253" s="5">
        <f t="shared" si="19"/>
        <v>0.26900584795321641</v>
      </c>
    </row>
    <row r="254" spans="1:7" ht="15.75" customHeight="1">
      <c r="A254" s="3">
        <v>21803</v>
      </c>
      <c r="B254" s="4">
        <v>44</v>
      </c>
      <c r="C254" s="8">
        <f t="shared" si="15"/>
        <v>46</v>
      </c>
      <c r="D254" s="8">
        <f t="shared" si="16"/>
        <v>-2</v>
      </c>
      <c r="E254" s="8">
        <f t="shared" si="17"/>
        <v>2</v>
      </c>
      <c r="F254" s="8">
        <f t="shared" si="18"/>
        <v>4</v>
      </c>
      <c r="G254" s="5">
        <f t="shared" si="19"/>
        <v>4.5454545454545456E-2</v>
      </c>
    </row>
    <row r="255" spans="1:7" ht="15.75" customHeight="1">
      <c r="A255" s="3">
        <v>21804</v>
      </c>
      <c r="B255" s="4">
        <v>42</v>
      </c>
      <c r="C255" s="8">
        <f t="shared" si="15"/>
        <v>45.666666666666664</v>
      </c>
      <c r="D255" s="8">
        <f t="shared" si="16"/>
        <v>-3.6666666666666643</v>
      </c>
      <c r="E255" s="8">
        <f t="shared" si="17"/>
        <v>3.6666666666666643</v>
      </c>
      <c r="F255" s="8">
        <f t="shared" si="18"/>
        <v>13.444444444444427</v>
      </c>
      <c r="G255" s="5">
        <f t="shared" si="19"/>
        <v>8.7301587301587241E-2</v>
      </c>
    </row>
    <row r="256" spans="1:7" ht="15.75" customHeight="1">
      <c r="A256" s="3">
        <v>21805</v>
      </c>
      <c r="B256" s="4">
        <v>53</v>
      </c>
      <c r="C256" s="8">
        <f t="shared" si="15"/>
        <v>47.666666666666664</v>
      </c>
      <c r="D256" s="8">
        <f t="shared" si="16"/>
        <v>5.3333333333333357</v>
      </c>
      <c r="E256" s="8">
        <f t="shared" si="17"/>
        <v>5.3333333333333357</v>
      </c>
      <c r="F256" s="8">
        <f t="shared" si="18"/>
        <v>28.444444444444471</v>
      </c>
      <c r="G256" s="5">
        <f t="shared" si="19"/>
        <v>0.10062893081761011</v>
      </c>
    </row>
    <row r="257" spans="1:7" ht="15.75" customHeight="1">
      <c r="A257" s="3">
        <v>21806</v>
      </c>
      <c r="B257" s="4">
        <v>42</v>
      </c>
      <c r="C257" s="8">
        <f t="shared" si="15"/>
        <v>46.333333333333336</v>
      </c>
      <c r="D257" s="8">
        <f t="shared" si="16"/>
        <v>-4.3333333333333357</v>
      </c>
      <c r="E257" s="8">
        <f t="shared" si="17"/>
        <v>4.3333333333333357</v>
      </c>
      <c r="F257" s="8">
        <f t="shared" si="18"/>
        <v>18.7777777777778</v>
      </c>
      <c r="G257" s="5">
        <f t="shared" si="19"/>
        <v>0.10317460317460322</v>
      </c>
    </row>
    <row r="258" spans="1:7" ht="15.75" customHeight="1">
      <c r="A258" s="3">
        <v>21807</v>
      </c>
      <c r="B258" s="4">
        <v>34</v>
      </c>
      <c r="C258" s="8">
        <f t="shared" si="15"/>
        <v>45.666666666666664</v>
      </c>
      <c r="D258" s="8">
        <f t="shared" si="16"/>
        <v>-11.666666666666664</v>
      </c>
      <c r="E258" s="8">
        <f t="shared" si="17"/>
        <v>11.666666666666664</v>
      </c>
      <c r="F258" s="8">
        <f t="shared" si="18"/>
        <v>136.11111111111106</v>
      </c>
      <c r="G258" s="5">
        <f t="shared" si="19"/>
        <v>0.34313725490196073</v>
      </c>
    </row>
    <row r="259" spans="1:7" ht="15.75" customHeight="1">
      <c r="A259" s="3">
        <v>21808</v>
      </c>
      <c r="B259" s="4">
        <v>40</v>
      </c>
      <c r="C259" s="8">
        <f t="shared" si="15"/>
        <v>43</v>
      </c>
      <c r="D259" s="8">
        <f t="shared" si="16"/>
        <v>-3</v>
      </c>
      <c r="E259" s="8">
        <f t="shared" si="17"/>
        <v>3</v>
      </c>
      <c r="F259" s="8">
        <f t="shared" si="18"/>
        <v>9</v>
      </c>
      <c r="G259" s="5">
        <f t="shared" si="19"/>
        <v>7.4999999999999997E-2</v>
      </c>
    </row>
    <row r="260" spans="1:7" ht="15.75" customHeight="1">
      <c r="A260" s="3">
        <v>21809</v>
      </c>
      <c r="B260" s="4">
        <v>56</v>
      </c>
      <c r="C260" s="8">
        <f t="shared" si="15"/>
        <v>38.666666666666664</v>
      </c>
      <c r="D260" s="8">
        <f t="shared" si="16"/>
        <v>17.333333333333336</v>
      </c>
      <c r="E260" s="8">
        <f t="shared" si="17"/>
        <v>17.333333333333336</v>
      </c>
      <c r="F260" s="8">
        <f t="shared" si="18"/>
        <v>300.44444444444451</v>
      </c>
      <c r="G260" s="5">
        <f t="shared" si="19"/>
        <v>0.30952380952380959</v>
      </c>
    </row>
    <row r="261" spans="1:7" ht="15.75" customHeight="1">
      <c r="A261" s="3">
        <v>21810</v>
      </c>
      <c r="B261" s="4">
        <v>44</v>
      </c>
      <c r="C261" s="8">
        <f t="shared" si="15"/>
        <v>43.333333333333336</v>
      </c>
      <c r="D261" s="8">
        <f t="shared" si="16"/>
        <v>0.6666666666666643</v>
      </c>
      <c r="E261" s="8">
        <f t="shared" si="17"/>
        <v>0.6666666666666643</v>
      </c>
      <c r="F261" s="8">
        <f t="shared" si="18"/>
        <v>0.44444444444444131</v>
      </c>
      <c r="G261" s="5">
        <f t="shared" si="19"/>
        <v>1.5151515151515098E-2</v>
      </c>
    </row>
    <row r="262" spans="1:7" ht="15.75" customHeight="1">
      <c r="A262" s="3">
        <v>21811</v>
      </c>
      <c r="B262" s="4">
        <v>53</v>
      </c>
      <c r="C262" s="8">
        <f t="shared" ref="C262:C325" si="20">AVERAGE(B259:B261)</f>
        <v>46.666666666666664</v>
      </c>
      <c r="D262" s="8">
        <f t="shared" ref="D262:D325" si="21">B262-C262</f>
        <v>6.3333333333333357</v>
      </c>
      <c r="E262" s="8">
        <f t="shared" ref="E262:E325" si="22">ABS(D262)</f>
        <v>6.3333333333333357</v>
      </c>
      <c r="F262" s="8">
        <f t="shared" ref="F262:F325" si="23">E262^2</f>
        <v>40.111111111111143</v>
      </c>
      <c r="G262" s="5">
        <f t="shared" ref="G262:G325" si="24">E262/B262</f>
        <v>0.11949685534591199</v>
      </c>
    </row>
    <row r="263" spans="1:7" ht="15.75" customHeight="1">
      <c r="A263" s="3">
        <v>21812</v>
      </c>
      <c r="B263" s="4">
        <v>55</v>
      </c>
      <c r="C263" s="8">
        <f t="shared" si="20"/>
        <v>51</v>
      </c>
      <c r="D263" s="8">
        <f t="shared" si="21"/>
        <v>4</v>
      </c>
      <c r="E263" s="8">
        <f t="shared" si="22"/>
        <v>4</v>
      </c>
      <c r="F263" s="8">
        <f t="shared" si="23"/>
        <v>16</v>
      </c>
      <c r="G263" s="5">
        <f t="shared" si="24"/>
        <v>7.2727272727272724E-2</v>
      </c>
    </row>
    <row r="264" spans="1:7" ht="15.75" customHeight="1">
      <c r="A264" s="3">
        <v>21813</v>
      </c>
      <c r="B264" s="4">
        <v>39</v>
      </c>
      <c r="C264" s="8">
        <f t="shared" si="20"/>
        <v>50.666666666666664</v>
      </c>
      <c r="D264" s="8">
        <f t="shared" si="21"/>
        <v>-11.666666666666664</v>
      </c>
      <c r="E264" s="8">
        <f t="shared" si="22"/>
        <v>11.666666666666664</v>
      </c>
      <c r="F264" s="8">
        <f t="shared" si="23"/>
        <v>136.11111111111106</v>
      </c>
      <c r="G264" s="5">
        <f t="shared" si="24"/>
        <v>0.29914529914529908</v>
      </c>
    </row>
    <row r="265" spans="1:7" ht="15.75" customHeight="1">
      <c r="A265" s="3">
        <v>21814</v>
      </c>
      <c r="B265" s="4">
        <v>59</v>
      </c>
      <c r="C265" s="8">
        <f t="shared" si="20"/>
        <v>49</v>
      </c>
      <c r="D265" s="8">
        <f t="shared" si="21"/>
        <v>10</v>
      </c>
      <c r="E265" s="8">
        <f t="shared" si="22"/>
        <v>10</v>
      </c>
      <c r="F265" s="8">
        <f t="shared" si="23"/>
        <v>100</v>
      </c>
      <c r="G265" s="5">
        <f t="shared" si="24"/>
        <v>0.16949152542372881</v>
      </c>
    </row>
    <row r="266" spans="1:7" ht="15.75" customHeight="1">
      <c r="A266" s="3">
        <v>21815</v>
      </c>
      <c r="B266" s="4">
        <v>55</v>
      </c>
      <c r="C266" s="8">
        <f t="shared" si="20"/>
        <v>51</v>
      </c>
      <c r="D266" s="8">
        <f t="shared" si="21"/>
        <v>4</v>
      </c>
      <c r="E266" s="8">
        <f t="shared" si="22"/>
        <v>4</v>
      </c>
      <c r="F266" s="8">
        <f t="shared" si="23"/>
        <v>16</v>
      </c>
      <c r="G266" s="5">
        <f t="shared" si="24"/>
        <v>7.2727272727272724E-2</v>
      </c>
    </row>
    <row r="267" spans="1:7" ht="15.75" customHeight="1">
      <c r="A267" s="3">
        <v>21816</v>
      </c>
      <c r="B267" s="4">
        <v>73</v>
      </c>
      <c r="C267" s="8">
        <f t="shared" si="20"/>
        <v>51</v>
      </c>
      <c r="D267" s="8">
        <f t="shared" si="21"/>
        <v>22</v>
      </c>
      <c r="E267" s="8">
        <f t="shared" si="22"/>
        <v>22</v>
      </c>
      <c r="F267" s="8">
        <f t="shared" si="23"/>
        <v>484</v>
      </c>
      <c r="G267" s="5">
        <f t="shared" si="24"/>
        <v>0.30136986301369861</v>
      </c>
    </row>
    <row r="268" spans="1:7" ht="15.75" customHeight="1">
      <c r="A268" s="3">
        <v>21817</v>
      </c>
      <c r="B268" s="4">
        <v>55</v>
      </c>
      <c r="C268" s="8">
        <f t="shared" si="20"/>
        <v>62.333333333333336</v>
      </c>
      <c r="D268" s="8">
        <f t="shared" si="21"/>
        <v>-7.3333333333333357</v>
      </c>
      <c r="E268" s="8">
        <f t="shared" si="22"/>
        <v>7.3333333333333357</v>
      </c>
      <c r="F268" s="8">
        <f t="shared" si="23"/>
        <v>53.777777777777814</v>
      </c>
      <c r="G268" s="5">
        <f t="shared" si="24"/>
        <v>0.13333333333333339</v>
      </c>
    </row>
    <row r="269" spans="1:7" ht="15.75" customHeight="1">
      <c r="A269" s="3">
        <v>21818</v>
      </c>
      <c r="B269" s="4">
        <v>44</v>
      </c>
      <c r="C269" s="8">
        <f t="shared" si="20"/>
        <v>61</v>
      </c>
      <c r="D269" s="8">
        <f t="shared" si="21"/>
        <v>-17</v>
      </c>
      <c r="E269" s="8">
        <f t="shared" si="22"/>
        <v>17</v>
      </c>
      <c r="F269" s="8">
        <f t="shared" si="23"/>
        <v>289</v>
      </c>
      <c r="G269" s="5">
        <f t="shared" si="24"/>
        <v>0.38636363636363635</v>
      </c>
    </row>
    <row r="270" spans="1:7" ht="15.75" customHeight="1">
      <c r="A270" s="3">
        <v>21819</v>
      </c>
      <c r="B270" s="4">
        <v>43</v>
      </c>
      <c r="C270" s="8">
        <f t="shared" si="20"/>
        <v>57.333333333333336</v>
      </c>
      <c r="D270" s="8">
        <f t="shared" si="21"/>
        <v>-14.333333333333336</v>
      </c>
      <c r="E270" s="8">
        <f t="shared" si="22"/>
        <v>14.333333333333336</v>
      </c>
      <c r="F270" s="8">
        <f t="shared" si="23"/>
        <v>205.44444444444451</v>
      </c>
      <c r="G270" s="5">
        <f t="shared" si="24"/>
        <v>0.33333333333333337</v>
      </c>
    </row>
    <row r="271" spans="1:7" ht="15.75" customHeight="1">
      <c r="A271" s="3">
        <v>21820</v>
      </c>
      <c r="B271" s="4">
        <v>40</v>
      </c>
      <c r="C271" s="8">
        <f t="shared" si="20"/>
        <v>47.333333333333336</v>
      </c>
      <c r="D271" s="8">
        <f t="shared" si="21"/>
        <v>-7.3333333333333357</v>
      </c>
      <c r="E271" s="8">
        <f t="shared" si="22"/>
        <v>7.3333333333333357</v>
      </c>
      <c r="F271" s="8">
        <f t="shared" si="23"/>
        <v>53.777777777777814</v>
      </c>
      <c r="G271" s="5">
        <f t="shared" si="24"/>
        <v>0.1833333333333334</v>
      </c>
    </row>
    <row r="272" spans="1:7" ht="15.75" customHeight="1">
      <c r="A272" s="3">
        <v>21821</v>
      </c>
      <c r="B272" s="4">
        <v>47</v>
      </c>
      <c r="C272" s="8">
        <f t="shared" si="20"/>
        <v>42.333333333333336</v>
      </c>
      <c r="D272" s="8">
        <f t="shared" si="21"/>
        <v>4.6666666666666643</v>
      </c>
      <c r="E272" s="8">
        <f t="shared" si="22"/>
        <v>4.6666666666666643</v>
      </c>
      <c r="F272" s="8">
        <f t="shared" si="23"/>
        <v>21.777777777777757</v>
      </c>
      <c r="G272" s="5">
        <f t="shared" si="24"/>
        <v>9.9290780141843921E-2</v>
      </c>
    </row>
    <row r="273" spans="1:7" ht="15.75" customHeight="1">
      <c r="A273" s="3">
        <v>21822</v>
      </c>
      <c r="B273" s="4">
        <v>51</v>
      </c>
      <c r="C273" s="8">
        <f t="shared" si="20"/>
        <v>43.333333333333336</v>
      </c>
      <c r="D273" s="8">
        <f t="shared" si="21"/>
        <v>7.6666666666666643</v>
      </c>
      <c r="E273" s="8">
        <f t="shared" si="22"/>
        <v>7.6666666666666643</v>
      </c>
      <c r="F273" s="8">
        <f t="shared" si="23"/>
        <v>58.777777777777743</v>
      </c>
      <c r="G273" s="5">
        <f t="shared" si="24"/>
        <v>0.15032679738562088</v>
      </c>
    </row>
    <row r="274" spans="1:7" ht="15.75" customHeight="1">
      <c r="A274" s="3">
        <v>21823</v>
      </c>
      <c r="B274" s="4">
        <v>56</v>
      </c>
      <c r="C274" s="8">
        <f t="shared" si="20"/>
        <v>46</v>
      </c>
      <c r="D274" s="8">
        <f t="shared" si="21"/>
        <v>10</v>
      </c>
      <c r="E274" s="8">
        <f t="shared" si="22"/>
        <v>10</v>
      </c>
      <c r="F274" s="8">
        <f t="shared" si="23"/>
        <v>100</v>
      </c>
      <c r="G274" s="5">
        <f t="shared" si="24"/>
        <v>0.17857142857142858</v>
      </c>
    </row>
    <row r="275" spans="1:7" ht="15.75" customHeight="1">
      <c r="A275" s="3">
        <v>21824</v>
      </c>
      <c r="B275" s="4">
        <v>49</v>
      </c>
      <c r="C275" s="8">
        <f t="shared" si="20"/>
        <v>51.333333333333336</v>
      </c>
      <c r="D275" s="8">
        <f t="shared" si="21"/>
        <v>-2.3333333333333357</v>
      </c>
      <c r="E275" s="8">
        <f t="shared" si="22"/>
        <v>2.3333333333333357</v>
      </c>
      <c r="F275" s="8">
        <f t="shared" si="23"/>
        <v>5.4444444444444553</v>
      </c>
      <c r="G275" s="5">
        <f t="shared" si="24"/>
        <v>4.7619047619047665E-2</v>
      </c>
    </row>
    <row r="276" spans="1:7" ht="15.75" customHeight="1">
      <c r="A276" s="3">
        <v>21825</v>
      </c>
      <c r="B276" s="4">
        <v>54</v>
      </c>
      <c r="C276" s="8">
        <f t="shared" si="20"/>
        <v>52</v>
      </c>
      <c r="D276" s="8">
        <f t="shared" si="21"/>
        <v>2</v>
      </c>
      <c r="E276" s="8">
        <f t="shared" si="22"/>
        <v>2</v>
      </c>
      <c r="F276" s="8">
        <f t="shared" si="23"/>
        <v>4</v>
      </c>
      <c r="G276" s="5">
        <f t="shared" si="24"/>
        <v>3.7037037037037035E-2</v>
      </c>
    </row>
    <row r="277" spans="1:7" ht="15.75" customHeight="1">
      <c r="A277" s="3">
        <v>21826</v>
      </c>
      <c r="B277" s="4">
        <v>56</v>
      </c>
      <c r="C277" s="8">
        <f t="shared" si="20"/>
        <v>53</v>
      </c>
      <c r="D277" s="8">
        <f t="shared" si="21"/>
        <v>3</v>
      </c>
      <c r="E277" s="8">
        <f t="shared" si="22"/>
        <v>3</v>
      </c>
      <c r="F277" s="8">
        <f t="shared" si="23"/>
        <v>9</v>
      </c>
      <c r="G277" s="5">
        <f t="shared" si="24"/>
        <v>5.3571428571428568E-2</v>
      </c>
    </row>
    <row r="278" spans="1:7" ht="15.75" customHeight="1">
      <c r="A278" s="3">
        <v>21827</v>
      </c>
      <c r="B278" s="4">
        <v>47</v>
      </c>
      <c r="C278" s="8">
        <f t="shared" si="20"/>
        <v>53</v>
      </c>
      <c r="D278" s="8">
        <f t="shared" si="21"/>
        <v>-6</v>
      </c>
      <c r="E278" s="8">
        <f t="shared" si="22"/>
        <v>6</v>
      </c>
      <c r="F278" s="8">
        <f t="shared" si="23"/>
        <v>36</v>
      </c>
      <c r="G278" s="5">
        <f t="shared" si="24"/>
        <v>0.1276595744680851</v>
      </c>
    </row>
    <row r="279" spans="1:7" ht="15.75" customHeight="1">
      <c r="A279" s="3">
        <v>21828</v>
      </c>
      <c r="B279" s="4">
        <v>44</v>
      </c>
      <c r="C279" s="8">
        <f t="shared" si="20"/>
        <v>52.333333333333336</v>
      </c>
      <c r="D279" s="8">
        <f t="shared" si="21"/>
        <v>-8.3333333333333357</v>
      </c>
      <c r="E279" s="8">
        <f t="shared" si="22"/>
        <v>8.3333333333333357</v>
      </c>
      <c r="F279" s="8">
        <f t="shared" si="23"/>
        <v>69.444444444444485</v>
      </c>
      <c r="G279" s="5">
        <f t="shared" si="24"/>
        <v>0.18939393939393945</v>
      </c>
    </row>
    <row r="280" spans="1:7" ht="15.75" customHeight="1">
      <c r="A280" s="3">
        <v>21829</v>
      </c>
      <c r="B280" s="4">
        <v>43</v>
      </c>
      <c r="C280" s="8">
        <f t="shared" si="20"/>
        <v>49</v>
      </c>
      <c r="D280" s="8">
        <f t="shared" si="21"/>
        <v>-6</v>
      </c>
      <c r="E280" s="8">
        <f t="shared" si="22"/>
        <v>6</v>
      </c>
      <c r="F280" s="8">
        <f t="shared" si="23"/>
        <v>36</v>
      </c>
      <c r="G280" s="5">
        <f t="shared" si="24"/>
        <v>0.13953488372093023</v>
      </c>
    </row>
    <row r="281" spans="1:7" ht="15.75" customHeight="1">
      <c r="A281" s="3">
        <v>21830</v>
      </c>
      <c r="B281" s="4">
        <v>42</v>
      </c>
      <c r="C281" s="8">
        <f t="shared" si="20"/>
        <v>44.666666666666664</v>
      </c>
      <c r="D281" s="8">
        <f t="shared" si="21"/>
        <v>-2.6666666666666643</v>
      </c>
      <c r="E281" s="8">
        <f t="shared" si="22"/>
        <v>2.6666666666666643</v>
      </c>
      <c r="F281" s="8">
        <f t="shared" si="23"/>
        <v>7.1111111111110983</v>
      </c>
      <c r="G281" s="5">
        <f t="shared" si="24"/>
        <v>6.3492063492063433E-2</v>
      </c>
    </row>
    <row r="282" spans="1:7" ht="15.75" customHeight="1">
      <c r="A282" s="3">
        <v>21831</v>
      </c>
      <c r="B282" s="4">
        <v>45</v>
      </c>
      <c r="C282" s="8">
        <f t="shared" si="20"/>
        <v>43</v>
      </c>
      <c r="D282" s="8">
        <f t="shared" si="21"/>
        <v>2</v>
      </c>
      <c r="E282" s="8">
        <f t="shared" si="22"/>
        <v>2</v>
      </c>
      <c r="F282" s="8">
        <f t="shared" si="23"/>
        <v>4</v>
      </c>
      <c r="G282" s="5">
        <f t="shared" si="24"/>
        <v>4.4444444444444446E-2</v>
      </c>
    </row>
    <row r="283" spans="1:7" ht="15.75" customHeight="1">
      <c r="A283" s="3">
        <v>21832</v>
      </c>
      <c r="B283" s="4">
        <v>50</v>
      </c>
      <c r="C283" s="8">
        <f t="shared" si="20"/>
        <v>43.333333333333336</v>
      </c>
      <c r="D283" s="8">
        <f t="shared" si="21"/>
        <v>6.6666666666666643</v>
      </c>
      <c r="E283" s="8">
        <f t="shared" si="22"/>
        <v>6.6666666666666643</v>
      </c>
      <c r="F283" s="8">
        <f t="shared" si="23"/>
        <v>44.444444444444414</v>
      </c>
      <c r="G283" s="5">
        <f t="shared" si="24"/>
        <v>0.13333333333333328</v>
      </c>
    </row>
    <row r="284" spans="1:7" ht="15.75" customHeight="1">
      <c r="A284" s="3">
        <v>21833</v>
      </c>
      <c r="B284" s="4">
        <v>48</v>
      </c>
      <c r="C284" s="8">
        <f t="shared" si="20"/>
        <v>45.666666666666664</v>
      </c>
      <c r="D284" s="8">
        <f t="shared" si="21"/>
        <v>2.3333333333333357</v>
      </c>
      <c r="E284" s="8">
        <f t="shared" si="22"/>
        <v>2.3333333333333357</v>
      </c>
      <c r="F284" s="8">
        <f t="shared" si="23"/>
        <v>5.4444444444444553</v>
      </c>
      <c r="G284" s="5">
        <f t="shared" si="24"/>
        <v>4.861111111111116E-2</v>
      </c>
    </row>
    <row r="285" spans="1:7" ht="15.75" customHeight="1">
      <c r="A285" s="3">
        <v>21834</v>
      </c>
      <c r="B285" s="4">
        <v>43</v>
      </c>
      <c r="C285" s="8">
        <f t="shared" si="20"/>
        <v>47.666666666666664</v>
      </c>
      <c r="D285" s="8">
        <f t="shared" si="21"/>
        <v>-4.6666666666666643</v>
      </c>
      <c r="E285" s="8">
        <f t="shared" si="22"/>
        <v>4.6666666666666643</v>
      </c>
      <c r="F285" s="8">
        <f t="shared" si="23"/>
        <v>21.777777777777757</v>
      </c>
      <c r="G285" s="5">
        <f t="shared" si="24"/>
        <v>0.10852713178294568</v>
      </c>
    </row>
    <row r="286" spans="1:7" ht="15.75" customHeight="1">
      <c r="A286" s="3">
        <v>21835</v>
      </c>
      <c r="B286" s="4">
        <v>40</v>
      </c>
      <c r="C286" s="8">
        <f t="shared" si="20"/>
        <v>47</v>
      </c>
      <c r="D286" s="8">
        <f t="shared" si="21"/>
        <v>-7</v>
      </c>
      <c r="E286" s="8">
        <f t="shared" si="22"/>
        <v>7</v>
      </c>
      <c r="F286" s="8">
        <f t="shared" si="23"/>
        <v>49</v>
      </c>
      <c r="G286" s="5">
        <f t="shared" si="24"/>
        <v>0.17499999999999999</v>
      </c>
    </row>
    <row r="287" spans="1:7" ht="15.75" customHeight="1">
      <c r="A287" s="3">
        <v>21836</v>
      </c>
      <c r="B287" s="4">
        <v>59</v>
      </c>
      <c r="C287" s="8">
        <f t="shared" si="20"/>
        <v>43.666666666666664</v>
      </c>
      <c r="D287" s="8">
        <f t="shared" si="21"/>
        <v>15.333333333333336</v>
      </c>
      <c r="E287" s="8">
        <f t="shared" si="22"/>
        <v>15.333333333333336</v>
      </c>
      <c r="F287" s="8">
        <f t="shared" si="23"/>
        <v>235.11111111111117</v>
      </c>
      <c r="G287" s="5">
        <f t="shared" si="24"/>
        <v>0.25988700564971756</v>
      </c>
    </row>
    <row r="288" spans="1:7" ht="15.75" customHeight="1">
      <c r="A288" s="3">
        <v>21837</v>
      </c>
      <c r="B288" s="4">
        <v>41</v>
      </c>
      <c r="C288" s="8">
        <f t="shared" si="20"/>
        <v>47.333333333333336</v>
      </c>
      <c r="D288" s="8">
        <f t="shared" si="21"/>
        <v>-6.3333333333333357</v>
      </c>
      <c r="E288" s="8">
        <f t="shared" si="22"/>
        <v>6.3333333333333357</v>
      </c>
      <c r="F288" s="8">
        <f t="shared" si="23"/>
        <v>40.111111111111143</v>
      </c>
      <c r="G288" s="5">
        <f t="shared" si="24"/>
        <v>0.15447154471544722</v>
      </c>
    </row>
    <row r="289" spans="1:7" ht="15.75" customHeight="1">
      <c r="A289" s="3">
        <v>21838</v>
      </c>
      <c r="B289" s="4">
        <v>42</v>
      </c>
      <c r="C289" s="8">
        <f t="shared" si="20"/>
        <v>46.666666666666664</v>
      </c>
      <c r="D289" s="8">
        <f t="shared" si="21"/>
        <v>-4.6666666666666643</v>
      </c>
      <c r="E289" s="8">
        <f t="shared" si="22"/>
        <v>4.6666666666666643</v>
      </c>
      <c r="F289" s="8">
        <f t="shared" si="23"/>
        <v>21.777777777777757</v>
      </c>
      <c r="G289" s="5">
        <f t="shared" si="24"/>
        <v>0.11111111111111105</v>
      </c>
    </row>
    <row r="290" spans="1:7" ht="15.75" customHeight="1">
      <c r="A290" s="3">
        <v>21839</v>
      </c>
      <c r="B290" s="4">
        <v>51</v>
      </c>
      <c r="C290" s="8">
        <f t="shared" si="20"/>
        <v>47.333333333333336</v>
      </c>
      <c r="D290" s="8">
        <f t="shared" si="21"/>
        <v>3.6666666666666643</v>
      </c>
      <c r="E290" s="8">
        <f t="shared" si="22"/>
        <v>3.6666666666666643</v>
      </c>
      <c r="F290" s="8">
        <f t="shared" si="23"/>
        <v>13.444444444444427</v>
      </c>
      <c r="G290" s="5">
        <f t="shared" si="24"/>
        <v>7.189542483660126E-2</v>
      </c>
    </row>
    <row r="291" spans="1:7" ht="15.75" customHeight="1">
      <c r="A291" s="3">
        <v>21840</v>
      </c>
      <c r="B291" s="4">
        <v>49</v>
      </c>
      <c r="C291" s="8">
        <f t="shared" si="20"/>
        <v>44.666666666666664</v>
      </c>
      <c r="D291" s="8">
        <f t="shared" si="21"/>
        <v>4.3333333333333357</v>
      </c>
      <c r="E291" s="8">
        <f t="shared" si="22"/>
        <v>4.3333333333333357</v>
      </c>
      <c r="F291" s="8">
        <f t="shared" si="23"/>
        <v>18.7777777777778</v>
      </c>
      <c r="G291" s="5">
        <f t="shared" si="24"/>
        <v>8.8435374149659907E-2</v>
      </c>
    </row>
    <row r="292" spans="1:7" ht="15.75" customHeight="1">
      <c r="A292" s="3">
        <v>21841</v>
      </c>
      <c r="B292" s="4">
        <v>45</v>
      </c>
      <c r="C292" s="8">
        <f t="shared" si="20"/>
        <v>47.333333333333336</v>
      </c>
      <c r="D292" s="8">
        <f t="shared" si="21"/>
        <v>-2.3333333333333357</v>
      </c>
      <c r="E292" s="8">
        <f t="shared" si="22"/>
        <v>2.3333333333333357</v>
      </c>
      <c r="F292" s="8">
        <f t="shared" si="23"/>
        <v>5.4444444444444553</v>
      </c>
      <c r="G292" s="5">
        <f t="shared" si="24"/>
        <v>5.1851851851851906E-2</v>
      </c>
    </row>
    <row r="293" spans="1:7" ht="15.75" customHeight="1">
      <c r="A293" s="3">
        <v>21842</v>
      </c>
      <c r="B293" s="4">
        <v>43</v>
      </c>
      <c r="C293" s="8">
        <f t="shared" si="20"/>
        <v>48.333333333333336</v>
      </c>
      <c r="D293" s="8">
        <f t="shared" si="21"/>
        <v>-5.3333333333333357</v>
      </c>
      <c r="E293" s="8">
        <f t="shared" si="22"/>
        <v>5.3333333333333357</v>
      </c>
      <c r="F293" s="8">
        <f t="shared" si="23"/>
        <v>28.444444444444471</v>
      </c>
      <c r="G293" s="5">
        <f t="shared" si="24"/>
        <v>0.12403100775193804</v>
      </c>
    </row>
    <row r="294" spans="1:7" ht="15.75" customHeight="1">
      <c r="A294" s="3">
        <v>21843</v>
      </c>
      <c r="B294" s="4">
        <v>42</v>
      </c>
      <c r="C294" s="8">
        <f t="shared" si="20"/>
        <v>45.666666666666664</v>
      </c>
      <c r="D294" s="8">
        <f t="shared" si="21"/>
        <v>-3.6666666666666643</v>
      </c>
      <c r="E294" s="8">
        <f t="shared" si="22"/>
        <v>3.6666666666666643</v>
      </c>
      <c r="F294" s="8">
        <f t="shared" si="23"/>
        <v>13.444444444444427</v>
      </c>
      <c r="G294" s="5">
        <f t="shared" si="24"/>
        <v>8.7301587301587241E-2</v>
      </c>
    </row>
    <row r="295" spans="1:7" ht="15.75" customHeight="1">
      <c r="A295" s="3">
        <v>21844</v>
      </c>
      <c r="B295" s="4">
        <v>38</v>
      </c>
      <c r="C295" s="8">
        <f t="shared" si="20"/>
        <v>43.333333333333336</v>
      </c>
      <c r="D295" s="8">
        <f t="shared" si="21"/>
        <v>-5.3333333333333357</v>
      </c>
      <c r="E295" s="8">
        <f t="shared" si="22"/>
        <v>5.3333333333333357</v>
      </c>
      <c r="F295" s="8">
        <f t="shared" si="23"/>
        <v>28.444444444444471</v>
      </c>
      <c r="G295" s="5">
        <f t="shared" si="24"/>
        <v>0.14035087719298253</v>
      </c>
    </row>
    <row r="296" spans="1:7" ht="15.75" customHeight="1">
      <c r="A296" s="3">
        <v>21845</v>
      </c>
      <c r="B296" s="4">
        <v>47</v>
      </c>
      <c r="C296" s="8">
        <f t="shared" si="20"/>
        <v>41</v>
      </c>
      <c r="D296" s="8">
        <f t="shared" si="21"/>
        <v>6</v>
      </c>
      <c r="E296" s="8">
        <f t="shared" si="22"/>
        <v>6</v>
      </c>
      <c r="F296" s="8">
        <f t="shared" si="23"/>
        <v>36</v>
      </c>
      <c r="G296" s="5">
        <f t="shared" si="24"/>
        <v>0.1276595744680851</v>
      </c>
    </row>
    <row r="297" spans="1:7" ht="15.75" customHeight="1">
      <c r="A297" s="3">
        <v>21846</v>
      </c>
      <c r="B297" s="4">
        <v>38</v>
      </c>
      <c r="C297" s="8">
        <f t="shared" si="20"/>
        <v>42.333333333333336</v>
      </c>
      <c r="D297" s="8">
        <f t="shared" si="21"/>
        <v>-4.3333333333333357</v>
      </c>
      <c r="E297" s="8">
        <f t="shared" si="22"/>
        <v>4.3333333333333357</v>
      </c>
      <c r="F297" s="8">
        <f t="shared" si="23"/>
        <v>18.7777777777778</v>
      </c>
      <c r="G297" s="5">
        <f t="shared" si="24"/>
        <v>0.11403508771929831</v>
      </c>
    </row>
    <row r="298" spans="1:7" ht="15.75" customHeight="1">
      <c r="A298" s="3">
        <v>21847</v>
      </c>
      <c r="B298" s="4">
        <v>36</v>
      </c>
      <c r="C298" s="8">
        <f t="shared" si="20"/>
        <v>41</v>
      </c>
      <c r="D298" s="8">
        <f t="shared" si="21"/>
        <v>-5</v>
      </c>
      <c r="E298" s="8">
        <f t="shared" si="22"/>
        <v>5</v>
      </c>
      <c r="F298" s="8">
        <f t="shared" si="23"/>
        <v>25</v>
      </c>
      <c r="G298" s="5">
        <f t="shared" si="24"/>
        <v>0.1388888888888889</v>
      </c>
    </row>
    <row r="299" spans="1:7" ht="15.75" customHeight="1">
      <c r="A299" s="3">
        <v>21848</v>
      </c>
      <c r="B299" s="4">
        <v>42</v>
      </c>
      <c r="C299" s="8">
        <f t="shared" si="20"/>
        <v>40.333333333333336</v>
      </c>
      <c r="D299" s="8">
        <f t="shared" si="21"/>
        <v>1.6666666666666643</v>
      </c>
      <c r="E299" s="8">
        <f t="shared" si="22"/>
        <v>1.6666666666666643</v>
      </c>
      <c r="F299" s="8">
        <f t="shared" si="23"/>
        <v>2.7777777777777697</v>
      </c>
      <c r="G299" s="5">
        <f t="shared" si="24"/>
        <v>3.9682539682539625E-2</v>
      </c>
    </row>
    <row r="300" spans="1:7" ht="15.75" customHeight="1">
      <c r="A300" s="3">
        <v>21849</v>
      </c>
      <c r="B300" s="4">
        <v>35</v>
      </c>
      <c r="C300" s="8">
        <f t="shared" si="20"/>
        <v>38.666666666666664</v>
      </c>
      <c r="D300" s="8">
        <f t="shared" si="21"/>
        <v>-3.6666666666666643</v>
      </c>
      <c r="E300" s="8">
        <f t="shared" si="22"/>
        <v>3.6666666666666643</v>
      </c>
      <c r="F300" s="8">
        <f t="shared" si="23"/>
        <v>13.444444444444427</v>
      </c>
      <c r="G300" s="5">
        <f t="shared" si="24"/>
        <v>0.1047619047619047</v>
      </c>
    </row>
    <row r="301" spans="1:7" ht="15.75" customHeight="1">
      <c r="A301" s="3">
        <v>21850</v>
      </c>
      <c r="B301" s="4">
        <v>28</v>
      </c>
      <c r="C301" s="8">
        <f t="shared" si="20"/>
        <v>37.666666666666664</v>
      </c>
      <c r="D301" s="8">
        <f t="shared" si="21"/>
        <v>-9.6666666666666643</v>
      </c>
      <c r="E301" s="8">
        <f t="shared" si="22"/>
        <v>9.6666666666666643</v>
      </c>
      <c r="F301" s="8">
        <f t="shared" si="23"/>
        <v>93.4444444444444</v>
      </c>
      <c r="G301" s="5">
        <f t="shared" si="24"/>
        <v>0.34523809523809518</v>
      </c>
    </row>
    <row r="302" spans="1:7" ht="15.75" customHeight="1">
      <c r="A302" s="3">
        <v>21851</v>
      </c>
      <c r="B302" s="4">
        <v>44</v>
      </c>
      <c r="C302" s="8">
        <f t="shared" si="20"/>
        <v>35</v>
      </c>
      <c r="D302" s="8">
        <f t="shared" si="21"/>
        <v>9</v>
      </c>
      <c r="E302" s="8">
        <f t="shared" si="22"/>
        <v>9</v>
      </c>
      <c r="F302" s="8">
        <f t="shared" si="23"/>
        <v>81</v>
      </c>
      <c r="G302" s="5">
        <f t="shared" si="24"/>
        <v>0.20454545454545456</v>
      </c>
    </row>
    <row r="303" spans="1:7" ht="15.75" customHeight="1">
      <c r="A303" s="3">
        <v>21852</v>
      </c>
      <c r="B303" s="4">
        <v>36</v>
      </c>
      <c r="C303" s="8">
        <f t="shared" si="20"/>
        <v>35.666666666666664</v>
      </c>
      <c r="D303" s="8">
        <f t="shared" si="21"/>
        <v>0.3333333333333357</v>
      </c>
      <c r="E303" s="8">
        <f t="shared" si="22"/>
        <v>0.3333333333333357</v>
      </c>
      <c r="F303" s="8">
        <f t="shared" si="23"/>
        <v>0.11111111111111269</v>
      </c>
      <c r="G303" s="5">
        <f t="shared" si="24"/>
        <v>9.2592592592593247E-3</v>
      </c>
    </row>
    <row r="304" spans="1:7" ht="15.75" customHeight="1">
      <c r="A304" s="3">
        <v>21853</v>
      </c>
      <c r="B304" s="4">
        <v>45</v>
      </c>
      <c r="C304" s="8">
        <f t="shared" si="20"/>
        <v>36</v>
      </c>
      <c r="D304" s="8">
        <f t="shared" si="21"/>
        <v>9</v>
      </c>
      <c r="E304" s="8">
        <f t="shared" si="22"/>
        <v>9</v>
      </c>
      <c r="F304" s="8">
        <f t="shared" si="23"/>
        <v>81</v>
      </c>
      <c r="G304" s="5">
        <f t="shared" si="24"/>
        <v>0.2</v>
      </c>
    </row>
    <row r="305" spans="1:7" ht="15.75" customHeight="1">
      <c r="A305" s="3">
        <v>21854</v>
      </c>
      <c r="B305" s="4">
        <v>46</v>
      </c>
      <c r="C305" s="8">
        <f t="shared" si="20"/>
        <v>41.666666666666664</v>
      </c>
      <c r="D305" s="8">
        <f t="shared" si="21"/>
        <v>4.3333333333333357</v>
      </c>
      <c r="E305" s="8">
        <f t="shared" si="22"/>
        <v>4.3333333333333357</v>
      </c>
      <c r="F305" s="8">
        <f t="shared" si="23"/>
        <v>18.7777777777778</v>
      </c>
      <c r="G305" s="5">
        <f t="shared" si="24"/>
        <v>9.4202898550724695E-2</v>
      </c>
    </row>
    <row r="306" spans="1:7" ht="15.75" customHeight="1">
      <c r="A306" s="3">
        <v>21855</v>
      </c>
      <c r="B306" s="4">
        <v>48</v>
      </c>
      <c r="C306" s="8">
        <f t="shared" si="20"/>
        <v>42.333333333333336</v>
      </c>
      <c r="D306" s="8">
        <f t="shared" si="21"/>
        <v>5.6666666666666643</v>
      </c>
      <c r="E306" s="8">
        <f t="shared" si="22"/>
        <v>5.6666666666666643</v>
      </c>
      <c r="F306" s="8">
        <f t="shared" si="23"/>
        <v>32.111111111111086</v>
      </c>
      <c r="G306" s="5">
        <f t="shared" si="24"/>
        <v>0.11805555555555551</v>
      </c>
    </row>
    <row r="307" spans="1:7" ht="15.75" customHeight="1">
      <c r="A307" s="3">
        <v>21856</v>
      </c>
      <c r="B307" s="4">
        <v>49</v>
      </c>
      <c r="C307" s="8">
        <f t="shared" si="20"/>
        <v>46.333333333333336</v>
      </c>
      <c r="D307" s="8">
        <f t="shared" si="21"/>
        <v>2.6666666666666643</v>
      </c>
      <c r="E307" s="8">
        <f t="shared" si="22"/>
        <v>2.6666666666666643</v>
      </c>
      <c r="F307" s="8">
        <f t="shared" si="23"/>
        <v>7.1111111111110983</v>
      </c>
      <c r="G307" s="5">
        <f t="shared" si="24"/>
        <v>5.4421768707482943E-2</v>
      </c>
    </row>
    <row r="308" spans="1:7" ht="15.75" customHeight="1">
      <c r="A308" s="3">
        <v>21857</v>
      </c>
      <c r="B308" s="4">
        <v>43</v>
      </c>
      <c r="C308" s="8">
        <f t="shared" si="20"/>
        <v>47.666666666666664</v>
      </c>
      <c r="D308" s="8">
        <f t="shared" si="21"/>
        <v>-4.6666666666666643</v>
      </c>
      <c r="E308" s="8">
        <f t="shared" si="22"/>
        <v>4.6666666666666643</v>
      </c>
      <c r="F308" s="8">
        <f t="shared" si="23"/>
        <v>21.777777777777757</v>
      </c>
      <c r="G308" s="5">
        <f t="shared" si="24"/>
        <v>0.10852713178294568</v>
      </c>
    </row>
    <row r="309" spans="1:7" ht="15.75" customHeight="1">
      <c r="A309" s="3">
        <v>21858</v>
      </c>
      <c r="B309" s="4">
        <v>42</v>
      </c>
      <c r="C309" s="8">
        <f t="shared" si="20"/>
        <v>46.666666666666664</v>
      </c>
      <c r="D309" s="8">
        <f t="shared" si="21"/>
        <v>-4.6666666666666643</v>
      </c>
      <c r="E309" s="8">
        <f t="shared" si="22"/>
        <v>4.6666666666666643</v>
      </c>
      <c r="F309" s="8">
        <f t="shared" si="23"/>
        <v>21.777777777777757</v>
      </c>
      <c r="G309" s="5">
        <f t="shared" si="24"/>
        <v>0.11111111111111105</v>
      </c>
    </row>
    <row r="310" spans="1:7" ht="15.75" customHeight="1">
      <c r="A310" s="3">
        <v>21859</v>
      </c>
      <c r="B310" s="4">
        <v>59</v>
      </c>
      <c r="C310" s="8">
        <f t="shared" si="20"/>
        <v>44.666666666666664</v>
      </c>
      <c r="D310" s="8">
        <f t="shared" si="21"/>
        <v>14.333333333333336</v>
      </c>
      <c r="E310" s="8">
        <f t="shared" si="22"/>
        <v>14.333333333333336</v>
      </c>
      <c r="F310" s="8">
        <f t="shared" si="23"/>
        <v>205.44444444444451</v>
      </c>
      <c r="G310" s="5">
        <f t="shared" si="24"/>
        <v>0.24293785310734467</v>
      </c>
    </row>
    <row r="311" spans="1:7" ht="15.75" customHeight="1">
      <c r="A311" s="3">
        <v>21860</v>
      </c>
      <c r="B311" s="4">
        <v>45</v>
      </c>
      <c r="C311" s="8">
        <f t="shared" si="20"/>
        <v>48</v>
      </c>
      <c r="D311" s="8">
        <f t="shared" si="21"/>
        <v>-3</v>
      </c>
      <c r="E311" s="8">
        <f t="shared" si="22"/>
        <v>3</v>
      </c>
      <c r="F311" s="8">
        <f t="shared" si="23"/>
        <v>9</v>
      </c>
      <c r="G311" s="5">
        <f t="shared" si="24"/>
        <v>6.6666666666666666E-2</v>
      </c>
    </row>
    <row r="312" spans="1:7" ht="15.75" customHeight="1">
      <c r="A312" s="3">
        <v>21861</v>
      </c>
      <c r="B312" s="4">
        <v>52</v>
      </c>
      <c r="C312" s="8">
        <f t="shared" si="20"/>
        <v>48.666666666666664</v>
      </c>
      <c r="D312" s="8">
        <f t="shared" si="21"/>
        <v>3.3333333333333357</v>
      </c>
      <c r="E312" s="8">
        <f t="shared" si="22"/>
        <v>3.3333333333333357</v>
      </c>
      <c r="F312" s="8">
        <f t="shared" si="23"/>
        <v>11.111111111111127</v>
      </c>
      <c r="G312" s="5">
        <f t="shared" si="24"/>
        <v>6.4102564102564152E-2</v>
      </c>
    </row>
    <row r="313" spans="1:7" ht="15.75" customHeight="1">
      <c r="A313" s="3">
        <v>21862</v>
      </c>
      <c r="B313" s="4">
        <v>46</v>
      </c>
      <c r="C313" s="8">
        <f t="shared" si="20"/>
        <v>52</v>
      </c>
      <c r="D313" s="8">
        <f t="shared" si="21"/>
        <v>-6</v>
      </c>
      <c r="E313" s="8">
        <f t="shared" si="22"/>
        <v>6</v>
      </c>
      <c r="F313" s="8">
        <f t="shared" si="23"/>
        <v>36</v>
      </c>
      <c r="G313" s="5">
        <f t="shared" si="24"/>
        <v>0.13043478260869565</v>
      </c>
    </row>
    <row r="314" spans="1:7" ht="15.75" customHeight="1">
      <c r="A314" s="3">
        <v>21863</v>
      </c>
      <c r="B314" s="4">
        <v>42</v>
      </c>
      <c r="C314" s="8">
        <f t="shared" si="20"/>
        <v>47.666666666666664</v>
      </c>
      <c r="D314" s="8">
        <f t="shared" si="21"/>
        <v>-5.6666666666666643</v>
      </c>
      <c r="E314" s="8">
        <f t="shared" si="22"/>
        <v>5.6666666666666643</v>
      </c>
      <c r="F314" s="8">
        <f t="shared" si="23"/>
        <v>32.111111111111086</v>
      </c>
      <c r="G314" s="5">
        <f t="shared" si="24"/>
        <v>0.13492063492063486</v>
      </c>
    </row>
    <row r="315" spans="1:7" ht="15.75" customHeight="1">
      <c r="A315" s="3">
        <v>21864</v>
      </c>
      <c r="B315" s="4">
        <v>40</v>
      </c>
      <c r="C315" s="8">
        <f t="shared" si="20"/>
        <v>46.666666666666664</v>
      </c>
      <c r="D315" s="8">
        <f t="shared" si="21"/>
        <v>-6.6666666666666643</v>
      </c>
      <c r="E315" s="8">
        <f t="shared" si="22"/>
        <v>6.6666666666666643</v>
      </c>
      <c r="F315" s="8">
        <f t="shared" si="23"/>
        <v>44.444444444444414</v>
      </c>
      <c r="G315" s="5">
        <f t="shared" si="24"/>
        <v>0.1666666666666666</v>
      </c>
    </row>
    <row r="316" spans="1:7" ht="15.75" customHeight="1">
      <c r="A316" s="3">
        <v>21865</v>
      </c>
      <c r="B316" s="4">
        <v>40</v>
      </c>
      <c r="C316" s="8">
        <f t="shared" si="20"/>
        <v>42.666666666666664</v>
      </c>
      <c r="D316" s="8">
        <f t="shared" si="21"/>
        <v>-2.6666666666666643</v>
      </c>
      <c r="E316" s="8">
        <f t="shared" si="22"/>
        <v>2.6666666666666643</v>
      </c>
      <c r="F316" s="8">
        <f t="shared" si="23"/>
        <v>7.1111111111110983</v>
      </c>
      <c r="G316" s="5">
        <f t="shared" si="24"/>
        <v>6.666666666666661E-2</v>
      </c>
    </row>
    <row r="317" spans="1:7" ht="15.75" customHeight="1">
      <c r="A317" s="3">
        <v>21866</v>
      </c>
      <c r="B317" s="4">
        <v>45</v>
      </c>
      <c r="C317" s="8">
        <f t="shared" si="20"/>
        <v>40.666666666666664</v>
      </c>
      <c r="D317" s="8">
        <f t="shared" si="21"/>
        <v>4.3333333333333357</v>
      </c>
      <c r="E317" s="8">
        <f t="shared" si="22"/>
        <v>4.3333333333333357</v>
      </c>
      <c r="F317" s="8">
        <f t="shared" si="23"/>
        <v>18.7777777777778</v>
      </c>
      <c r="G317" s="5">
        <f t="shared" si="24"/>
        <v>9.6296296296296352E-2</v>
      </c>
    </row>
    <row r="318" spans="1:7" ht="15.75" customHeight="1">
      <c r="A318" s="3">
        <v>21867</v>
      </c>
      <c r="B318" s="4">
        <v>35</v>
      </c>
      <c r="C318" s="8">
        <f t="shared" si="20"/>
        <v>41.666666666666664</v>
      </c>
      <c r="D318" s="8">
        <f t="shared" si="21"/>
        <v>-6.6666666666666643</v>
      </c>
      <c r="E318" s="8">
        <f t="shared" si="22"/>
        <v>6.6666666666666643</v>
      </c>
      <c r="F318" s="8">
        <f t="shared" si="23"/>
        <v>44.444444444444414</v>
      </c>
      <c r="G318" s="5">
        <f t="shared" si="24"/>
        <v>0.19047619047619041</v>
      </c>
    </row>
    <row r="319" spans="1:7" ht="15.75" customHeight="1">
      <c r="A319" s="3">
        <v>21868</v>
      </c>
      <c r="B319" s="4">
        <v>35</v>
      </c>
      <c r="C319" s="8">
        <f t="shared" si="20"/>
        <v>40</v>
      </c>
      <c r="D319" s="8">
        <f t="shared" si="21"/>
        <v>-5</v>
      </c>
      <c r="E319" s="8">
        <f t="shared" si="22"/>
        <v>5</v>
      </c>
      <c r="F319" s="8">
        <f t="shared" si="23"/>
        <v>25</v>
      </c>
      <c r="G319" s="5">
        <f t="shared" si="24"/>
        <v>0.14285714285714285</v>
      </c>
    </row>
    <row r="320" spans="1:7" ht="15.75" customHeight="1">
      <c r="A320" s="3">
        <v>21869</v>
      </c>
      <c r="B320" s="4">
        <v>40</v>
      </c>
      <c r="C320" s="8">
        <f t="shared" si="20"/>
        <v>38.333333333333336</v>
      </c>
      <c r="D320" s="8">
        <f t="shared" si="21"/>
        <v>1.6666666666666643</v>
      </c>
      <c r="E320" s="8">
        <f t="shared" si="22"/>
        <v>1.6666666666666643</v>
      </c>
      <c r="F320" s="8">
        <f t="shared" si="23"/>
        <v>2.7777777777777697</v>
      </c>
      <c r="G320" s="5">
        <f t="shared" si="24"/>
        <v>4.1666666666666609E-2</v>
      </c>
    </row>
    <row r="321" spans="1:7" ht="15.75" customHeight="1">
      <c r="A321" s="3">
        <v>21870</v>
      </c>
      <c r="B321" s="4">
        <v>39</v>
      </c>
      <c r="C321" s="8">
        <f t="shared" si="20"/>
        <v>36.666666666666664</v>
      </c>
      <c r="D321" s="8">
        <f t="shared" si="21"/>
        <v>2.3333333333333357</v>
      </c>
      <c r="E321" s="8">
        <f t="shared" si="22"/>
        <v>2.3333333333333357</v>
      </c>
      <c r="F321" s="8">
        <f t="shared" si="23"/>
        <v>5.4444444444444553</v>
      </c>
      <c r="G321" s="5">
        <f t="shared" si="24"/>
        <v>5.9829059829059887E-2</v>
      </c>
    </row>
    <row r="322" spans="1:7" ht="15.75" customHeight="1">
      <c r="A322" s="3">
        <v>21871</v>
      </c>
      <c r="B322" s="4">
        <v>33</v>
      </c>
      <c r="C322" s="8">
        <f t="shared" si="20"/>
        <v>38</v>
      </c>
      <c r="D322" s="8">
        <f t="shared" si="21"/>
        <v>-5</v>
      </c>
      <c r="E322" s="8">
        <f t="shared" si="22"/>
        <v>5</v>
      </c>
      <c r="F322" s="8">
        <f t="shared" si="23"/>
        <v>25</v>
      </c>
      <c r="G322" s="5">
        <f t="shared" si="24"/>
        <v>0.15151515151515152</v>
      </c>
    </row>
    <row r="323" spans="1:7" ht="15.75" customHeight="1">
      <c r="A323" s="3">
        <v>21872</v>
      </c>
      <c r="B323" s="4">
        <v>42</v>
      </c>
      <c r="C323" s="8">
        <f t="shared" si="20"/>
        <v>37.333333333333336</v>
      </c>
      <c r="D323" s="8">
        <f t="shared" si="21"/>
        <v>4.6666666666666643</v>
      </c>
      <c r="E323" s="8">
        <f t="shared" si="22"/>
        <v>4.6666666666666643</v>
      </c>
      <c r="F323" s="8">
        <f t="shared" si="23"/>
        <v>21.777777777777757</v>
      </c>
      <c r="G323" s="5">
        <f t="shared" si="24"/>
        <v>0.11111111111111105</v>
      </c>
    </row>
    <row r="324" spans="1:7" ht="15.75" customHeight="1">
      <c r="A324" s="3">
        <v>21873</v>
      </c>
      <c r="B324" s="4">
        <v>47</v>
      </c>
      <c r="C324" s="8">
        <f t="shared" si="20"/>
        <v>38</v>
      </c>
      <c r="D324" s="8">
        <f t="shared" si="21"/>
        <v>9</v>
      </c>
      <c r="E324" s="8">
        <f t="shared" si="22"/>
        <v>9</v>
      </c>
      <c r="F324" s="8">
        <f t="shared" si="23"/>
        <v>81</v>
      </c>
      <c r="G324" s="5">
        <f t="shared" si="24"/>
        <v>0.19148936170212766</v>
      </c>
    </row>
    <row r="325" spans="1:7" ht="15.75" customHeight="1">
      <c r="A325" s="3">
        <v>21874</v>
      </c>
      <c r="B325" s="4">
        <v>51</v>
      </c>
      <c r="C325" s="8">
        <f t="shared" si="20"/>
        <v>40.666666666666664</v>
      </c>
      <c r="D325" s="8">
        <f t="shared" si="21"/>
        <v>10.333333333333336</v>
      </c>
      <c r="E325" s="8">
        <f t="shared" si="22"/>
        <v>10.333333333333336</v>
      </c>
      <c r="F325" s="8">
        <f t="shared" si="23"/>
        <v>106.77777777777783</v>
      </c>
      <c r="G325" s="5">
        <f t="shared" si="24"/>
        <v>0.20261437908496738</v>
      </c>
    </row>
    <row r="326" spans="1:7" ht="15.75" customHeight="1">
      <c r="A326" s="3">
        <v>21875</v>
      </c>
      <c r="B326" s="4">
        <v>44</v>
      </c>
      <c r="C326" s="8">
        <f t="shared" ref="C326:C366" si="25">AVERAGE(B323:B325)</f>
        <v>46.666666666666664</v>
      </c>
      <c r="D326" s="8">
        <f t="shared" ref="D326:D366" si="26">B326-C326</f>
        <v>-2.6666666666666643</v>
      </c>
      <c r="E326" s="8">
        <f t="shared" ref="E326:E366" si="27">ABS(D326)</f>
        <v>2.6666666666666643</v>
      </c>
      <c r="F326" s="8">
        <f t="shared" ref="F326:F366" si="28">E326^2</f>
        <v>7.1111111111110983</v>
      </c>
      <c r="G326" s="5">
        <f t="shared" ref="G326:G366" si="29">E326/B326</f>
        <v>6.0606060606060552E-2</v>
      </c>
    </row>
    <row r="327" spans="1:7" ht="15.75" customHeight="1">
      <c r="A327" s="3">
        <v>21876</v>
      </c>
      <c r="B327" s="4">
        <v>40</v>
      </c>
      <c r="C327" s="8">
        <f t="shared" si="25"/>
        <v>47.333333333333336</v>
      </c>
      <c r="D327" s="8">
        <f t="shared" si="26"/>
        <v>-7.3333333333333357</v>
      </c>
      <c r="E327" s="8">
        <f t="shared" si="27"/>
        <v>7.3333333333333357</v>
      </c>
      <c r="F327" s="8">
        <f t="shared" si="28"/>
        <v>53.777777777777814</v>
      </c>
      <c r="G327" s="5">
        <f t="shared" si="29"/>
        <v>0.1833333333333334</v>
      </c>
    </row>
    <row r="328" spans="1:7" ht="15.75" customHeight="1">
      <c r="A328" s="3">
        <v>21877</v>
      </c>
      <c r="B328" s="4">
        <v>57</v>
      </c>
      <c r="C328" s="8">
        <f t="shared" si="25"/>
        <v>45</v>
      </c>
      <c r="D328" s="8">
        <f t="shared" si="26"/>
        <v>12</v>
      </c>
      <c r="E328" s="8">
        <f t="shared" si="27"/>
        <v>12</v>
      </c>
      <c r="F328" s="8">
        <f t="shared" si="28"/>
        <v>144</v>
      </c>
      <c r="G328" s="5">
        <f t="shared" si="29"/>
        <v>0.21052631578947367</v>
      </c>
    </row>
    <row r="329" spans="1:7" ht="15.75" customHeight="1">
      <c r="A329" s="3">
        <v>21878</v>
      </c>
      <c r="B329" s="4">
        <v>49</v>
      </c>
      <c r="C329" s="8">
        <f t="shared" si="25"/>
        <v>47</v>
      </c>
      <c r="D329" s="8">
        <f t="shared" si="26"/>
        <v>2</v>
      </c>
      <c r="E329" s="8">
        <f t="shared" si="27"/>
        <v>2</v>
      </c>
      <c r="F329" s="8">
        <f t="shared" si="28"/>
        <v>4</v>
      </c>
      <c r="G329" s="5">
        <f t="shared" si="29"/>
        <v>4.0816326530612242E-2</v>
      </c>
    </row>
    <row r="330" spans="1:7" ht="15.75" customHeight="1">
      <c r="A330" s="3">
        <v>21879</v>
      </c>
      <c r="B330" s="4">
        <v>45</v>
      </c>
      <c r="C330" s="8">
        <f t="shared" si="25"/>
        <v>48.666666666666664</v>
      </c>
      <c r="D330" s="8">
        <f t="shared" si="26"/>
        <v>-3.6666666666666643</v>
      </c>
      <c r="E330" s="8">
        <f t="shared" si="27"/>
        <v>3.6666666666666643</v>
      </c>
      <c r="F330" s="8">
        <f t="shared" si="28"/>
        <v>13.444444444444427</v>
      </c>
      <c r="G330" s="5">
        <f t="shared" si="29"/>
        <v>8.1481481481481433E-2</v>
      </c>
    </row>
    <row r="331" spans="1:7" ht="15.75" customHeight="1">
      <c r="A331" s="3">
        <v>21880</v>
      </c>
      <c r="B331" s="4">
        <v>49</v>
      </c>
      <c r="C331" s="8">
        <f t="shared" si="25"/>
        <v>50.333333333333336</v>
      </c>
      <c r="D331" s="8">
        <f t="shared" si="26"/>
        <v>-1.3333333333333357</v>
      </c>
      <c r="E331" s="8">
        <f t="shared" si="27"/>
        <v>1.3333333333333357</v>
      </c>
      <c r="F331" s="8">
        <f t="shared" si="28"/>
        <v>1.7777777777777841</v>
      </c>
      <c r="G331" s="5">
        <f t="shared" si="29"/>
        <v>2.7210884353741544E-2</v>
      </c>
    </row>
    <row r="332" spans="1:7" ht="15.75" customHeight="1">
      <c r="A332" s="3">
        <v>21881</v>
      </c>
      <c r="B332" s="4">
        <v>51</v>
      </c>
      <c r="C332" s="8">
        <f t="shared" si="25"/>
        <v>47.666666666666664</v>
      </c>
      <c r="D332" s="8">
        <f t="shared" si="26"/>
        <v>3.3333333333333357</v>
      </c>
      <c r="E332" s="8">
        <f t="shared" si="27"/>
        <v>3.3333333333333357</v>
      </c>
      <c r="F332" s="8">
        <f t="shared" si="28"/>
        <v>11.111111111111127</v>
      </c>
      <c r="G332" s="5">
        <f t="shared" si="29"/>
        <v>6.5359477124183052E-2</v>
      </c>
    </row>
    <row r="333" spans="1:7" ht="15.75" customHeight="1">
      <c r="A333" s="3">
        <v>21882</v>
      </c>
      <c r="B333" s="4">
        <v>46</v>
      </c>
      <c r="C333" s="8">
        <f t="shared" si="25"/>
        <v>48.333333333333336</v>
      </c>
      <c r="D333" s="8">
        <f t="shared" si="26"/>
        <v>-2.3333333333333357</v>
      </c>
      <c r="E333" s="8">
        <f t="shared" si="27"/>
        <v>2.3333333333333357</v>
      </c>
      <c r="F333" s="8">
        <f t="shared" si="28"/>
        <v>5.4444444444444553</v>
      </c>
      <c r="G333" s="5">
        <f t="shared" si="29"/>
        <v>5.0724637681159472E-2</v>
      </c>
    </row>
    <row r="334" spans="1:7" ht="15.75" customHeight="1">
      <c r="A334" s="3">
        <v>21883</v>
      </c>
      <c r="B334" s="4">
        <v>44</v>
      </c>
      <c r="C334" s="8">
        <f t="shared" si="25"/>
        <v>48.666666666666664</v>
      </c>
      <c r="D334" s="8">
        <f t="shared" si="26"/>
        <v>-4.6666666666666643</v>
      </c>
      <c r="E334" s="8">
        <f t="shared" si="27"/>
        <v>4.6666666666666643</v>
      </c>
      <c r="F334" s="8">
        <f t="shared" si="28"/>
        <v>21.777777777777757</v>
      </c>
      <c r="G334" s="5">
        <f t="shared" si="29"/>
        <v>0.10606060606060601</v>
      </c>
    </row>
    <row r="335" spans="1:7" ht="15.75" customHeight="1">
      <c r="A335" s="3">
        <v>21884</v>
      </c>
      <c r="B335" s="4">
        <v>52</v>
      </c>
      <c r="C335" s="8">
        <f t="shared" si="25"/>
        <v>47</v>
      </c>
      <c r="D335" s="8">
        <f t="shared" si="26"/>
        <v>5</v>
      </c>
      <c r="E335" s="8">
        <f t="shared" si="27"/>
        <v>5</v>
      </c>
      <c r="F335" s="8">
        <f t="shared" si="28"/>
        <v>25</v>
      </c>
      <c r="G335" s="5">
        <f t="shared" si="29"/>
        <v>9.6153846153846159E-2</v>
      </c>
    </row>
    <row r="336" spans="1:7" ht="15.75" customHeight="1">
      <c r="A336" s="3">
        <v>21885</v>
      </c>
      <c r="B336" s="4">
        <v>45</v>
      </c>
      <c r="C336" s="8">
        <f t="shared" si="25"/>
        <v>47.333333333333336</v>
      </c>
      <c r="D336" s="8">
        <f t="shared" si="26"/>
        <v>-2.3333333333333357</v>
      </c>
      <c r="E336" s="8">
        <f t="shared" si="27"/>
        <v>2.3333333333333357</v>
      </c>
      <c r="F336" s="8">
        <f t="shared" si="28"/>
        <v>5.4444444444444553</v>
      </c>
      <c r="G336" s="5">
        <f t="shared" si="29"/>
        <v>5.1851851851851906E-2</v>
      </c>
    </row>
    <row r="337" spans="1:7" ht="15.75" customHeight="1">
      <c r="A337" s="3">
        <v>21886</v>
      </c>
      <c r="B337" s="4">
        <v>32</v>
      </c>
      <c r="C337" s="8">
        <f t="shared" si="25"/>
        <v>47</v>
      </c>
      <c r="D337" s="8">
        <f t="shared" si="26"/>
        <v>-15</v>
      </c>
      <c r="E337" s="8">
        <f t="shared" si="27"/>
        <v>15</v>
      </c>
      <c r="F337" s="8">
        <f t="shared" si="28"/>
        <v>225</v>
      </c>
      <c r="G337" s="5">
        <f t="shared" si="29"/>
        <v>0.46875</v>
      </c>
    </row>
    <row r="338" spans="1:7" ht="15.75" customHeight="1">
      <c r="A338" s="3">
        <v>21887</v>
      </c>
      <c r="B338" s="4">
        <v>46</v>
      </c>
      <c r="C338" s="8">
        <f t="shared" si="25"/>
        <v>43</v>
      </c>
      <c r="D338" s="8">
        <f t="shared" si="26"/>
        <v>3</v>
      </c>
      <c r="E338" s="8">
        <f t="shared" si="27"/>
        <v>3</v>
      </c>
      <c r="F338" s="8">
        <f t="shared" si="28"/>
        <v>9</v>
      </c>
      <c r="G338" s="5">
        <f t="shared" si="29"/>
        <v>6.5217391304347824E-2</v>
      </c>
    </row>
    <row r="339" spans="1:7" ht="15.75" customHeight="1">
      <c r="A339" s="3">
        <v>21888</v>
      </c>
      <c r="B339" s="4">
        <v>41</v>
      </c>
      <c r="C339" s="8">
        <f t="shared" si="25"/>
        <v>41</v>
      </c>
      <c r="D339" s="8">
        <f t="shared" si="26"/>
        <v>0</v>
      </c>
      <c r="E339" s="8">
        <f t="shared" si="27"/>
        <v>0</v>
      </c>
      <c r="F339" s="8">
        <f t="shared" si="28"/>
        <v>0</v>
      </c>
      <c r="G339" s="5">
        <f t="shared" si="29"/>
        <v>0</v>
      </c>
    </row>
    <row r="340" spans="1:7" ht="15.75" customHeight="1">
      <c r="A340" s="3">
        <v>21889</v>
      </c>
      <c r="B340" s="4">
        <v>34</v>
      </c>
      <c r="C340" s="8">
        <f t="shared" si="25"/>
        <v>39.666666666666664</v>
      </c>
      <c r="D340" s="8">
        <f t="shared" si="26"/>
        <v>-5.6666666666666643</v>
      </c>
      <c r="E340" s="8">
        <f t="shared" si="27"/>
        <v>5.6666666666666643</v>
      </c>
      <c r="F340" s="8">
        <f t="shared" si="28"/>
        <v>32.111111111111086</v>
      </c>
      <c r="G340" s="5">
        <f t="shared" si="29"/>
        <v>0.1666666666666666</v>
      </c>
    </row>
    <row r="341" spans="1:7" ht="15.75" customHeight="1">
      <c r="A341" s="3">
        <v>21890</v>
      </c>
      <c r="B341" s="4">
        <v>33</v>
      </c>
      <c r="C341" s="8">
        <f t="shared" si="25"/>
        <v>40.333333333333336</v>
      </c>
      <c r="D341" s="8">
        <f t="shared" si="26"/>
        <v>-7.3333333333333357</v>
      </c>
      <c r="E341" s="8">
        <f t="shared" si="27"/>
        <v>7.3333333333333357</v>
      </c>
      <c r="F341" s="8">
        <f t="shared" si="28"/>
        <v>53.777777777777814</v>
      </c>
      <c r="G341" s="5">
        <f t="shared" si="29"/>
        <v>0.22222222222222229</v>
      </c>
    </row>
    <row r="342" spans="1:7" ht="15.75" customHeight="1">
      <c r="A342" s="3">
        <v>21891</v>
      </c>
      <c r="B342" s="4">
        <v>36</v>
      </c>
      <c r="C342" s="8">
        <f t="shared" si="25"/>
        <v>36</v>
      </c>
      <c r="D342" s="8">
        <f t="shared" si="26"/>
        <v>0</v>
      </c>
      <c r="E342" s="8">
        <f t="shared" si="27"/>
        <v>0</v>
      </c>
      <c r="F342" s="8">
        <f t="shared" si="28"/>
        <v>0</v>
      </c>
      <c r="G342" s="5">
        <f t="shared" si="29"/>
        <v>0</v>
      </c>
    </row>
    <row r="343" spans="1:7" ht="15.75" customHeight="1">
      <c r="A343" s="3">
        <v>21892</v>
      </c>
      <c r="B343" s="4">
        <v>49</v>
      </c>
      <c r="C343" s="8">
        <f t="shared" si="25"/>
        <v>34.333333333333336</v>
      </c>
      <c r="D343" s="8">
        <f t="shared" si="26"/>
        <v>14.666666666666664</v>
      </c>
      <c r="E343" s="8">
        <f t="shared" si="27"/>
        <v>14.666666666666664</v>
      </c>
      <c r="F343" s="8">
        <f t="shared" si="28"/>
        <v>215.11111111111103</v>
      </c>
      <c r="G343" s="5">
        <f t="shared" si="29"/>
        <v>0.29931972789115641</v>
      </c>
    </row>
    <row r="344" spans="1:7" ht="15.75" customHeight="1">
      <c r="A344" s="3">
        <v>21893</v>
      </c>
      <c r="B344" s="4">
        <v>43</v>
      </c>
      <c r="C344" s="8">
        <f t="shared" si="25"/>
        <v>39.333333333333336</v>
      </c>
      <c r="D344" s="8">
        <f t="shared" si="26"/>
        <v>3.6666666666666643</v>
      </c>
      <c r="E344" s="8">
        <f t="shared" si="27"/>
        <v>3.6666666666666643</v>
      </c>
      <c r="F344" s="8">
        <f t="shared" si="28"/>
        <v>13.444444444444427</v>
      </c>
      <c r="G344" s="5">
        <f t="shared" si="29"/>
        <v>8.5271317829457308E-2</v>
      </c>
    </row>
    <row r="345" spans="1:7" ht="15.75" customHeight="1">
      <c r="A345" s="3">
        <v>21894</v>
      </c>
      <c r="B345" s="4">
        <v>43</v>
      </c>
      <c r="C345" s="8">
        <f t="shared" si="25"/>
        <v>42.666666666666664</v>
      </c>
      <c r="D345" s="8">
        <f t="shared" si="26"/>
        <v>0.3333333333333357</v>
      </c>
      <c r="E345" s="8">
        <f t="shared" si="27"/>
        <v>0.3333333333333357</v>
      </c>
      <c r="F345" s="8">
        <f t="shared" si="28"/>
        <v>0.11111111111111269</v>
      </c>
      <c r="G345" s="5">
        <f t="shared" si="29"/>
        <v>7.7519379844961794E-3</v>
      </c>
    </row>
    <row r="346" spans="1:7" ht="15.75" customHeight="1">
      <c r="A346" s="3">
        <v>21895</v>
      </c>
      <c r="B346" s="4">
        <v>34</v>
      </c>
      <c r="C346" s="8">
        <f t="shared" si="25"/>
        <v>45</v>
      </c>
      <c r="D346" s="8">
        <f t="shared" si="26"/>
        <v>-11</v>
      </c>
      <c r="E346" s="8">
        <f t="shared" si="27"/>
        <v>11</v>
      </c>
      <c r="F346" s="8">
        <f t="shared" si="28"/>
        <v>121</v>
      </c>
      <c r="G346" s="5">
        <f t="shared" si="29"/>
        <v>0.3235294117647059</v>
      </c>
    </row>
    <row r="347" spans="1:7" ht="15.75" customHeight="1">
      <c r="A347" s="3">
        <v>21896</v>
      </c>
      <c r="B347" s="4">
        <v>39</v>
      </c>
      <c r="C347" s="8">
        <f t="shared" si="25"/>
        <v>40</v>
      </c>
      <c r="D347" s="8">
        <f t="shared" si="26"/>
        <v>-1</v>
      </c>
      <c r="E347" s="8">
        <f t="shared" si="27"/>
        <v>1</v>
      </c>
      <c r="F347" s="8">
        <f t="shared" si="28"/>
        <v>1</v>
      </c>
      <c r="G347" s="5">
        <f t="shared" si="29"/>
        <v>2.564102564102564E-2</v>
      </c>
    </row>
    <row r="348" spans="1:7" ht="15.75" customHeight="1">
      <c r="A348" s="3">
        <v>21897</v>
      </c>
      <c r="B348" s="4">
        <v>35</v>
      </c>
      <c r="C348" s="8">
        <f t="shared" si="25"/>
        <v>38.666666666666664</v>
      </c>
      <c r="D348" s="8">
        <f t="shared" si="26"/>
        <v>-3.6666666666666643</v>
      </c>
      <c r="E348" s="8">
        <f t="shared" si="27"/>
        <v>3.6666666666666643</v>
      </c>
      <c r="F348" s="8">
        <f t="shared" si="28"/>
        <v>13.444444444444427</v>
      </c>
      <c r="G348" s="5">
        <f t="shared" si="29"/>
        <v>0.1047619047619047</v>
      </c>
    </row>
    <row r="349" spans="1:7" ht="15.75" customHeight="1">
      <c r="A349" s="3">
        <v>21898</v>
      </c>
      <c r="B349" s="4">
        <v>52</v>
      </c>
      <c r="C349" s="8">
        <f t="shared" si="25"/>
        <v>36</v>
      </c>
      <c r="D349" s="8">
        <f t="shared" si="26"/>
        <v>16</v>
      </c>
      <c r="E349" s="8">
        <f t="shared" si="27"/>
        <v>16</v>
      </c>
      <c r="F349" s="8">
        <f t="shared" si="28"/>
        <v>256</v>
      </c>
      <c r="G349" s="5">
        <f t="shared" si="29"/>
        <v>0.30769230769230771</v>
      </c>
    </row>
    <row r="350" spans="1:7" ht="15.75" customHeight="1">
      <c r="A350" s="3">
        <v>21899</v>
      </c>
      <c r="B350" s="4">
        <v>47</v>
      </c>
      <c r="C350" s="8">
        <f t="shared" si="25"/>
        <v>42</v>
      </c>
      <c r="D350" s="8">
        <f t="shared" si="26"/>
        <v>5</v>
      </c>
      <c r="E350" s="8">
        <f t="shared" si="27"/>
        <v>5</v>
      </c>
      <c r="F350" s="8">
        <f t="shared" si="28"/>
        <v>25</v>
      </c>
      <c r="G350" s="5">
        <f t="shared" si="29"/>
        <v>0.10638297872340426</v>
      </c>
    </row>
    <row r="351" spans="1:7" ht="15.75" customHeight="1">
      <c r="A351" s="3">
        <v>21900</v>
      </c>
      <c r="B351" s="4">
        <v>52</v>
      </c>
      <c r="C351" s="8">
        <f t="shared" si="25"/>
        <v>44.666666666666664</v>
      </c>
      <c r="D351" s="8">
        <f t="shared" si="26"/>
        <v>7.3333333333333357</v>
      </c>
      <c r="E351" s="8">
        <f t="shared" si="27"/>
        <v>7.3333333333333357</v>
      </c>
      <c r="F351" s="8">
        <f t="shared" si="28"/>
        <v>53.777777777777814</v>
      </c>
      <c r="G351" s="5">
        <f t="shared" si="29"/>
        <v>0.14102564102564108</v>
      </c>
    </row>
    <row r="352" spans="1:7" ht="15.75" customHeight="1">
      <c r="A352" s="3">
        <v>21901</v>
      </c>
      <c r="B352" s="4">
        <v>39</v>
      </c>
      <c r="C352" s="8">
        <f t="shared" si="25"/>
        <v>50.333333333333336</v>
      </c>
      <c r="D352" s="8">
        <f t="shared" si="26"/>
        <v>-11.333333333333336</v>
      </c>
      <c r="E352" s="8">
        <f t="shared" si="27"/>
        <v>11.333333333333336</v>
      </c>
      <c r="F352" s="8">
        <f t="shared" si="28"/>
        <v>128.44444444444449</v>
      </c>
      <c r="G352" s="5">
        <f t="shared" si="29"/>
        <v>0.29059829059829068</v>
      </c>
    </row>
    <row r="353" spans="1:7" ht="15.75" customHeight="1">
      <c r="A353" s="3">
        <v>21902</v>
      </c>
      <c r="B353" s="4">
        <v>40</v>
      </c>
      <c r="C353" s="8">
        <f t="shared" si="25"/>
        <v>46</v>
      </c>
      <c r="D353" s="8">
        <f t="shared" si="26"/>
        <v>-6</v>
      </c>
      <c r="E353" s="8">
        <f t="shared" si="27"/>
        <v>6</v>
      </c>
      <c r="F353" s="8">
        <f t="shared" si="28"/>
        <v>36</v>
      </c>
      <c r="G353" s="5">
        <f t="shared" si="29"/>
        <v>0.15</v>
      </c>
    </row>
    <row r="354" spans="1:7" ht="15.75" customHeight="1">
      <c r="A354" s="3">
        <v>21903</v>
      </c>
      <c r="B354" s="4">
        <v>42</v>
      </c>
      <c r="C354" s="8">
        <f t="shared" si="25"/>
        <v>43.666666666666664</v>
      </c>
      <c r="D354" s="8">
        <f t="shared" si="26"/>
        <v>-1.6666666666666643</v>
      </c>
      <c r="E354" s="8">
        <f t="shared" si="27"/>
        <v>1.6666666666666643</v>
      </c>
      <c r="F354" s="8">
        <f t="shared" si="28"/>
        <v>2.7777777777777697</v>
      </c>
      <c r="G354" s="5">
        <f t="shared" si="29"/>
        <v>3.9682539682539625E-2</v>
      </c>
    </row>
    <row r="355" spans="1:7" ht="15.75" customHeight="1">
      <c r="A355" s="3">
        <v>21904</v>
      </c>
      <c r="B355" s="4">
        <v>42</v>
      </c>
      <c r="C355" s="8">
        <f t="shared" si="25"/>
        <v>40.333333333333336</v>
      </c>
      <c r="D355" s="8">
        <f t="shared" si="26"/>
        <v>1.6666666666666643</v>
      </c>
      <c r="E355" s="8">
        <f t="shared" si="27"/>
        <v>1.6666666666666643</v>
      </c>
      <c r="F355" s="8">
        <f t="shared" si="28"/>
        <v>2.7777777777777697</v>
      </c>
      <c r="G355" s="5">
        <f t="shared" si="29"/>
        <v>3.9682539682539625E-2</v>
      </c>
    </row>
    <row r="356" spans="1:7" ht="15.75" customHeight="1">
      <c r="A356" s="3">
        <v>21905</v>
      </c>
      <c r="B356" s="4">
        <v>53</v>
      </c>
      <c r="C356" s="8">
        <f t="shared" si="25"/>
        <v>41.333333333333336</v>
      </c>
      <c r="D356" s="8">
        <f t="shared" si="26"/>
        <v>11.666666666666664</v>
      </c>
      <c r="E356" s="8">
        <f t="shared" si="27"/>
        <v>11.666666666666664</v>
      </c>
      <c r="F356" s="8">
        <f t="shared" si="28"/>
        <v>136.11111111111106</v>
      </c>
      <c r="G356" s="5">
        <f t="shared" si="29"/>
        <v>0.22012578616352196</v>
      </c>
    </row>
    <row r="357" spans="1:7" ht="15.75" customHeight="1">
      <c r="A357" s="3">
        <v>21906</v>
      </c>
      <c r="B357" s="4">
        <v>39</v>
      </c>
      <c r="C357" s="8">
        <f t="shared" si="25"/>
        <v>45.666666666666664</v>
      </c>
      <c r="D357" s="8">
        <f t="shared" si="26"/>
        <v>-6.6666666666666643</v>
      </c>
      <c r="E357" s="8">
        <f t="shared" si="27"/>
        <v>6.6666666666666643</v>
      </c>
      <c r="F357" s="8">
        <f t="shared" si="28"/>
        <v>44.444444444444414</v>
      </c>
      <c r="G357" s="5">
        <f t="shared" si="29"/>
        <v>0.17094017094017089</v>
      </c>
    </row>
    <row r="358" spans="1:7" ht="15.75" customHeight="1">
      <c r="A358" s="3">
        <v>21907</v>
      </c>
      <c r="B358" s="4">
        <v>40</v>
      </c>
      <c r="C358" s="8">
        <f t="shared" si="25"/>
        <v>44.666666666666664</v>
      </c>
      <c r="D358" s="8">
        <f t="shared" si="26"/>
        <v>-4.6666666666666643</v>
      </c>
      <c r="E358" s="8">
        <f t="shared" si="27"/>
        <v>4.6666666666666643</v>
      </c>
      <c r="F358" s="8">
        <f t="shared" si="28"/>
        <v>21.777777777777757</v>
      </c>
      <c r="G358" s="5">
        <f t="shared" si="29"/>
        <v>0.11666666666666661</v>
      </c>
    </row>
    <row r="359" spans="1:7" ht="15.75" customHeight="1">
      <c r="A359" s="3">
        <v>21908</v>
      </c>
      <c r="B359" s="4">
        <v>38</v>
      </c>
      <c r="C359" s="8">
        <f t="shared" si="25"/>
        <v>44</v>
      </c>
      <c r="D359" s="8">
        <f t="shared" si="26"/>
        <v>-6</v>
      </c>
      <c r="E359" s="8">
        <f t="shared" si="27"/>
        <v>6</v>
      </c>
      <c r="F359" s="8">
        <f t="shared" si="28"/>
        <v>36</v>
      </c>
      <c r="G359" s="5">
        <f t="shared" si="29"/>
        <v>0.15789473684210525</v>
      </c>
    </row>
    <row r="360" spans="1:7" ht="15.75" customHeight="1">
      <c r="A360" s="3">
        <v>21909</v>
      </c>
      <c r="B360" s="4">
        <v>44</v>
      </c>
      <c r="C360" s="8">
        <f t="shared" si="25"/>
        <v>39</v>
      </c>
      <c r="D360" s="8">
        <f t="shared" si="26"/>
        <v>5</v>
      </c>
      <c r="E360" s="8">
        <f t="shared" si="27"/>
        <v>5</v>
      </c>
      <c r="F360" s="8">
        <f t="shared" si="28"/>
        <v>25</v>
      </c>
      <c r="G360" s="5">
        <f t="shared" si="29"/>
        <v>0.11363636363636363</v>
      </c>
    </row>
    <row r="361" spans="1:7" ht="15.75" customHeight="1">
      <c r="A361" s="3">
        <v>21910</v>
      </c>
      <c r="B361" s="4">
        <v>34</v>
      </c>
      <c r="C361" s="8">
        <f t="shared" si="25"/>
        <v>40.666666666666664</v>
      </c>
      <c r="D361" s="8">
        <f t="shared" si="26"/>
        <v>-6.6666666666666643</v>
      </c>
      <c r="E361" s="8">
        <f t="shared" si="27"/>
        <v>6.6666666666666643</v>
      </c>
      <c r="F361" s="8">
        <f t="shared" si="28"/>
        <v>44.444444444444414</v>
      </c>
      <c r="G361" s="5">
        <f t="shared" si="29"/>
        <v>0.19607843137254896</v>
      </c>
    </row>
    <row r="362" spans="1:7" ht="15.75" customHeight="1">
      <c r="A362" s="3">
        <v>21911</v>
      </c>
      <c r="B362" s="4">
        <v>37</v>
      </c>
      <c r="C362" s="8">
        <f t="shared" si="25"/>
        <v>38.666666666666664</v>
      </c>
      <c r="D362" s="8">
        <f t="shared" si="26"/>
        <v>-1.6666666666666643</v>
      </c>
      <c r="E362" s="8">
        <f t="shared" si="27"/>
        <v>1.6666666666666643</v>
      </c>
      <c r="F362" s="8">
        <f t="shared" si="28"/>
        <v>2.7777777777777697</v>
      </c>
      <c r="G362" s="5">
        <f t="shared" si="29"/>
        <v>4.504504504504498E-2</v>
      </c>
    </row>
    <row r="363" spans="1:7" ht="15.75" customHeight="1">
      <c r="A363" s="3">
        <v>21912</v>
      </c>
      <c r="B363" s="4">
        <v>52</v>
      </c>
      <c r="C363" s="8">
        <f t="shared" si="25"/>
        <v>38.333333333333336</v>
      </c>
      <c r="D363" s="8">
        <f t="shared" si="26"/>
        <v>13.666666666666664</v>
      </c>
      <c r="E363" s="8">
        <f t="shared" si="27"/>
        <v>13.666666666666664</v>
      </c>
      <c r="F363" s="8">
        <f t="shared" si="28"/>
        <v>186.77777777777771</v>
      </c>
      <c r="G363" s="5">
        <f t="shared" si="29"/>
        <v>0.26282051282051277</v>
      </c>
    </row>
    <row r="364" spans="1:7" ht="15.75" customHeight="1">
      <c r="A364" s="3">
        <v>21913</v>
      </c>
      <c r="B364" s="4">
        <v>48</v>
      </c>
      <c r="C364" s="8">
        <f t="shared" si="25"/>
        <v>41</v>
      </c>
      <c r="D364" s="8">
        <f t="shared" si="26"/>
        <v>7</v>
      </c>
      <c r="E364" s="8">
        <f t="shared" si="27"/>
        <v>7</v>
      </c>
      <c r="F364" s="8">
        <f t="shared" si="28"/>
        <v>49</v>
      </c>
      <c r="G364" s="5">
        <f t="shared" si="29"/>
        <v>0.14583333333333334</v>
      </c>
    </row>
    <row r="365" spans="1:7" ht="15.75" customHeight="1">
      <c r="A365" s="3">
        <v>21914</v>
      </c>
      <c r="B365" s="4">
        <v>55</v>
      </c>
      <c r="C365" s="8">
        <f t="shared" si="25"/>
        <v>45.666666666666664</v>
      </c>
      <c r="D365" s="8">
        <f t="shared" si="26"/>
        <v>9.3333333333333357</v>
      </c>
      <c r="E365" s="8">
        <f t="shared" si="27"/>
        <v>9.3333333333333357</v>
      </c>
      <c r="F365" s="8">
        <f t="shared" si="28"/>
        <v>87.111111111111157</v>
      </c>
      <c r="G365" s="5">
        <f t="shared" si="29"/>
        <v>0.16969696969696973</v>
      </c>
    </row>
    <row r="366" spans="1:7" ht="15.75" customHeight="1">
      <c r="A366" s="3">
        <v>21915</v>
      </c>
      <c r="B366" s="4">
        <v>50</v>
      </c>
      <c r="C366" s="8">
        <f t="shared" si="25"/>
        <v>51.666666666666664</v>
      </c>
      <c r="D366" s="8">
        <f t="shared" si="26"/>
        <v>-1.6666666666666643</v>
      </c>
      <c r="E366" s="8">
        <f t="shared" si="27"/>
        <v>1.6666666666666643</v>
      </c>
      <c r="F366" s="8">
        <f t="shared" si="28"/>
        <v>2.7777777777777697</v>
      </c>
      <c r="G366" s="5">
        <f t="shared" si="29"/>
        <v>3.3333333333333284E-2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78F7-FA30-49EE-800D-A86616B48806}">
  <dimension ref="A1:E454"/>
  <sheetViews>
    <sheetView workbookViewId="0"/>
  </sheetViews>
  <sheetFormatPr defaultRowHeight="15.75"/>
  <cols>
    <col min="1" max="1" width="10.375" bestFit="1" customWidth="1"/>
    <col min="2" max="2" width="9.125" bestFit="1" customWidth="1"/>
    <col min="3" max="3" width="9.875" customWidth="1"/>
    <col min="4" max="5" width="24.125" customWidth="1"/>
  </cols>
  <sheetData>
    <row r="1" spans="1: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>
      <c r="A2" s="31">
        <v>21554</v>
      </c>
      <c r="B2" s="34">
        <v>4.3010752688172123E-2</v>
      </c>
    </row>
    <row r="3" spans="1:5">
      <c r="A3" s="31">
        <v>21555</v>
      </c>
      <c r="B3" s="34">
        <v>0.29545454545454547</v>
      </c>
    </row>
    <row r="4" spans="1:5">
      <c r="A4" s="31">
        <v>21556</v>
      </c>
      <c r="B4" s="34">
        <v>0.20689655172413793</v>
      </c>
    </row>
    <row r="5" spans="1:5">
      <c r="A5" s="31">
        <v>21557</v>
      </c>
      <c r="B5" s="34">
        <v>0.22962962962962968</v>
      </c>
    </row>
    <row r="6" spans="1:5">
      <c r="A6" s="31">
        <v>21558</v>
      </c>
      <c r="B6" s="34">
        <v>8.5271317829457308E-2</v>
      </c>
    </row>
    <row r="7" spans="1:5">
      <c r="A7" s="31">
        <v>21559</v>
      </c>
      <c r="B7" s="34">
        <v>2.6315789473684209E-2</v>
      </c>
    </row>
    <row r="8" spans="1:5">
      <c r="A8" s="31">
        <v>21560</v>
      </c>
      <c r="B8" s="34">
        <v>0.55555555555555558</v>
      </c>
    </row>
    <row r="9" spans="1:5">
      <c r="A9" s="31">
        <v>21561</v>
      </c>
      <c r="B9" s="34">
        <v>5.2631578947368418E-2</v>
      </c>
    </row>
    <row r="10" spans="1:5">
      <c r="A10" s="31">
        <v>21562</v>
      </c>
      <c r="B10" s="34">
        <v>4.0404040404040477E-2</v>
      </c>
    </row>
    <row r="11" spans="1:5">
      <c r="A11" s="31">
        <v>21563</v>
      </c>
      <c r="B11" s="34">
        <v>0.40606060606060612</v>
      </c>
    </row>
    <row r="12" spans="1:5">
      <c r="A12" s="31">
        <v>21564</v>
      </c>
      <c r="B12" s="34">
        <v>0.10638297872340426</v>
      </c>
    </row>
    <row r="13" spans="1:5">
      <c r="A13" s="31">
        <v>21565</v>
      </c>
      <c r="B13" s="34">
        <v>0</v>
      </c>
    </row>
    <row r="14" spans="1:5">
      <c r="A14" s="31">
        <v>21566</v>
      </c>
      <c r="B14" s="34">
        <v>0.32432432432432434</v>
      </c>
    </row>
    <row r="15" spans="1:5">
      <c r="A15" s="31">
        <v>21567</v>
      </c>
      <c r="B15" s="34">
        <v>0.14000000000000001</v>
      </c>
    </row>
    <row r="16" spans="1:5">
      <c r="A16" s="31">
        <v>21568</v>
      </c>
      <c r="B16" s="34">
        <v>2.3255813953488372E-2</v>
      </c>
    </row>
    <row r="17" spans="1:2">
      <c r="A17" s="31">
        <v>21569</v>
      </c>
      <c r="B17" s="34">
        <v>5.6910569105691117E-2</v>
      </c>
    </row>
    <row r="18" spans="1:2">
      <c r="A18" s="31">
        <v>21570</v>
      </c>
      <c r="B18" s="34">
        <v>0.14102564102564108</v>
      </c>
    </row>
    <row r="19" spans="1:2">
      <c r="A19" s="31">
        <v>21571</v>
      </c>
      <c r="B19" s="34">
        <v>0.33333333333333343</v>
      </c>
    </row>
    <row r="20" spans="1:2">
      <c r="A20" s="31">
        <v>21572</v>
      </c>
      <c r="B20" s="34">
        <v>0.20125786163522008</v>
      </c>
    </row>
    <row r="21" spans="1:2">
      <c r="A21" s="31">
        <v>21573</v>
      </c>
      <c r="B21" s="34">
        <v>0.18803418803418809</v>
      </c>
    </row>
    <row r="22" spans="1:2">
      <c r="A22" s="31">
        <v>21574</v>
      </c>
      <c r="B22" s="34">
        <v>0.3125</v>
      </c>
    </row>
    <row r="23" spans="1:2">
      <c r="A23" s="31">
        <v>21575</v>
      </c>
      <c r="B23" s="34">
        <v>0.11711711711711718</v>
      </c>
    </row>
    <row r="24" spans="1:2">
      <c r="A24" s="31">
        <v>21576</v>
      </c>
      <c r="B24" s="34">
        <v>0.16279069767441862</v>
      </c>
    </row>
    <row r="25" spans="1:2">
      <c r="A25" s="31">
        <v>21577</v>
      </c>
      <c r="B25" s="34">
        <v>4.2735042735042673E-2</v>
      </c>
    </row>
    <row r="26" spans="1:2">
      <c r="A26" s="31">
        <v>21578</v>
      </c>
      <c r="B26" s="34">
        <v>0.13333333333333328</v>
      </c>
    </row>
    <row r="27" spans="1:2">
      <c r="A27" s="31">
        <v>21579</v>
      </c>
      <c r="B27" s="34">
        <v>0.11363636363636363</v>
      </c>
    </row>
    <row r="28" spans="1:2">
      <c r="A28" s="31">
        <v>21580</v>
      </c>
      <c r="B28" s="34">
        <v>3.5087719298245675E-2</v>
      </c>
    </row>
    <row r="29" spans="1:2">
      <c r="A29" s="31">
        <v>21581</v>
      </c>
      <c r="B29" s="34">
        <v>0.625</v>
      </c>
    </row>
    <row r="30" spans="1:2">
      <c r="A30" s="31">
        <v>21582</v>
      </c>
      <c r="B30" s="34">
        <v>0.53623188405797106</v>
      </c>
    </row>
    <row r="31" spans="1:2">
      <c r="A31" s="31">
        <v>21583</v>
      </c>
      <c r="B31" s="34">
        <v>8.6021505376344121E-2</v>
      </c>
    </row>
    <row r="32" spans="1:2">
      <c r="A32" s="31">
        <v>21584</v>
      </c>
      <c r="B32" s="34">
        <v>0.40909090909090912</v>
      </c>
    </row>
    <row r="33" spans="1:2">
      <c r="A33" s="31">
        <v>21585</v>
      </c>
      <c r="B33" s="34">
        <v>0.14035087719298253</v>
      </c>
    </row>
    <row r="34" spans="1:2">
      <c r="A34" s="31">
        <v>21586</v>
      </c>
      <c r="B34" s="34">
        <v>0.2466666666666667</v>
      </c>
    </row>
    <row r="35" spans="1:2">
      <c r="A35" s="31">
        <v>21587</v>
      </c>
      <c r="B35" s="34">
        <v>0.15789473684210525</v>
      </c>
    </row>
    <row r="36" spans="1:2">
      <c r="A36" s="31">
        <v>21588</v>
      </c>
      <c r="B36" s="34">
        <v>0.17647058823529413</v>
      </c>
    </row>
    <row r="37" spans="1:2">
      <c r="A37" s="31">
        <v>21589</v>
      </c>
      <c r="B37" s="34">
        <v>0.49462365591397855</v>
      </c>
    </row>
    <row r="38" spans="1:2">
      <c r="A38" s="31">
        <v>21590</v>
      </c>
      <c r="B38" s="34">
        <v>0.29032258064516131</v>
      </c>
    </row>
    <row r="39" spans="1:2">
      <c r="A39" s="31">
        <v>21591</v>
      </c>
      <c r="B39" s="34">
        <v>0.2614379084967321</v>
      </c>
    </row>
    <row r="40" spans="1:2">
      <c r="A40" s="31">
        <v>21592</v>
      </c>
      <c r="B40" s="34">
        <v>4.6296296296296231E-2</v>
      </c>
    </row>
    <row r="41" spans="1:2">
      <c r="A41" s="31">
        <v>21593</v>
      </c>
      <c r="B41" s="34">
        <v>0.12592592592592589</v>
      </c>
    </row>
    <row r="42" spans="1:2">
      <c r="A42" s="31">
        <v>21594</v>
      </c>
      <c r="B42" s="34">
        <v>0.13725490196078433</v>
      </c>
    </row>
    <row r="43" spans="1:2">
      <c r="A43" s="31">
        <v>21595</v>
      </c>
      <c r="B43" s="34">
        <v>0.29411764705882354</v>
      </c>
    </row>
    <row r="44" spans="1:2">
      <c r="A44" s="31">
        <v>21596</v>
      </c>
      <c r="B44" s="34">
        <v>0.16666666666666663</v>
      </c>
    </row>
    <row r="45" spans="1:2">
      <c r="A45" s="31">
        <v>21597</v>
      </c>
      <c r="B45" s="34">
        <v>2.8368794326241186E-2</v>
      </c>
    </row>
    <row r="46" spans="1:2">
      <c r="A46" s="31">
        <v>21598</v>
      </c>
      <c r="B46" s="34">
        <v>1.4814814814814762E-2</v>
      </c>
    </row>
    <row r="47" spans="1:2">
      <c r="A47" s="31">
        <v>21599</v>
      </c>
      <c r="B47" s="34">
        <v>4.3478260869565216E-2</v>
      </c>
    </row>
    <row r="48" spans="1:2">
      <c r="A48" s="31">
        <v>21600</v>
      </c>
      <c r="B48" s="34">
        <v>0.17948717948717949</v>
      </c>
    </row>
    <row r="49" spans="1:2">
      <c r="A49" s="31">
        <v>21601</v>
      </c>
      <c r="B49" s="34">
        <v>9.7222222222222168E-2</v>
      </c>
    </row>
    <row r="50" spans="1:2">
      <c r="A50" s="31">
        <v>21602</v>
      </c>
      <c r="B50" s="34">
        <v>0.19819819819819826</v>
      </c>
    </row>
    <row r="51" spans="1:2">
      <c r="A51" s="31">
        <v>21603</v>
      </c>
      <c r="B51" s="34">
        <v>0.18095238095238103</v>
      </c>
    </row>
    <row r="52" spans="1:2">
      <c r="A52" s="31">
        <v>21604</v>
      </c>
      <c r="B52" s="34">
        <v>0.23076923076923078</v>
      </c>
    </row>
    <row r="53" spans="1:2">
      <c r="A53" s="31">
        <v>21605</v>
      </c>
      <c r="B53" s="34">
        <v>1.5873015873015817E-2</v>
      </c>
    </row>
    <row r="54" spans="1:2">
      <c r="A54" s="31">
        <v>21606</v>
      </c>
      <c r="B54" s="34">
        <v>4.4444444444444446E-2</v>
      </c>
    </row>
    <row r="55" spans="1:2">
      <c r="A55" s="31">
        <v>21607</v>
      </c>
      <c r="B55" s="34">
        <v>0.18803418803418809</v>
      </c>
    </row>
    <row r="56" spans="1:2">
      <c r="A56" s="31">
        <v>21608</v>
      </c>
      <c r="B56" s="34">
        <v>0.13513513513513514</v>
      </c>
    </row>
    <row r="57" spans="1:2">
      <c r="A57" s="31">
        <v>21609</v>
      </c>
      <c r="B57" s="34">
        <v>0.3444444444444445</v>
      </c>
    </row>
    <row r="58" spans="1:2">
      <c r="A58" s="31">
        <v>21610</v>
      </c>
      <c r="B58" s="34">
        <v>9.5238095238095923E-3</v>
      </c>
    </row>
    <row r="59" spans="1:2">
      <c r="A59" s="31">
        <v>21611</v>
      </c>
      <c r="B59" s="34">
        <v>0.21428571428571427</v>
      </c>
    </row>
    <row r="60" spans="1:2">
      <c r="A60" s="31">
        <v>21612</v>
      </c>
      <c r="B60" s="34">
        <v>0.31111111111111112</v>
      </c>
    </row>
    <row r="61" spans="1:2">
      <c r="A61" s="31">
        <v>21613</v>
      </c>
      <c r="B61" s="34">
        <v>5.8823529411764705E-2</v>
      </c>
    </row>
    <row r="62" spans="1:2">
      <c r="A62" s="31">
        <v>21614</v>
      </c>
      <c r="B62" s="34">
        <v>9.2592592592593247E-3</v>
      </c>
    </row>
    <row r="63" spans="1:2">
      <c r="A63" s="31">
        <v>21615</v>
      </c>
      <c r="B63" s="34">
        <v>0.23333333333333328</v>
      </c>
    </row>
    <row r="64" spans="1:2">
      <c r="A64" s="31">
        <v>21616</v>
      </c>
      <c r="B64" s="34">
        <v>9.0909090909090912E-2</v>
      </c>
    </row>
    <row r="65" spans="1:2">
      <c r="A65" s="31">
        <v>21617</v>
      </c>
      <c r="B65" s="34">
        <v>0.11111111111111117</v>
      </c>
    </row>
    <row r="66" spans="1:2">
      <c r="A66" s="31">
        <v>21618</v>
      </c>
      <c r="B66" s="34">
        <v>0.38541666666666674</v>
      </c>
    </row>
    <row r="67" spans="1:2">
      <c r="A67" s="31">
        <v>21619</v>
      </c>
      <c r="B67" s="34">
        <v>1.7094017094017033E-2</v>
      </c>
    </row>
    <row r="68" spans="1:2">
      <c r="A68" s="31">
        <v>21620</v>
      </c>
      <c r="B68" s="34">
        <v>0.18518518518518523</v>
      </c>
    </row>
    <row r="69" spans="1:2">
      <c r="A69" s="31">
        <v>21621</v>
      </c>
      <c r="B69" s="34">
        <v>0.10077519379844967</v>
      </c>
    </row>
    <row r="70" spans="1:2">
      <c r="A70" s="31">
        <v>21622</v>
      </c>
      <c r="B70" s="34">
        <v>8.5470085470085527E-2</v>
      </c>
    </row>
    <row r="71" spans="1:2">
      <c r="A71" s="31">
        <v>21623</v>
      </c>
      <c r="B71" s="34">
        <v>0.36559139784946243</v>
      </c>
    </row>
    <row r="72" spans="1:2">
      <c r="A72" s="31">
        <v>21624</v>
      </c>
      <c r="B72" s="34">
        <v>0.39506172839506165</v>
      </c>
    </row>
    <row r="73" spans="1:2">
      <c r="A73" s="31">
        <v>21625</v>
      </c>
      <c r="B73" s="34">
        <v>7.7777777777777862E-2</v>
      </c>
    </row>
    <row r="74" spans="1:2">
      <c r="A74" s="31">
        <v>21626</v>
      </c>
      <c r="B74" s="34">
        <v>0.30158730158730163</v>
      </c>
    </row>
    <row r="75" spans="1:2">
      <c r="A75" s="31">
        <v>21627</v>
      </c>
      <c r="B75" s="34">
        <v>0.28260869565217389</v>
      </c>
    </row>
    <row r="76" spans="1:2">
      <c r="A76" s="31">
        <v>21628</v>
      </c>
      <c r="B76" s="34">
        <v>4.0650406504064984E-2</v>
      </c>
    </row>
    <row r="77" spans="1:2">
      <c r="A77" s="31">
        <v>21629</v>
      </c>
      <c r="B77" s="34">
        <v>0.19444444444444445</v>
      </c>
    </row>
    <row r="78" spans="1:2">
      <c r="A78" s="31">
        <v>21630</v>
      </c>
      <c r="B78" s="34">
        <v>8.8888888888888892E-2</v>
      </c>
    </row>
    <row r="79" spans="1:2">
      <c r="A79" s="31">
        <v>21631</v>
      </c>
      <c r="B79" s="34">
        <v>0.1159420289855073</v>
      </c>
    </row>
    <row r="80" spans="1:2">
      <c r="A80" s="31">
        <v>21632</v>
      </c>
      <c r="B80" s="34">
        <v>1.5503875968992192E-2</v>
      </c>
    </row>
    <row r="81" spans="1:2">
      <c r="A81" s="31">
        <v>21633</v>
      </c>
      <c r="B81" s="34">
        <v>0.175438596491228</v>
      </c>
    </row>
    <row r="82" spans="1:2">
      <c r="A82" s="31">
        <v>21634</v>
      </c>
      <c r="B82" s="34">
        <v>0.24509803921568635</v>
      </c>
    </row>
    <row r="83" spans="1:2">
      <c r="A83" s="31">
        <v>21635</v>
      </c>
      <c r="B83" s="34">
        <v>9.5238095238095302E-2</v>
      </c>
    </row>
    <row r="84" spans="1:2">
      <c r="A84" s="31">
        <v>21636</v>
      </c>
      <c r="B84" s="34">
        <v>0.36309523809523814</v>
      </c>
    </row>
    <row r="85" spans="1:2">
      <c r="A85" s="31">
        <v>21637</v>
      </c>
      <c r="B85" s="34">
        <v>0.15740740740740733</v>
      </c>
    </row>
    <row r="86" spans="1:2">
      <c r="A86" s="31">
        <v>21638</v>
      </c>
      <c r="B86" s="34">
        <v>0.32291666666666674</v>
      </c>
    </row>
    <row r="87" spans="1:2">
      <c r="A87" s="31">
        <v>21639</v>
      </c>
      <c r="B87" s="34">
        <v>0.17333333333333328</v>
      </c>
    </row>
    <row r="88" spans="1:2">
      <c r="A88" s="31">
        <v>21640</v>
      </c>
      <c r="B88" s="34">
        <v>4.0650406504064984E-2</v>
      </c>
    </row>
    <row r="89" spans="1:2">
      <c r="A89" s="31">
        <v>21641</v>
      </c>
      <c r="B89" s="34">
        <v>5.128205128205128E-2</v>
      </c>
    </row>
    <row r="90" spans="1:2">
      <c r="A90" s="31">
        <v>21642</v>
      </c>
      <c r="B90" s="34">
        <v>5.6910569105691117E-2</v>
      </c>
    </row>
    <row r="91" spans="1:2">
      <c r="A91" s="31">
        <v>21643</v>
      </c>
      <c r="B91" s="34">
        <v>0.14184397163120563</v>
      </c>
    </row>
    <row r="92" spans="1:2">
      <c r="A92" s="31">
        <v>21644</v>
      </c>
      <c r="B92" s="34">
        <v>0.24509803921568635</v>
      </c>
    </row>
    <row r="93" spans="1:2">
      <c r="A93" s="31">
        <v>21645</v>
      </c>
      <c r="B93" s="34">
        <v>0.12962962962962957</v>
      </c>
    </row>
    <row r="94" spans="1:2">
      <c r="A94" s="31">
        <v>21646</v>
      </c>
      <c r="B94" s="34">
        <v>0.18181818181818182</v>
      </c>
    </row>
    <row r="95" spans="1:2">
      <c r="A95" s="31">
        <v>21647</v>
      </c>
      <c r="B95" s="34">
        <v>1.904761904761898E-2</v>
      </c>
    </row>
    <row r="96" spans="1:2">
      <c r="A96" s="31">
        <v>21648</v>
      </c>
      <c r="B96" s="34">
        <v>8.77192982456141E-2</v>
      </c>
    </row>
    <row r="97" spans="1:2">
      <c r="A97" s="31">
        <v>21649</v>
      </c>
      <c r="B97" s="34">
        <v>7.0175438596491169E-2</v>
      </c>
    </row>
    <row r="98" spans="1:2">
      <c r="A98" s="31">
        <v>21650</v>
      </c>
      <c r="B98" s="34">
        <v>8.8235294117647065E-2</v>
      </c>
    </row>
    <row r="99" spans="1:2">
      <c r="A99" s="31">
        <v>21651</v>
      </c>
      <c r="B99" s="34">
        <v>0.30817610062893086</v>
      </c>
    </row>
    <row r="100" spans="1:2">
      <c r="A100" s="31">
        <v>21652</v>
      </c>
      <c r="B100" s="34">
        <v>0.22549019607843129</v>
      </c>
    </row>
    <row r="101" spans="1:2">
      <c r="A101" s="31">
        <v>21653</v>
      </c>
      <c r="B101" s="34">
        <v>0.18627450980392163</v>
      </c>
    </row>
    <row r="102" spans="1:2">
      <c r="A102" s="31">
        <v>21654</v>
      </c>
      <c r="B102" s="34">
        <v>6.1403508771929884E-2</v>
      </c>
    </row>
    <row r="103" spans="1:2">
      <c r="A103" s="31">
        <v>21655</v>
      </c>
      <c r="B103" s="34">
        <v>9.5238095238095923E-3</v>
      </c>
    </row>
    <row r="104" spans="1:2">
      <c r="A104" s="31">
        <v>21656</v>
      </c>
      <c r="B104" s="34">
        <v>0.11458333333333326</v>
      </c>
    </row>
    <row r="105" spans="1:2">
      <c r="A105" s="31">
        <v>21657</v>
      </c>
      <c r="B105" s="34">
        <v>0.16666666666666666</v>
      </c>
    </row>
    <row r="106" spans="1:2">
      <c r="A106" s="31">
        <v>21658</v>
      </c>
      <c r="B106" s="34">
        <v>6.8627450980392232E-2</v>
      </c>
    </row>
    <row r="107" spans="1:2">
      <c r="A107" s="31">
        <v>21659</v>
      </c>
      <c r="B107" s="34">
        <v>0.21739130434782608</v>
      </c>
    </row>
    <row r="108" spans="1:2">
      <c r="A108" s="31">
        <v>21660</v>
      </c>
      <c r="B108" s="34">
        <v>0.35555555555555546</v>
      </c>
    </row>
    <row r="109" spans="1:2">
      <c r="A109" s="31">
        <v>21661</v>
      </c>
      <c r="B109" s="34">
        <v>0.20289855072463772</v>
      </c>
    </row>
    <row r="110" spans="1:2">
      <c r="A110" s="31">
        <v>21662</v>
      </c>
      <c r="B110" s="34">
        <v>9.6296296296296352E-2</v>
      </c>
    </row>
    <row r="111" spans="1:2">
      <c r="A111" s="31">
        <v>21663</v>
      </c>
      <c r="B111" s="34">
        <v>0.25308641975308638</v>
      </c>
    </row>
    <row r="112" spans="1:2">
      <c r="A112" s="31">
        <v>21664</v>
      </c>
      <c r="B112" s="34">
        <v>0.42156862745098045</v>
      </c>
    </row>
    <row r="113" spans="1:2">
      <c r="A113" s="31">
        <v>21665</v>
      </c>
      <c r="B113" s="34">
        <v>0.19819819819819826</v>
      </c>
    </row>
    <row r="114" spans="1:2">
      <c r="A114" s="31">
        <v>21666</v>
      </c>
      <c r="B114" s="34">
        <v>0.19047619047619041</v>
      </c>
    </row>
    <row r="115" spans="1:2">
      <c r="A115" s="31">
        <v>21667</v>
      </c>
      <c r="B115" s="34">
        <v>0.11666666666666661</v>
      </c>
    </row>
    <row r="116" spans="1:2">
      <c r="A116" s="31">
        <v>21668</v>
      </c>
      <c r="B116" s="34">
        <v>0.11111111111111105</v>
      </c>
    </row>
    <row r="117" spans="1:2">
      <c r="A117" s="31">
        <v>21669</v>
      </c>
      <c r="B117" s="34">
        <v>0.32758620689655171</v>
      </c>
    </row>
    <row r="118" spans="1:2">
      <c r="A118" s="31">
        <v>21670</v>
      </c>
      <c r="B118" s="34">
        <v>8.4967320261437954E-2</v>
      </c>
    </row>
    <row r="119" spans="1:2">
      <c r="A119" s="31">
        <v>21671</v>
      </c>
      <c r="B119" s="34">
        <v>0.57291666666666674</v>
      </c>
    </row>
    <row r="120" spans="1:2">
      <c r="A120" s="31">
        <v>21672</v>
      </c>
      <c r="B120" s="34">
        <v>0.34285714285714286</v>
      </c>
    </row>
    <row r="121" spans="1:2">
      <c r="A121" s="31">
        <v>21673</v>
      </c>
      <c r="B121" s="34">
        <v>3.5087719298245675E-2</v>
      </c>
    </row>
    <row r="122" spans="1:2">
      <c r="A122" s="31">
        <v>21674</v>
      </c>
      <c r="B122" s="34">
        <v>6.0606060606060608E-2</v>
      </c>
    </row>
    <row r="123" spans="1:2">
      <c r="A123" s="31">
        <v>21675</v>
      </c>
      <c r="B123" s="34">
        <v>9.4017094017093961E-2</v>
      </c>
    </row>
    <row r="124" spans="1:2">
      <c r="A124" s="31">
        <v>21676</v>
      </c>
      <c r="B124" s="34">
        <v>0.21985815602836883</v>
      </c>
    </row>
    <row r="125" spans="1:2">
      <c r="A125" s="31">
        <v>21677</v>
      </c>
      <c r="B125" s="34">
        <v>4.3859649122806953E-2</v>
      </c>
    </row>
    <row r="126" spans="1:2">
      <c r="A126" s="31">
        <v>21678</v>
      </c>
      <c r="B126" s="34">
        <v>0.20512820512820509</v>
      </c>
    </row>
    <row r="127" spans="1:2">
      <c r="A127" s="31">
        <v>21679</v>
      </c>
      <c r="B127" s="34">
        <v>0.52222222222222214</v>
      </c>
    </row>
    <row r="128" spans="1:2">
      <c r="A128" s="31">
        <v>21680</v>
      </c>
      <c r="B128" s="34">
        <v>0.17647058823529413</v>
      </c>
    </row>
    <row r="129" spans="1:2">
      <c r="A129" s="31">
        <v>21681</v>
      </c>
      <c r="B129" s="34">
        <v>3.3333333333333395E-2</v>
      </c>
    </row>
    <row r="130" spans="1:2">
      <c r="A130" s="31">
        <v>21682</v>
      </c>
      <c r="B130" s="34">
        <v>9.5238095238095923E-3</v>
      </c>
    </row>
    <row r="131" spans="1:2">
      <c r="A131" s="31">
        <v>21683</v>
      </c>
      <c r="B131" s="34">
        <v>0.13492063492063486</v>
      </c>
    </row>
    <row r="132" spans="1:2">
      <c r="A132" s="31">
        <v>21684</v>
      </c>
      <c r="B132" s="34">
        <v>4.878048780487805E-2</v>
      </c>
    </row>
    <row r="133" spans="1:2">
      <c r="A133" s="31">
        <v>21685</v>
      </c>
      <c r="B133" s="34">
        <v>6.3492063492063433E-2</v>
      </c>
    </row>
    <row r="134" spans="1:2">
      <c r="A134" s="31">
        <v>21686</v>
      </c>
      <c r="B134" s="34">
        <v>9.6491228070175378E-2</v>
      </c>
    </row>
    <row r="135" spans="1:2">
      <c r="A135" s="31">
        <v>21687</v>
      </c>
      <c r="B135" s="34">
        <v>0.68055555555555569</v>
      </c>
    </row>
    <row r="136" spans="1:2">
      <c r="A136" s="31">
        <v>21688</v>
      </c>
      <c r="B136" s="34">
        <v>1.9607843137254832E-2</v>
      </c>
    </row>
    <row r="137" spans="1:2">
      <c r="A137" s="31">
        <v>21689</v>
      </c>
      <c r="B137" s="34">
        <v>0.2558139534883721</v>
      </c>
    </row>
    <row r="138" spans="1:2">
      <c r="A138" s="31">
        <v>21690</v>
      </c>
      <c r="B138" s="34">
        <v>6.4814814814814881E-2</v>
      </c>
    </row>
    <row r="139" spans="1:2">
      <c r="A139" s="31">
        <v>21691</v>
      </c>
      <c r="B139" s="34">
        <v>0.31515151515151518</v>
      </c>
    </row>
    <row r="140" spans="1:2">
      <c r="A140" s="31">
        <v>21692</v>
      </c>
      <c r="B140" s="34">
        <v>8.9430894308943035E-2</v>
      </c>
    </row>
    <row r="141" spans="1:2">
      <c r="A141" s="31">
        <v>21693</v>
      </c>
      <c r="B141" s="34">
        <v>2.2222222222222223E-2</v>
      </c>
    </row>
    <row r="142" spans="1:2">
      <c r="A142" s="31">
        <v>21694</v>
      </c>
      <c r="B142" s="34">
        <v>0.14634146341463414</v>
      </c>
    </row>
    <row r="143" spans="1:2">
      <c r="A143" s="31">
        <v>21695</v>
      </c>
      <c r="B143" s="34">
        <v>0.1441441441441442</v>
      </c>
    </row>
    <row r="144" spans="1:2">
      <c r="A144" s="31">
        <v>21696</v>
      </c>
      <c r="B144" s="34">
        <v>4.6511627906976744E-2</v>
      </c>
    </row>
    <row r="145" spans="1:2">
      <c r="A145" s="31">
        <v>21697</v>
      </c>
      <c r="B145" s="34">
        <v>3.4188034188034247E-2</v>
      </c>
    </row>
    <row r="146" spans="1:2">
      <c r="A146" s="31">
        <v>21698</v>
      </c>
      <c r="B146" s="34">
        <v>0.20202020202020196</v>
      </c>
    </row>
    <row r="147" spans="1:2">
      <c r="A147" s="31">
        <v>21699</v>
      </c>
      <c r="B147" s="34">
        <v>0.10852713178294568</v>
      </c>
    </row>
    <row r="148" spans="1:2">
      <c r="A148" s="31">
        <v>21700</v>
      </c>
      <c r="B148" s="34">
        <v>4.1666666666666609E-2</v>
      </c>
    </row>
    <row r="149" spans="1:2">
      <c r="A149" s="31">
        <v>21701</v>
      </c>
      <c r="B149" s="34">
        <v>1.7543859649122744E-2</v>
      </c>
    </row>
    <row r="150" spans="1:2">
      <c r="A150" s="31">
        <v>21702</v>
      </c>
      <c r="B150" s="34">
        <v>0.10370370370370365</v>
      </c>
    </row>
    <row r="151" spans="1:2">
      <c r="A151" s="31">
        <v>21703</v>
      </c>
      <c r="B151" s="34">
        <v>0.10869565217391304</v>
      </c>
    </row>
    <row r="152" spans="1:2">
      <c r="A152" s="31">
        <v>21704</v>
      </c>
      <c r="B152" s="34">
        <v>0.26470588235294118</v>
      </c>
    </row>
    <row r="153" spans="1:2">
      <c r="A153" s="31">
        <v>21705</v>
      </c>
      <c r="B153" s="34">
        <v>0.19047619047619041</v>
      </c>
    </row>
    <row r="154" spans="1:2">
      <c r="A154" s="31">
        <v>21706</v>
      </c>
      <c r="B154" s="34">
        <v>0.20138888888888884</v>
      </c>
    </row>
    <row r="155" spans="1:2">
      <c r="A155" s="31">
        <v>21707</v>
      </c>
      <c r="B155" s="34">
        <v>0.23529411764705882</v>
      </c>
    </row>
    <row r="156" spans="1:2">
      <c r="A156" s="31">
        <v>21708</v>
      </c>
      <c r="B156" s="34">
        <v>0.24074074074074067</v>
      </c>
    </row>
    <row r="157" spans="1:2">
      <c r="A157" s="31">
        <v>21709</v>
      </c>
      <c r="B157" s="34">
        <v>0.36363636363636365</v>
      </c>
    </row>
    <row r="158" spans="1:2">
      <c r="A158" s="31">
        <v>21710</v>
      </c>
      <c r="B158" s="34">
        <v>0.13043478260869565</v>
      </c>
    </row>
    <row r="159" spans="1:2">
      <c r="A159" s="31">
        <v>21711</v>
      </c>
      <c r="B159" s="34">
        <v>8.7301587301587241E-2</v>
      </c>
    </row>
    <row r="160" spans="1:2">
      <c r="A160" s="31">
        <v>21712</v>
      </c>
      <c r="B160" s="34">
        <v>0.15972222222222218</v>
      </c>
    </row>
    <row r="161" spans="1:2">
      <c r="A161" s="31">
        <v>21713</v>
      </c>
      <c r="B161" s="34">
        <v>0.33333333333333343</v>
      </c>
    </row>
    <row r="162" spans="1:2">
      <c r="A162" s="31">
        <v>21714</v>
      </c>
      <c r="B162" s="34">
        <v>8.1300813008130662E-3</v>
      </c>
    </row>
    <row r="163" spans="1:2">
      <c r="A163" s="31">
        <v>21715</v>
      </c>
      <c r="B163" s="34">
        <v>0.17142857142857143</v>
      </c>
    </row>
    <row r="164" spans="1:2">
      <c r="A164" s="31">
        <v>21716</v>
      </c>
      <c r="B164" s="34">
        <v>8.3333333333333398E-2</v>
      </c>
    </row>
    <row r="165" spans="1:2">
      <c r="A165" s="31">
        <v>21717</v>
      </c>
      <c r="B165" s="34">
        <v>0.13725490196078424</v>
      </c>
    </row>
    <row r="166" spans="1:2">
      <c r="A166" s="31">
        <v>21718</v>
      </c>
      <c r="B166" s="34">
        <v>0.21111111111111119</v>
      </c>
    </row>
    <row r="167" spans="1:2">
      <c r="A167" s="31">
        <v>21719</v>
      </c>
      <c r="B167" s="34">
        <v>3.7037037037037104E-2</v>
      </c>
    </row>
    <row r="168" spans="1:2">
      <c r="A168" s="31">
        <v>21720</v>
      </c>
      <c r="B168" s="34">
        <v>0.1666666666666666</v>
      </c>
    </row>
    <row r="169" spans="1:2">
      <c r="A169" s="31">
        <v>21721</v>
      </c>
      <c r="B169" s="34">
        <v>9.4017094017093961E-2</v>
      </c>
    </row>
    <row r="170" spans="1:2">
      <c r="A170" s="31">
        <v>21722</v>
      </c>
      <c r="B170" s="34">
        <v>0.14814814814814808</v>
      </c>
    </row>
    <row r="171" spans="1:2">
      <c r="A171" s="31">
        <v>21723</v>
      </c>
      <c r="B171" s="34">
        <v>8.77192982456141E-2</v>
      </c>
    </row>
    <row r="172" spans="1:2">
      <c r="A172" s="31">
        <v>21724</v>
      </c>
      <c r="B172" s="34">
        <v>0.13475177304964545</v>
      </c>
    </row>
    <row r="173" spans="1:2">
      <c r="A173" s="31">
        <v>21725</v>
      </c>
      <c r="B173" s="34">
        <v>0.3131313131313132</v>
      </c>
    </row>
    <row r="174" spans="1:2">
      <c r="A174" s="31">
        <v>21726</v>
      </c>
      <c r="B174" s="34">
        <v>0.31111111111111117</v>
      </c>
    </row>
    <row r="175" spans="1:2">
      <c r="A175" s="31">
        <v>21727</v>
      </c>
      <c r="B175" s="34">
        <v>0.12698412698412703</v>
      </c>
    </row>
    <row r="176" spans="1:2">
      <c r="A176" s="31">
        <v>21728</v>
      </c>
      <c r="B176" s="34">
        <v>0.18604651162790697</v>
      </c>
    </row>
    <row r="177" spans="1:2">
      <c r="A177" s="31">
        <v>21729</v>
      </c>
      <c r="B177" s="34">
        <v>6.5040650406504003E-2</v>
      </c>
    </row>
    <row r="178" spans="1:2">
      <c r="A178" s="31">
        <v>21730</v>
      </c>
      <c r="B178" s="34">
        <v>2.4390243902439025E-2</v>
      </c>
    </row>
    <row r="179" spans="1:2">
      <c r="A179" s="31">
        <v>21731</v>
      </c>
      <c r="B179" s="34">
        <v>0.29378531073446329</v>
      </c>
    </row>
    <row r="180" spans="1:2">
      <c r="A180" s="31">
        <v>21732</v>
      </c>
      <c r="B180" s="34">
        <v>9.3023255813953487E-2</v>
      </c>
    </row>
    <row r="181" spans="1:2">
      <c r="A181" s="31">
        <v>21733</v>
      </c>
      <c r="B181" s="34">
        <v>5.9259259259259206E-2</v>
      </c>
    </row>
    <row r="182" spans="1:2">
      <c r="A182" s="31">
        <v>21734</v>
      </c>
      <c r="B182" s="34">
        <v>0.28947368421052633</v>
      </c>
    </row>
    <row r="183" spans="1:2">
      <c r="A183" s="31">
        <v>21735</v>
      </c>
      <c r="B183" s="34">
        <v>0.13513513513513514</v>
      </c>
    </row>
    <row r="184" spans="1:2">
      <c r="A184" s="31">
        <v>21736</v>
      </c>
      <c r="B184" s="34">
        <v>0.1111111111111111</v>
      </c>
    </row>
    <row r="185" spans="1:2">
      <c r="A185" s="31">
        <v>21737</v>
      </c>
      <c r="B185" s="34">
        <v>4.7619047619047616E-2</v>
      </c>
    </row>
    <row r="186" spans="1:2">
      <c r="A186" s="31">
        <v>21738</v>
      </c>
      <c r="B186" s="34">
        <v>0.27485380116959063</v>
      </c>
    </row>
    <row r="187" spans="1:2">
      <c r="A187" s="31">
        <v>21739</v>
      </c>
      <c r="B187" s="34">
        <v>4.3478260869565216E-2</v>
      </c>
    </row>
    <row r="188" spans="1:2">
      <c r="A188" s="31">
        <v>21740</v>
      </c>
      <c r="B188" s="34">
        <v>5.2287581699346358E-2</v>
      </c>
    </row>
    <row r="189" spans="1:2">
      <c r="A189" s="31">
        <v>21741</v>
      </c>
      <c r="B189" s="34">
        <v>0.25203252032520329</v>
      </c>
    </row>
    <row r="190" spans="1:2">
      <c r="A190" s="31">
        <v>21742</v>
      </c>
      <c r="B190" s="34">
        <v>2.1276595744680851E-2</v>
      </c>
    </row>
    <row r="191" spans="1:2">
      <c r="A191" s="31">
        <v>21743</v>
      </c>
      <c r="B191" s="34">
        <v>0.78205128205128216</v>
      </c>
    </row>
    <row r="192" spans="1:2">
      <c r="A192" s="31">
        <v>21744</v>
      </c>
      <c r="B192" s="34">
        <v>8.5714285714285715E-2</v>
      </c>
    </row>
    <row r="193" spans="1:2">
      <c r="A193" s="31">
        <v>21745</v>
      </c>
      <c r="B193" s="34">
        <v>0.18181818181818182</v>
      </c>
    </row>
    <row r="194" spans="1:2">
      <c r="A194" s="31">
        <v>21746</v>
      </c>
      <c r="B194" s="34">
        <v>0.14634146341463414</v>
      </c>
    </row>
    <row r="195" spans="1:2">
      <c r="A195" s="31">
        <v>21747</v>
      </c>
      <c r="B195" s="34">
        <v>4.7619047619047616E-2</v>
      </c>
    </row>
    <row r="196" spans="1:2">
      <c r="A196" s="31">
        <v>21748</v>
      </c>
      <c r="B196" s="34">
        <v>0.17592592592592599</v>
      </c>
    </row>
    <row r="197" spans="1:2">
      <c r="A197" s="31">
        <v>21749</v>
      </c>
      <c r="B197" s="34">
        <v>0.11851851851851856</v>
      </c>
    </row>
    <row r="198" spans="1:2">
      <c r="A198" s="31">
        <v>21750</v>
      </c>
      <c r="B198" s="34">
        <v>8.8888888888888892E-2</v>
      </c>
    </row>
    <row r="199" spans="1:2">
      <c r="A199" s="31">
        <v>21751</v>
      </c>
      <c r="B199" s="34">
        <v>6.6666666666666666E-2</v>
      </c>
    </row>
    <row r="200" spans="1:2">
      <c r="A200" s="31">
        <v>21752</v>
      </c>
      <c r="B200" s="34">
        <v>4.2553191489361701E-2</v>
      </c>
    </row>
    <row r="201" spans="1:2">
      <c r="A201" s="31">
        <v>21753</v>
      </c>
      <c r="B201" s="34">
        <v>0.20175438596491221</v>
      </c>
    </row>
    <row r="202" spans="1:2">
      <c r="A202" s="31">
        <v>21754</v>
      </c>
      <c r="B202" s="34">
        <v>3.17460317460318E-2</v>
      </c>
    </row>
    <row r="203" spans="1:2">
      <c r="A203" s="31">
        <v>21755</v>
      </c>
      <c r="B203" s="34">
        <v>0.20952380952380958</v>
      </c>
    </row>
    <row r="204" spans="1:2">
      <c r="A204" s="31">
        <v>21756</v>
      </c>
      <c r="B204" s="34">
        <v>6.4814814814814881E-2</v>
      </c>
    </row>
    <row r="205" spans="1:2">
      <c r="A205" s="31">
        <v>21757</v>
      </c>
      <c r="B205" s="34">
        <v>3.4188034188034247E-2</v>
      </c>
    </row>
    <row r="206" spans="1:2">
      <c r="A206" s="31">
        <v>21758</v>
      </c>
      <c r="B206" s="34">
        <v>0.18518518518518523</v>
      </c>
    </row>
    <row r="207" spans="1:2">
      <c r="A207" s="31">
        <v>21759</v>
      </c>
      <c r="B207" s="34">
        <v>6.9767441860465115E-2</v>
      </c>
    </row>
    <row r="208" spans="1:2">
      <c r="A208" s="31">
        <v>21760</v>
      </c>
      <c r="B208" s="34">
        <v>9.9290780141843921E-2</v>
      </c>
    </row>
    <row r="209" spans="1:2">
      <c r="A209" s="31">
        <v>21761</v>
      </c>
      <c r="B209" s="34">
        <v>0.25</v>
      </c>
    </row>
    <row r="210" spans="1:2">
      <c r="A210" s="31">
        <v>21762</v>
      </c>
      <c r="B210" s="34">
        <v>2.4390243902439025E-2</v>
      </c>
    </row>
    <row r="211" spans="1:2">
      <c r="A211" s="31">
        <v>21763</v>
      </c>
      <c r="B211" s="34">
        <v>0.17333333333333328</v>
      </c>
    </row>
    <row r="212" spans="1:2">
      <c r="A212" s="31">
        <v>21764</v>
      </c>
      <c r="B212" s="34">
        <v>8.5470085470085527E-2</v>
      </c>
    </row>
    <row r="213" spans="1:2">
      <c r="A213" s="31">
        <v>21765</v>
      </c>
      <c r="B213" s="34">
        <v>5.6910569105691117E-2</v>
      </c>
    </row>
    <row r="214" spans="1:2">
      <c r="A214" s="31">
        <v>21766</v>
      </c>
      <c r="B214" s="34">
        <v>5.7971014492753568E-2</v>
      </c>
    </row>
    <row r="215" spans="1:2">
      <c r="A215" s="31">
        <v>21767</v>
      </c>
      <c r="B215" s="34">
        <v>0.34375</v>
      </c>
    </row>
    <row r="216" spans="1:2">
      <c r="A216" s="31">
        <v>21768</v>
      </c>
      <c r="B216" s="34">
        <v>0.11851851851851856</v>
      </c>
    </row>
    <row r="217" spans="1:2">
      <c r="A217" s="31">
        <v>21769</v>
      </c>
      <c r="B217" s="34">
        <v>0.51960784313725483</v>
      </c>
    </row>
    <row r="218" spans="1:2">
      <c r="A218" s="31">
        <v>21770</v>
      </c>
      <c r="B218" s="34">
        <v>0.25438596491228066</v>
      </c>
    </row>
    <row r="219" spans="1:2">
      <c r="A219" s="31">
        <v>21771</v>
      </c>
      <c r="B219" s="34">
        <v>0.11363636363636363</v>
      </c>
    </row>
    <row r="220" spans="1:2">
      <c r="A220" s="31">
        <v>21772</v>
      </c>
      <c r="B220" s="34">
        <v>0.1944444444444445</v>
      </c>
    </row>
    <row r="221" spans="1:2">
      <c r="A221" s="31">
        <v>21773</v>
      </c>
      <c r="B221" s="34">
        <v>5.7971014492753568E-2</v>
      </c>
    </row>
    <row r="222" spans="1:2">
      <c r="A222" s="31">
        <v>21774</v>
      </c>
      <c r="B222" s="34">
        <v>4.5454545454545456E-2</v>
      </c>
    </row>
    <row r="223" spans="1:2">
      <c r="A223" s="31">
        <v>21775</v>
      </c>
      <c r="B223" s="34">
        <v>0.24324324324324326</v>
      </c>
    </row>
    <row r="224" spans="1:2">
      <c r="A224" s="31">
        <v>21776</v>
      </c>
      <c r="B224" s="34">
        <v>8.5470085470085527E-2</v>
      </c>
    </row>
    <row r="225" spans="1:2">
      <c r="A225" s="31">
        <v>21777</v>
      </c>
      <c r="B225" s="34">
        <v>9.0909090909090912E-2</v>
      </c>
    </row>
    <row r="226" spans="1:2">
      <c r="A226" s="31">
        <v>21778</v>
      </c>
      <c r="B226" s="34">
        <v>0.1111111111111111</v>
      </c>
    </row>
    <row r="227" spans="1:2">
      <c r="A227" s="31">
        <v>21779</v>
      </c>
      <c r="B227" s="34">
        <v>0.29292929292929287</v>
      </c>
    </row>
    <row r="228" spans="1:2">
      <c r="A228" s="31">
        <v>21780</v>
      </c>
      <c r="B228" s="34">
        <v>7.5757575757575815E-2</v>
      </c>
    </row>
    <row r="229" spans="1:2">
      <c r="A229" s="31">
        <v>21781</v>
      </c>
      <c r="B229" s="34">
        <v>7.0175438596491169E-2</v>
      </c>
    </row>
    <row r="230" spans="1:2">
      <c r="A230" s="31">
        <v>21782</v>
      </c>
      <c r="B230" s="34">
        <v>0.1666666666666666</v>
      </c>
    </row>
    <row r="231" spans="1:2">
      <c r="A231" s="31">
        <v>21783</v>
      </c>
      <c r="B231" s="34">
        <v>7.2463768115942087E-2</v>
      </c>
    </row>
    <row r="232" spans="1:2">
      <c r="A232" s="31">
        <v>21784</v>
      </c>
      <c r="B232" s="34">
        <v>8.3333333333333398E-2</v>
      </c>
    </row>
    <row r="233" spans="1:2">
      <c r="A233" s="31">
        <v>21785</v>
      </c>
      <c r="B233" s="34">
        <v>0.12820512820512819</v>
      </c>
    </row>
    <row r="234" spans="1:2">
      <c r="A234" s="31">
        <v>21786</v>
      </c>
      <c r="B234" s="34">
        <v>5.3030303030303087E-2</v>
      </c>
    </row>
    <row r="235" spans="1:2">
      <c r="A235" s="31">
        <v>21787</v>
      </c>
      <c r="B235" s="34">
        <v>0.14583333333333334</v>
      </c>
    </row>
    <row r="236" spans="1:2">
      <c r="A236" s="31">
        <v>21788</v>
      </c>
      <c r="B236" s="34">
        <v>0.12666666666666671</v>
      </c>
    </row>
    <row r="237" spans="1:2">
      <c r="A237" s="31">
        <v>21789</v>
      </c>
      <c r="B237" s="34">
        <v>0.15447154471544722</v>
      </c>
    </row>
    <row r="238" spans="1:2">
      <c r="A238" s="31">
        <v>21790</v>
      </c>
      <c r="B238" s="34">
        <v>0.10317460317460322</v>
      </c>
    </row>
    <row r="239" spans="1:2">
      <c r="A239" s="31">
        <v>21791</v>
      </c>
      <c r="B239" s="34">
        <v>0.13071895424836596</v>
      </c>
    </row>
    <row r="240" spans="1:2">
      <c r="A240" s="31">
        <v>21792</v>
      </c>
      <c r="B240" s="34">
        <v>8.9430894308943035E-2</v>
      </c>
    </row>
    <row r="241" spans="1:2">
      <c r="A241" s="31">
        <v>21793</v>
      </c>
      <c r="B241" s="34">
        <v>1.5151515151515098E-2</v>
      </c>
    </row>
    <row r="242" spans="1:2">
      <c r="A242" s="31">
        <v>21794</v>
      </c>
      <c r="B242" s="34">
        <v>0.19298245614035095</v>
      </c>
    </row>
    <row r="243" spans="1:2">
      <c r="A243" s="31">
        <v>21795</v>
      </c>
      <c r="B243" s="34">
        <v>0.39705882352941174</v>
      </c>
    </row>
    <row r="244" spans="1:2">
      <c r="A244" s="31">
        <v>21796</v>
      </c>
      <c r="B244" s="34">
        <v>0.25</v>
      </c>
    </row>
    <row r="245" spans="1:2">
      <c r="A245" s="31">
        <v>21797</v>
      </c>
      <c r="B245" s="34">
        <v>0.15873015873015867</v>
      </c>
    </row>
    <row r="246" spans="1:2">
      <c r="A246" s="31">
        <v>21798</v>
      </c>
      <c r="B246" s="34">
        <v>1.9607843137254902E-2</v>
      </c>
    </row>
    <row r="247" spans="1:2">
      <c r="A247" s="31">
        <v>21799</v>
      </c>
      <c r="B247" s="34">
        <v>7.5757575757576297E-3</v>
      </c>
    </row>
    <row r="248" spans="1:2">
      <c r="A248" s="31">
        <v>21800</v>
      </c>
      <c r="B248" s="34">
        <v>1.4814814814814762E-2</v>
      </c>
    </row>
    <row r="249" spans="1:2">
      <c r="A249" s="31">
        <v>21801</v>
      </c>
      <c r="B249" s="34">
        <v>0.29629629629629622</v>
      </c>
    </row>
    <row r="250" spans="1:2">
      <c r="A250" s="31">
        <v>21802</v>
      </c>
      <c r="B250" s="34">
        <v>0.26900584795321641</v>
      </c>
    </row>
    <row r="251" spans="1:2">
      <c r="A251" s="31">
        <v>21803</v>
      </c>
      <c r="B251" s="34">
        <v>4.5454545454545456E-2</v>
      </c>
    </row>
    <row r="252" spans="1:2">
      <c r="A252" s="31">
        <v>21804</v>
      </c>
      <c r="B252" s="34">
        <v>8.7301587301587241E-2</v>
      </c>
    </row>
    <row r="253" spans="1:2">
      <c r="A253" s="31">
        <v>21805</v>
      </c>
      <c r="B253" s="34">
        <v>0.10062893081761011</v>
      </c>
    </row>
    <row r="254" spans="1:2">
      <c r="A254" s="31">
        <v>21806</v>
      </c>
      <c r="B254" s="34">
        <v>0.10317460317460322</v>
      </c>
    </row>
    <row r="255" spans="1:2">
      <c r="A255" s="31">
        <v>21807</v>
      </c>
      <c r="B255" s="34">
        <v>0.34313725490196073</v>
      </c>
    </row>
    <row r="256" spans="1:2">
      <c r="A256" s="31">
        <v>21808</v>
      </c>
      <c r="B256" s="34">
        <v>7.4999999999999997E-2</v>
      </c>
    </row>
    <row r="257" spans="1:2">
      <c r="A257" s="31">
        <v>21809</v>
      </c>
      <c r="B257" s="34">
        <v>0.30952380952380959</v>
      </c>
    </row>
    <row r="258" spans="1:2">
      <c r="A258" s="31">
        <v>21810</v>
      </c>
      <c r="B258" s="34">
        <v>1.5151515151515098E-2</v>
      </c>
    </row>
    <row r="259" spans="1:2">
      <c r="A259" s="31">
        <v>21811</v>
      </c>
      <c r="B259" s="34">
        <v>0.11949685534591199</v>
      </c>
    </row>
    <row r="260" spans="1:2">
      <c r="A260" s="31">
        <v>21812</v>
      </c>
      <c r="B260" s="34">
        <v>7.2727272727272724E-2</v>
      </c>
    </row>
    <row r="261" spans="1:2">
      <c r="A261" s="31">
        <v>21813</v>
      </c>
      <c r="B261" s="34">
        <v>0.29914529914529908</v>
      </c>
    </row>
    <row r="262" spans="1:2">
      <c r="A262" s="31">
        <v>21814</v>
      </c>
      <c r="B262" s="34">
        <v>0.16949152542372881</v>
      </c>
    </row>
    <row r="263" spans="1:2">
      <c r="A263" s="31">
        <v>21815</v>
      </c>
      <c r="B263" s="34">
        <v>7.2727272727272724E-2</v>
      </c>
    </row>
    <row r="264" spans="1:2">
      <c r="A264" s="31">
        <v>21816</v>
      </c>
      <c r="B264" s="34">
        <v>0.30136986301369861</v>
      </c>
    </row>
    <row r="265" spans="1:2">
      <c r="A265" s="31">
        <v>21817</v>
      </c>
      <c r="B265" s="34">
        <v>0.13333333333333339</v>
      </c>
    </row>
    <row r="266" spans="1:2">
      <c r="A266" s="31">
        <v>21818</v>
      </c>
      <c r="B266" s="34">
        <v>0.38636363636363635</v>
      </c>
    </row>
    <row r="267" spans="1:2">
      <c r="A267" s="31">
        <v>21819</v>
      </c>
      <c r="B267" s="34">
        <v>0.33333333333333337</v>
      </c>
    </row>
    <row r="268" spans="1:2">
      <c r="A268" s="31">
        <v>21820</v>
      </c>
      <c r="B268" s="34">
        <v>0.1833333333333334</v>
      </c>
    </row>
    <row r="269" spans="1:2">
      <c r="A269" s="31">
        <v>21821</v>
      </c>
      <c r="B269" s="34">
        <v>9.9290780141843921E-2</v>
      </c>
    </row>
    <row r="270" spans="1:2">
      <c r="A270" s="31">
        <v>21822</v>
      </c>
      <c r="B270" s="34">
        <v>0.15032679738562088</v>
      </c>
    </row>
    <row r="271" spans="1:2">
      <c r="A271" s="31">
        <v>21823</v>
      </c>
      <c r="B271" s="34">
        <v>0.17857142857142858</v>
      </c>
    </row>
    <row r="272" spans="1:2">
      <c r="A272" s="31">
        <v>21824</v>
      </c>
      <c r="B272" s="34">
        <v>4.7619047619047665E-2</v>
      </c>
    </row>
    <row r="273" spans="1:2">
      <c r="A273" s="31">
        <v>21825</v>
      </c>
      <c r="B273" s="34">
        <v>3.7037037037037035E-2</v>
      </c>
    </row>
    <row r="274" spans="1:2">
      <c r="A274" s="31">
        <v>21826</v>
      </c>
      <c r="B274" s="34">
        <v>5.3571428571428568E-2</v>
      </c>
    </row>
    <row r="275" spans="1:2">
      <c r="A275" s="31">
        <v>21827</v>
      </c>
      <c r="B275" s="34">
        <v>0.1276595744680851</v>
      </c>
    </row>
    <row r="276" spans="1:2">
      <c r="A276" s="31">
        <v>21828</v>
      </c>
      <c r="B276" s="34">
        <v>0.18939393939393945</v>
      </c>
    </row>
    <row r="277" spans="1:2">
      <c r="A277" s="31">
        <v>21829</v>
      </c>
      <c r="B277" s="34">
        <v>0.13953488372093023</v>
      </c>
    </row>
    <row r="278" spans="1:2">
      <c r="A278" s="31">
        <v>21830</v>
      </c>
      <c r="B278" s="34">
        <v>6.3492063492063433E-2</v>
      </c>
    </row>
    <row r="279" spans="1:2">
      <c r="A279" s="31">
        <v>21831</v>
      </c>
      <c r="B279" s="34">
        <v>4.4444444444444446E-2</v>
      </c>
    </row>
    <row r="280" spans="1:2">
      <c r="A280" s="31">
        <v>21832</v>
      </c>
      <c r="B280" s="34">
        <v>0.13333333333333328</v>
      </c>
    </row>
    <row r="281" spans="1:2">
      <c r="A281" s="31">
        <v>21833</v>
      </c>
      <c r="B281" s="34">
        <v>4.861111111111116E-2</v>
      </c>
    </row>
    <row r="282" spans="1:2">
      <c r="A282" s="31">
        <v>21834</v>
      </c>
      <c r="B282" s="34">
        <v>0.10852713178294568</v>
      </c>
    </row>
    <row r="283" spans="1:2">
      <c r="A283" s="31">
        <v>21835</v>
      </c>
      <c r="B283" s="34">
        <v>0.17499999999999999</v>
      </c>
    </row>
    <row r="284" spans="1:2">
      <c r="A284" s="31">
        <v>21836</v>
      </c>
      <c r="B284" s="34">
        <v>0.25988700564971756</v>
      </c>
    </row>
    <row r="285" spans="1:2">
      <c r="A285" s="31">
        <v>21837</v>
      </c>
      <c r="B285" s="34">
        <v>0.15447154471544722</v>
      </c>
    </row>
    <row r="286" spans="1:2">
      <c r="A286" s="31">
        <v>21838</v>
      </c>
      <c r="B286" s="34">
        <v>0.11111111111111105</v>
      </c>
    </row>
    <row r="287" spans="1:2">
      <c r="A287" s="31">
        <v>21839</v>
      </c>
      <c r="B287" s="34">
        <v>7.189542483660126E-2</v>
      </c>
    </row>
    <row r="288" spans="1:2">
      <c r="A288" s="31">
        <v>21840</v>
      </c>
      <c r="B288" s="34">
        <v>8.8435374149659907E-2</v>
      </c>
    </row>
    <row r="289" spans="1:2">
      <c r="A289" s="31">
        <v>21841</v>
      </c>
      <c r="B289" s="34">
        <v>5.1851851851851906E-2</v>
      </c>
    </row>
    <row r="290" spans="1:2">
      <c r="A290" s="31">
        <v>21842</v>
      </c>
      <c r="B290" s="34">
        <v>0.12403100775193804</v>
      </c>
    </row>
    <row r="291" spans="1:2">
      <c r="A291" s="31">
        <v>21843</v>
      </c>
      <c r="B291" s="34">
        <v>8.7301587301587241E-2</v>
      </c>
    </row>
    <row r="292" spans="1:2">
      <c r="A292" s="31">
        <v>21844</v>
      </c>
      <c r="B292" s="34">
        <v>0.14035087719298253</v>
      </c>
    </row>
    <row r="293" spans="1:2">
      <c r="A293" s="31">
        <v>21845</v>
      </c>
      <c r="B293" s="34">
        <v>0.1276595744680851</v>
      </c>
    </row>
    <row r="294" spans="1:2">
      <c r="A294" s="31">
        <v>21846</v>
      </c>
      <c r="B294" s="34">
        <v>0.11403508771929831</v>
      </c>
    </row>
    <row r="295" spans="1:2">
      <c r="A295" s="31">
        <v>21847</v>
      </c>
      <c r="B295" s="34">
        <v>0.1388888888888889</v>
      </c>
    </row>
    <row r="296" spans="1:2">
      <c r="A296" s="31">
        <v>21848</v>
      </c>
      <c r="B296" s="34">
        <v>3.9682539682539625E-2</v>
      </c>
    </row>
    <row r="297" spans="1:2">
      <c r="A297" s="31">
        <v>21849</v>
      </c>
      <c r="B297" s="34">
        <v>0.1047619047619047</v>
      </c>
    </row>
    <row r="298" spans="1:2">
      <c r="A298" s="31">
        <v>21850</v>
      </c>
      <c r="B298" s="34">
        <v>0.34523809523809518</v>
      </c>
    </row>
    <row r="299" spans="1:2">
      <c r="A299" s="31">
        <v>21851</v>
      </c>
      <c r="B299" s="34">
        <v>0.20454545454545456</v>
      </c>
    </row>
    <row r="300" spans="1:2">
      <c r="A300" s="31">
        <v>21852</v>
      </c>
      <c r="B300" s="34">
        <v>9.2592592592593247E-3</v>
      </c>
    </row>
    <row r="301" spans="1:2">
      <c r="A301" s="31">
        <v>21853</v>
      </c>
      <c r="B301" s="34">
        <v>0.2</v>
      </c>
    </row>
    <row r="302" spans="1:2">
      <c r="A302" s="31">
        <v>21854</v>
      </c>
      <c r="B302" s="34">
        <v>9.4202898550724695E-2</v>
      </c>
    </row>
    <row r="303" spans="1:2">
      <c r="A303" s="31">
        <v>21855</v>
      </c>
      <c r="B303" s="34">
        <v>0.11805555555555551</v>
      </c>
    </row>
    <row r="304" spans="1:2">
      <c r="A304" s="31">
        <v>21856</v>
      </c>
      <c r="B304" s="34">
        <v>5.4421768707482943E-2</v>
      </c>
    </row>
    <row r="305" spans="1:2">
      <c r="A305" s="31">
        <v>21857</v>
      </c>
      <c r="B305" s="34">
        <v>0.10852713178294568</v>
      </c>
    </row>
    <row r="306" spans="1:2">
      <c r="A306" s="31">
        <v>21858</v>
      </c>
      <c r="B306" s="34">
        <v>0.11111111111111105</v>
      </c>
    </row>
    <row r="307" spans="1:2">
      <c r="A307" s="31">
        <v>21859</v>
      </c>
      <c r="B307" s="34">
        <v>0.24293785310734467</v>
      </c>
    </row>
    <row r="308" spans="1:2">
      <c r="A308" s="31">
        <v>21860</v>
      </c>
      <c r="B308" s="34">
        <v>6.6666666666666666E-2</v>
      </c>
    </row>
    <row r="309" spans="1:2">
      <c r="A309" s="31">
        <v>21861</v>
      </c>
      <c r="B309" s="34">
        <v>6.4102564102564152E-2</v>
      </c>
    </row>
    <row r="310" spans="1:2">
      <c r="A310" s="31">
        <v>21862</v>
      </c>
      <c r="B310" s="34">
        <v>0.13043478260869565</v>
      </c>
    </row>
    <row r="311" spans="1:2">
      <c r="A311" s="31">
        <v>21863</v>
      </c>
      <c r="B311" s="34">
        <v>0.13492063492063486</v>
      </c>
    </row>
    <row r="312" spans="1:2">
      <c r="A312" s="31">
        <v>21864</v>
      </c>
      <c r="B312" s="34">
        <v>0.1666666666666666</v>
      </c>
    </row>
    <row r="313" spans="1:2">
      <c r="A313" s="31">
        <v>21865</v>
      </c>
      <c r="B313" s="34">
        <v>6.666666666666661E-2</v>
      </c>
    </row>
    <row r="314" spans="1:2">
      <c r="A314" s="31">
        <v>21866</v>
      </c>
      <c r="B314" s="34">
        <v>9.6296296296296352E-2</v>
      </c>
    </row>
    <row r="315" spans="1:2">
      <c r="A315" s="31">
        <v>21867</v>
      </c>
      <c r="B315" s="34">
        <v>0.19047619047619041</v>
      </c>
    </row>
    <row r="316" spans="1:2">
      <c r="A316" s="31">
        <v>21868</v>
      </c>
      <c r="B316" s="34">
        <v>0.14285714285714285</v>
      </c>
    </row>
    <row r="317" spans="1:2">
      <c r="A317" s="31">
        <v>21869</v>
      </c>
      <c r="B317" s="34">
        <v>4.1666666666666609E-2</v>
      </c>
    </row>
    <row r="318" spans="1:2">
      <c r="A318" s="31">
        <v>21870</v>
      </c>
      <c r="B318" s="34">
        <v>5.9829059829059887E-2</v>
      </c>
    </row>
    <row r="319" spans="1:2">
      <c r="A319" s="31">
        <v>21871</v>
      </c>
      <c r="B319" s="34">
        <v>0.15151515151515152</v>
      </c>
    </row>
    <row r="320" spans="1:2">
      <c r="A320" s="31">
        <v>21872</v>
      </c>
      <c r="B320" s="34">
        <v>0.11111111111111105</v>
      </c>
    </row>
    <row r="321" spans="1:2">
      <c r="A321" s="31">
        <v>21873</v>
      </c>
      <c r="B321" s="34">
        <v>0.19148936170212766</v>
      </c>
    </row>
    <row r="322" spans="1:2">
      <c r="A322" s="31">
        <v>21874</v>
      </c>
      <c r="B322" s="34">
        <v>0.20261437908496738</v>
      </c>
    </row>
    <row r="323" spans="1:2">
      <c r="A323" s="31">
        <v>21875</v>
      </c>
      <c r="B323" s="34">
        <v>6.0606060606060552E-2</v>
      </c>
    </row>
    <row r="324" spans="1:2">
      <c r="A324" s="31">
        <v>21876</v>
      </c>
      <c r="B324" s="34">
        <v>0.1833333333333334</v>
      </c>
    </row>
    <row r="325" spans="1:2">
      <c r="A325" s="31">
        <v>21877</v>
      </c>
      <c r="B325" s="34">
        <v>0.21052631578947367</v>
      </c>
    </row>
    <row r="326" spans="1:2">
      <c r="A326" s="31">
        <v>21878</v>
      </c>
      <c r="B326" s="34">
        <v>4.0816326530612242E-2</v>
      </c>
    </row>
    <row r="327" spans="1:2">
      <c r="A327" s="31">
        <v>21879</v>
      </c>
      <c r="B327" s="34">
        <v>8.1481481481481433E-2</v>
      </c>
    </row>
    <row r="328" spans="1:2">
      <c r="A328" s="31">
        <v>21880</v>
      </c>
      <c r="B328" s="34">
        <v>2.7210884353741544E-2</v>
      </c>
    </row>
    <row r="329" spans="1:2">
      <c r="A329" s="31">
        <v>21881</v>
      </c>
      <c r="B329" s="34">
        <v>6.5359477124183052E-2</v>
      </c>
    </row>
    <row r="330" spans="1:2">
      <c r="A330" s="31">
        <v>21882</v>
      </c>
      <c r="B330" s="34">
        <v>5.0724637681159472E-2</v>
      </c>
    </row>
    <row r="331" spans="1:2">
      <c r="A331" s="31">
        <v>21883</v>
      </c>
      <c r="B331" s="34">
        <v>0.10606060606060601</v>
      </c>
    </row>
    <row r="332" spans="1:2">
      <c r="A332" s="31">
        <v>21884</v>
      </c>
      <c r="B332" s="34">
        <v>9.6153846153846159E-2</v>
      </c>
    </row>
    <row r="333" spans="1:2">
      <c r="A333" s="31">
        <v>21885</v>
      </c>
      <c r="B333" s="34">
        <v>5.1851851851851906E-2</v>
      </c>
    </row>
    <row r="334" spans="1:2">
      <c r="A334" s="31">
        <v>21886</v>
      </c>
      <c r="B334" s="34">
        <v>0.46875</v>
      </c>
    </row>
    <row r="335" spans="1:2">
      <c r="A335" s="31">
        <v>21887</v>
      </c>
      <c r="B335" s="34">
        <v>6.5217391304347824E-2</v>
      </c>
    </row>
    <row r="336" spans="1:2">
      <c r="A336" s="31">
        <v>21888</v>
      </c>
      <c r="B336" s="34">
        <v>0</v>
      </c>
    </row>
    <row r="337" spans="1:2">
      <c r="A337" s="31">
        <v>21889</v>
      </c>
      <c r="B337" s="34">
        <v>0.1666666666666666</v>
      </c>
    </row>
    <row r="338" spans="1:2">
      <c r="A338" s="31">
        <v>21890</v>
      </c>
      <c r="B338" s="34">
        <v>0.22222222222222229</v>
      </c>
    </row>
    <row r="339" spans="1:2">
      <c r="A339" s="31">
        <v>21891</v>
      </c>
      <c r="B339" s="34">
        <v>0</v>
      </c>
    </row>
    <row r="340" spans="1:2">
      <c r="A340" s="31">
        <v>21892</v>
      </c>
      <c r="B340" s="34">
        <v>0.29931972789115641</v>
      </c>
    </row>
    <row r="341" spans="1:2">
      <c r="A341" s="31">
        <v>21893</v>
      </c>
      <c r="B341" s="34">
        <v>8.5271317829457308E-2</v>
      </c>
    </row>
    <row r="342" spans="1:2">
      <c r="A342" s="31">
        <v>21894</v>
      </c>
      <c r="B342" s="34">
        <v>7.7519379844961794E-3</v>
      </c>
    </row>
    <row r="343" spans="1:2">
      <c r="A343" s="31">
        <v>21895</v>
      </c>
      <c r="B343" s="34">
        <v>0.3235294117647059</v>
      </c>
    </row>
    <row r="344" spans="1:2">
      <c r="A344" s="31">
        <v>21896</v>
      </c>
      <c r="B344" s="34">
        <v>2.564102564102564E-2</v>
      </c>
    </row>
    <row r="345" spans="1:2">
      <c r="A345" s="31">
        <v>21897</v>
      </c>
      <c r="B345" s="34">
        <v>0.1047619047619047</v>
      </c>
    </row>
    <row r="346" spans="1:2">
      <c r="A346" s="31">
        <v>21898</v>
      </c>
      <c r="B346" s="34">
        <v>0.30769230769230771</v>
      </c>
    </row>
    <row r="347" spans="1:2">
      <c r="A347" s="31">
        <v>21899</v>
      </c>
      <c r="B347" s="34">
        <v>0.10638297872340426</v>
      </c>
    </row>
    <row r="348" spans="1:2">
      <c r="A348" s="31">
        <v>21900</v>
      </c>
      <c r="B348" s="34">
        <v>0.14102564102564108</v>
      </c>
    </row>
    <row r="349" spans="1:2">
      <c r="A349" s="31">
        <v>21901</v>
      </c>
      <c r="B349" s="34">
        <v>0.29059829059829068</v>
      </c>
    </row>
    <row r="350" spans="1:2">
      <c r="A350" s="31">
        <v>21902</v>
      </c>
      <c r="B350" s="34">
        <v>0.15</v>
      </c>
    </row>
    <row r="351" spans="1:2">
      <c r="A351" s="31">
        <v>21903</v>
      </c>
      <c r="B351" s="34">
        <v>3.9682539682539625E-2</v>
      </c>
    </row>
    <row r="352" spans="1:2">
      <c r="A352" s="31">
        <v>21904</v>
      </c>
      <c r="B352" s="34">
        <v>3.9682539682539625E-2</v>
      </c>
    </row>
    <row r="353" spans="1:5">
      <c r="A353" s="31">
        <v>21905</v>
      </c>
      <c r="B353" s="34">
        <v>0.22012578616352196</v>
      </c>
    </row>
    <row r="354" spans="1:5">
      <c r="A354" s="31">
        <v>21906</v>
      </c>
      <c r="B354" s="34">
        <v>0.17094017094017089</v>
      </c>
    </row>
    <row r="355" spans="1:5">
      <c r="A355" s="31">
        <v>21907</v>
      </c>
      <c r="B355" s="34">
        <v>0.11666666666666661</v>
      </c>
    </row>
    <row r="356" spans="1:5">
      <c r="A356" s="31">
        <v>21908</v>
      </c>
      <c r="B356" s="34">
        <v>0.15789473684210525</v>
      </c>
    </row>
    <row r="357" spans="1:5">
      <c r="A357" s="31">
        <v>21909</v>
      </c>
      <c r="B357" s="34">
        <v>0.11363636363636363</v>
      </c>
    </row>
    <row r="358" spans="1:5">
      <c r="A358" s="31">
        <v>21910</v>
      </c>
      <c r="B358" s="34">
        <v>0.19607843137254896</v>
      </c>
    </row>
    <row r="359" spans="1:5">
      <c r="A359" s="31">
        <v>21911</v>
      </c>
      <c r="B359" s="34">
        <v>4.504504504504498E-2</v>
      </c>
    </row>
    <row r="360" spans="1:5">
      <c r="A360" s="31">
        <v>21912</v>
      </c>
      <c r="B360" s="34">
        <v>0.26282051282051277</v>
      </c>
    </row>
    <row r="361" spans="1:5">
      <c r="A361" s="31">
        <v>21913</v>
      </c>
      <c r="B361" s="34">
        <v>0.14583333333333334</v>
      </c>
    </row>
    <row r="362" spans="1:5">
      <c r="A362" s="31">
        <v>21914</v>
      </c>
      <c r="B362" s="34">
        <v>0.16969696969696973</v>
      </c>
    </row>
    <row r="363" spans="1:5">
      <c r="A363" s="31">
        <v>21915</v>
      </c>
      <c r="B363" s="34">
        <v>3.3333333333333284E-2</v>
      </c>
      <c r="C363" s="34">
        <v>3.3333333333333284E-2</v>
      </c>
      <c r="D363" s="34">
        <v>3.3333333333333284E-2</v>
      </c>
      <c r="E363" s="34">
        <v>3.3333333333333284E-2</v>
      </c>
    </row>
    <row r="364" spans="1:5">
      <c r="A364" s="31">
        <v>21916</v>
      </c>
      <c r="C364" s="34">
        <f>_xlfn.FORECAST.ETS(A364,$B$2:$B$363,$A$2:$A$363,1,1)</f>
        <v>0.15831940941919301</v>
      </c>
      <c r="D364" s="34">
        <f>C364-_xlfn.FORECAST.ETS.CONFINT(A364,$B$2:$B$363,$A$2:$A$363,0.95,1,1)</f>
        <v>-0.10814756539922757</v>
      </c>
      <c r="E364" s="34">
        <f>C364+_xlfn.FORECAST.ETS.CONFINT(A364,$B$2:$B$363,$A$2:$A$363,0.95,1,1)</f>
        <v>0.42478638423761361</v>
      </c>
    </row>
    <row r="365" spans="1:5">
      <c r="A365" s="31">
        <v>21917</v>
      </c>
      <c r="C365" s="34">
        <f>_xlfn.FORECAST.ETS(A365,$B$2:$B$363,$A$2:$A$363,1,1)</f>
        <v>0.14135859875346068</v>
      </c>
      <c r="D365" s="34">
        <f>C365-_xlfn.FORECAST.ETS.CONFINT(A365,$B$2:$B$363,$A$2:$A$363,0.95,1,1)</f>
        <v>-0.13343901382341272</v>
      </c>
      <c r="E365" s="34">
        <f>C365+_xlfn.FORECAST.ETS.CONFINT(A365,$B$2:$B$363,$A$2:$A$363,0.95,1,1)</f>
        <v>0.41615621133033409</v>
      </c>
    </row>
    <row r="366" spans="1:5">
      <c r="A366" s="31">
        <v>21918</v>
      </c>
      <c r="C366" s="34">
        <f>_xlfn.FORECAST.ETS(A366,$B$2:$B$363,$A$2:$A$363,1,1)</f>
        <v>0.11221923896464039</v>
      </c>
      <c r="D366" s="34">
        <f>C366-_xlfn.FORECAST.ETS.CONFINT(A366,$B$2:$B$363,$A$2:$A$363,0.95,1,1)</f>
        <v>-0.17072715955387016</v>
      </c>
      <c r="E366" s="34">
        <f>C366+_xlfn.FORECAST.ETS.CONFINT(A366,$B$2:$B$363,$A$2:$A$363,0.95,1,1)</f>
        <v>0.39516563748315092</v>
      </c>
    </row>
    <row r="367" spans="1:5">
      <c r="A367" s="31">
        <v>21919</v>
      </c>
      <c r="C367" s="34">
        <f>_xlfn.FORECAST.ETS(A367,$B$2:$B$363,$A$2:$A$363,1,1)</f>
        <v>0.20458990696135493</v>
      </c>
      <c r="D367" s="34">
        <f>C367-_xlfn.FORECAST.ETS.CONFINT(A367,$B$2:$B$363,$A$2:$A$363,0.95,1,1)</f>
        <v>-8.6338950919944479E-2</v>
      </c>
      <c r="E367" s="34">
        <f>C367+_xlfn.FORECAST.ETS.CONFINT(A367,$B$2:$B$363,$A$2:$A$363,0.95,1,1)</f>
        <v>0.49551876484265434</v>
      </c>
    </row>
    <row r="368" spans="1:5">
      <c r="A368" s="31">
        <v>21920</v>
      </c>
      <c r="C368" s="34">
        <f>_xlfn.FORECAST.ETS(A368,$B$2:$B$363,$A$2:$A$363,1,1)</f>
        <v>8.3655055273033685E-2</v>
      </c>
      <c r="D368" s="34">
        <f>C368-_xlfn.FORECAST.ETS.CONFINT(A368,$B$2:$B$363,$A$2:$A$363,0.95,1,1)</f>
        <v>-0.21510350548767709</v>
      </c>
      <c r="E368" s="34">
        <f>C368+_xlfn.FORECAST.ETS.CONFINT(A368,$B$2:$B$363,$A$2:$A$363,0.95,1,1)</f>
        <v>0.38241361603374446</v>
      </c>
    </row>
    <row r="369" spans="1:5">
      <c r="A369" s="31">
        <v>21921</v>
      </c>
      <c r="C369" s="34">
        <f>_xlfn.FORECAST.ETS(A369,$B$2:$B$363,$A$2:$A$363,1,1)</f>
        <v>0.12608007397611595</v>
      </c>
      <c r="D369" s="34">
        <f>C369-_xlfn.FORECAST.ETS.CONFINT(A369,$B$2:$B$363,$A$2:$A$363,0.95,1,1)</f>
        <v>-0.1803673738562572</v>
      </c>
      <c r="E369" s="34">
        <f>C369+_xlfn.FORECAST.ETS.CONFINT(A369,$B$2:$B$363,$A$2:$A$363,0.95,1,1)</f>
        <v>0.43252752180848908</v>
      </c>
    </row>
    <row r="370" spans="1:5">
      <c r="A370" s="31">
        <v>21922</v>
      </c>
      <c r="C370" s="34">
        <f>_xlfn.FORECAST.ETS(A370,$B$2:$B$363,$A$2:$A$363,1,1)</f>
        <v>0.19671855291000404</v>
      </c>
      <c r="D370" s="34">
        <f>C370-_xlfn.FORECAST.ETS.CONFINT(A370,$B$2:$B$363,$A$2:$A$363,0.95,1,1)</f>
        <v>-0.11728753671710171</v>
      </c>
      <c r="E370" s="34">
        <f>C370+_xlfn.FORECAST.ETS.CONFINT(A370,$B$2:$B$363,$A$2:$A$363,0.95,1,1)</f>
        <v>0.51072464253710981</v>
      </c>
    </row>
    <row r="371" spans="1:5">
      <c r="A371" s="31">
        <v>21923</v>
      </c>
      <c r="C371" s="34">
        <f>_xlfn.FORECAST.ETS(A371,$B$2:$B$363,$A$2:$A$363,1,1)</f>
        <v>0.12586453891854293</v>
      </c>
      <c r="D371" s="34">
        <f>C371-_xlfn.FORECAST.ETS.CONFINT(A371,$B$2:$B$363,$A$2:$A$363,0.95,1,1)</f>
        <v>-0.19557935627453943</v>
      </c>
      <c r="E371" s="34">
        <f>C371+_xlfn.FORECAST.ETS.CONFINT(A371,$B$2:$B$363,$A$2:$A$363,0.95,1,1)</f>
        <v>0.4473084341116253</v>
      </c>
    </row>
    <row r="372" spans="1:5">
      <c r="A372" s="31">
        <v>21924</v>
      </c>
      <c r="C372" s="34">
        <f>_xlfn.FORECAST.ETS(A372,$B$2:$B$363,$A$2:$A$363,1,1)</f>
        <v>7.945525580576468E-2</v>
      </c>
      <c r="D372" s="34">
        <f>C372-_xlfn.FORECAST.ETS.CONFINT(A372,$B$2:$B$363,$A$2:$A$363,0.95,1,1)</f>
        <v>-0.2493140259014206</v>
      </c>
      <c r="E372" s="34">
        <f>C372+_xlfn.FORECAST.ETS.CONFINT(A372,$B$2:$B$363,$A$2:$A$363,0.95,1,1)</f>
        <v>0.40822453751294996</v>
      </c>
    </row>
    <row r="373" spans="1:5">
      <c r="A373" s="31">
        <v>21925</v>
      </c>
      <c r="C373" s="34">
        <f>_xlfn.FORECAST.ETS(A373,$B$2:$B$363,$A$2:$A$363,1,1)</f>
        <v>0.16033024747726743</v>
      </c>
      <c r="D373" s="34">
        <f>C373-_xlfn.FORECAST.ETS.CONFINT(A373,$B$2:$B$363,$A$2:$A$363,0.95,1,1)</f>
        <v>-0.19541903180947184</v>
      </c>
      <c r="E373" s="34">
        <f>C373+_xlfn.FORECAST.ETS.CONFINT(A373,$B$2:$B$363,$A$2:$A$363,0.95,1,1)</f>
        <v>0.5160795267640067</v>
      </c>
    </row>
    <row r="374" spans="1:5">
      <c r="A374" s="31">
        <v>21926</v>
      </c>
      <c r="C374" s="34">
        <f>_xlfn.FORECAST.ETS(A374,$B$2:$B$363,$A$2:$A$363,1,1)</f>
        <v>0.14336943681153511</v>
      </c>
      <c r="D374" s="34">
        <f>C374-_xlfn.FORECAST.ETS.CONFINT(A374,$B$2:$B$363,$A$2:$A$363,0.95,1,1)</f>
        <v>-0.21911429714766931</v>
      </c>
      <c r="E374" s="34">
        <f>C374+_xlfn.FORECAST.ETS.CONFINT(A374,$B$2:$B$363,$A$2:$A$363,0.95,1,1)</f>
        <v>0.50585317077073955</v>
      </c>
    </row>
    <row r="375" spans="1:5">
      <c r="A375" s="31">
        <v>21927</v>
      </c>
      <c r="C375" s="34">
        <f>_xlfn.FORECAST.ETS(A375,$B$2:$B$363,$A$2:$A$363,1,1)</f>
        <v>0.11423007702271479</v>
      </c>
      <c r="D375" s="34">
        <f>C375-_xlfn.FORECAST.ETS.CONFINT(A375,$B$2:$B$363,$A$2:$A$363,0.95,1,1)</f>
        <v>-0.25491555885590955</v>
      </c>
      <c r="E375" s="34">
        <f>C375+_xlfn.FORECAST.ETS.CONFINT(A375,$B$2:$B$363,$A$2:$A$363,0.95,1,1)</f>
        <v>0.48337571290133918</v>
      </c>
    </row>
    <row r="376" spans="1:5">
      <c r="A376" s="31">
        <v>21928</v>
      </c>
      <c r="C376" s="34">
        <f>_xlfn.FORECAST.ETS(A376,$B$2:$B$363,$A$2:$A$363,1,1)</f>
        <v>0.20660074501942935</v>
      </c>
      <c r="D376" s="34">
        <f>C376-_xlfn.FORECAST.ETS.CONFINT(A376,$B$2:$B$363,$A$2:$A$363,0.95,1,1)</f>
        <v>-0.16913828812992512</v>
      </c>
      <c r="E376" s="34">
        <f>C376+_xlfn.FORECAST.ETS.CONFINT(A376,$B$2:$B$363,$A$2:$A$363,0.95,1,1)</f>
        <v>0.58233977816878379</v>
      </c>
    </row>
    <row r="377" spans="1:5">
      <c r="A377" s="31">
        <v>21929</v>
      </c>
      <c r="C377" s="34">
        <f>_xlfn.FORECAST.ETS(A377,$B$2:$B$363,$A$2:$A$363,1,1)</f>
        <v>8.5665893331108106E-2</v>
      </c>
      <c r="D377" s="34">
        <f>C377-_xlfn.FORECAST.ETS.CONFINT(A377,$B$2:$B$363,$A$2:$A$363,0.95,1,1)</f>
        <v>-0.29660176293297869</v>
      </c>
      <c r="E377" s="34">
        <f>C377+_xlfn.FORECAST.ETS.CONFINT(A377,$B$2:$B$363,$A$2:$A$363,0.95,1,1)</f>
        <v>0.46793354959519495</v>
      </c>
    </row>
    <row r="378" spans="1:5">
      <c r="A378" s="31">
        <v>21930</v>
      </c>
      <c r="C378" s="34">
        <f>_xlfn.FORECAST.ETS(A378,$B$2:$B$363,$A$2:$A$363,1,1)</f>
        <v>0.12809091203419037</v>
      </c>
      <c r="D378" s="34">
        <f>C378-_xlfn.FORECAST.ETS.CONFINT(A378,$B$2:$B$363,$A$2:$A$363,0.95,1,1)</f>
        <v>-0.26064403941526471</v>
      </c>
      <c r="E378" s="34">
        <f>C378+_xlfn.FORECAST.ETS.CONFINT(A378,$B$2:$B$363,$A$2:$A$363,0.95,1,1)</f>
        <v>0.51682586348364545</v>
      </c>
    </row>
    <row r="379" spans="1:5">
      <c r="A379" s="31">
        <v>21931</v>
      </c>
      <c r="C379" s="34">
        <f>_xlfn.FORECAST.ETS(A379,$B$2:$B$363,$A$2:$A$363,1,1)</f>
        <v>0.19872939096807846</v>
      </c>
      <c r="D379" s="34">
        <f>C379-_xlfn.FORECAST.ETS.CONFINT(A379,$B$2:$B$363,$A$2:$A$363,0.95,1,1)</f>
        <v>-0.19641471869272054</v>
      </c>
      <c r="E379" s="34">
        <f>C379+_xlfn.FORECAST.ETS.CONFINT(A379,$B$2:$B$363,$A$2:$A$363,0.95,1,1)</f>
        <v>0.59387350062887745</v>
      </c>
    </row>
    <row r="380" spans="1:5">
      <c r="A380" s="31">
        <v>21932</v>
      </c>
      <c r="C380" s="34">
        <f>_xlfn.FORECAST.ETS(A380,$B$2:$B$363,$A$2:$A$363,1,1)</f>
        <v>0.12787537697661736</v>
      </c>
      <c r="D380" s="34">
        <f>C380-_xlfn.FORECAST.ETS.CONFINT(A380,$B$2:$B$363,$A$2:$A$363,0.95,1,1)</f>
        <v>-0.27362271492243684</v>
      </c>
      <c r="E380" s="34">
        <f>C380+_xlfn.FORECAST.ETS.CONFINT(A380,$B$2:$B$363,$A$2:$A$363,0.95,1,1)</f>
        <v>0.5293734688756716</v>
      </c>
    </row>
    <row r="381" spans="1:5">
      <c r="A381" s="31">
        <v>21933</v>
      </c>
      <c r="C381" s="34">
        <f>_xlfn.FORECAST.ETS(A381,$B$2:$B$363,$A$2:$A$363,1,1)</f>
        <v>8.1466093863839101E-2</v>
      </c>
      <c r="D381" s="34">
        <f>C381-_xlfn.FORECAST.ETS.CONFINT(A381,$B$2:$B$363,$A$2:$A$363,0.95,1,1)</f>
        <v>-0.32633355753936533</v>
      </c>
      <c r="E381" s="34">
        <f>C381+_xlfn.FORECAST.ETS.CONFINT(A381,$B$2:$B$363,$A$2:$A$363,0.95,1,1)</f>
        <v>0.48926574526704347</v>
      </c>
    </row>
    <row r="382" spans="1:5">
      <c r="A382" s="31">
        <v>21934</v>
      </c>
      <c r="C382" s="34">
        <f>_xlfn.FORECAST.ETS(A382,$B$2:$B$363,$A$2:$A$363,1,1)</f>
        <v>0.16234108553534185</v>
      </c>
      <c r="D382" s="34">
        <f>C382-_xlfn.FORECAST.ETS.CONFINT(A382,$B$2:$B$363,$A$2:$A$363,0.95,1,1)</f>
        <v>-0.26827061757393678</v>
      </c>
      <c r="E382" s="34">
        <f>C382+_xlfn.FORECAST.ETS.CONFINT(A382,$B$2:$B$363,$A$2:$A$363,0.95,1,1)</f>
        <v>0.59295278864462042</v>
      </c>
    </row>
    <row r="383" spans="1:5">
      <c r="A383" s="31">
        <v>21935</v>
      </c>
      <c r="C383" s="34">
        <f>_xlfn.FORECAST.ETS(A383,$B$2:$B$363,$A$2:$A$363,1,1)</f>
        <v>0.14538027486960953</v>
      </c>
      <c r="D383" s="34">
        <f>C383-_xlfn.FORECAST.ETS.CONFINT(A383,$B$2:$B$363,$A$2:$A$363,0.95,1,1)</f>
        <v>-0.29120039092153027</v>
      </c>
      <c r="E383" s="34">
        <f>C383+_xlfn.FORECAST.ETS.CONFINT(A383,$B$2:$B$363,$A$2:$A$363,0.95,1,1)</f>
        <v>0.58196094066074933</v>
      </c>
    </row>
    <row r="384" spans="1:5">
      <c r="A384" s="31">
        <v>21936</v>
      </c>
      <c r="C384" s="34">
        <f>_xlfn.FORECAST.ETS(A384,$B$2:$B$363,$A$2:$A$363,1,1)</f>
        <v>0.11624091508078921</v>
      </c>
      <c r="D384" s="34">
        <f>C384-_xlfn.FORECAST.ETS.CONFINT(A384,$B$2:$B$363,$A$2:$A$363,0.95,1,1)</f>
        <v>-0.32627160468054606</v>
      </c>
      <c r="E384" s="34">
        <f>C384+_xlfn.FORECAST.ETS.CONFINT(A384,$B$2:$B$363,$A$2:$A$363,0.95,1,1)</f>
        <v>0.55875343484212447</v>
      </c>
    </row>
    <row r="385" spans="1:5">
      <c r="A385" s="31">
        <v>21937</v>
      </c>
      <c r="C385" s="34">
        <f>_xlfn.FORECAST.ETS(A385,$B$2:$B$363,$A$2:$A$363,1,1)</f>
        <v>0.20861158307750377</v>
      </c>
      <c r="D385" s="34">
        <f>C385-_xlfn.FORECAST.ETS.CONFINT(A385,$B$2:$B$363,$A$2:$A$363,0.95,1,1)</f>
        <v>-0.23979731299018642</v>
      </c>
      <c r="E385" s="34">
        <f>C385+_xlfn.FORECAST.ETS.CONFINT(A385,$B$2:$B$363,$A$2:$A$363,0.95,1,1)</f>
        <v>0.6570204791451939</v>
      </c>
    </row>
    <row r="386" spans="1:5">
      <c r="A386" s="31">
        <v>21938</v>
      </c>
      <c r="C386" s="34">
        <f>_xlfn.FORECAST.ETS(A386,$B$2:$B$363,$A$2:$A$363,1,1)</f>
        <v>8.7676731389182527E-2</v>
      </c>
      <c r="D386" s="34">
        <f>C386-_xlfn.FORECAST.ETS.CONFINT(A386,$B$2:$B$363,$A$2:$A$363,0.95,1,1)</f>
        <v>-0.36659460111297704</v>
      </c>
      <c r="E386" s="34">
        <f>C386+_xlfn.FORECAST.ETS.CONFINT(A386,$B$2:$B$363,$A$2:$A$363,0.95,1,1)</f>
        <v>0.54194806389134209</v>
      </c>
    </row>
    <row r="387" spans="1:5">
      <c r="A387" s="31">
        <v>21939</v>
      </c>
      <c r="C387" s="34">
        <f>_xlfn.FORECAST.ETS(A387,$B$2:$B$363,$A$2:$A$363,1,1)</f>
        <v>0.1301017500922648</v>
      </c>
      <c r="D387" s="34">
        <f>C387-_xlfn.FORECAST.ETS.CONFINT(A387,$B$2:$B$363,$A$2:$A$363,0.95,1,1)</f>
        <v>-0.32999953064574028</v>
      </c>
      <c r="E387" s="34">
        <f>C387+_xlfn.FORECAST.ETS.CONFINT(A387,$B$2:$B$363,$A$2:$A$363,0.95,1,1)</f>
        <v>0.59020303083026981</v>
      </c>
    </row>
    <row r="388" spans="1:5">
      <c r="A388" s="31">
        <v>21940</v>
      </c>
      <c r="C388" s="34">
        <f>_xlfn.FORECAST.ETS(A388,$B$2:$B$363,$A$2:$A$363,1,1)</f>
        <v>0.20074022902615288</v>
      </c>
      <c r="D388" s="34">
        <f>C388-_xlfn.FORECAST.ETS.CONFINT(A388,$B$2:$B$363,$A$2:$A$363,0.95,1,1)</f>
        <v>-0.26515988375805399</v>
      </c>
      <c r="E388" s="34">
        <f>C388+_xlfn.FORECAST.ETS.CONFINT(A388,$B$2:$B$363,$A$2:$A$363,0.95,1,1)</f>
        <v>0.66664034181035969</v>
      </c>
    </row>
    <row r="389" spans="1:5">
      <c r="A389" s="31">
        <v>21941</v>
      </c>
      <c r="C389" s="34">
        <f>_xlfn.FORECAST.ETS(A389,$B$2:$B$363,$A$2:$A$363,1,1)</f>
        <v>0.12988621503469175</v>
      </c>
      <c r="D389" s="34">
        <f>C389-_xlfn.FORECAST.ETS.CONFINT(A389,$B$2:$B$363,$A$2:$A$363,0.95,1,1)</f>
        <v>-0.34178291180035703</v>
      </c>
      <c r="E389" s="34">
        <f>C389+_xlfn.FORECAST.ETS.CONFINT(A389,$B$2:$B$363,$A$2:$A$363,0.95,1,1)</f>
        <v>0.60155534186974047</v>
      </c>
    </row>
    <row r="390" spans="1:5">
      <c r="A390" s="31">
        <v>21942</v>
      </c>
      <c r="C390" s="34">
        <f>_xlfn.FORECAST.ETS(A390,$B$2:$B$363,$A$2:$A$363,1,1)</f>
        <v>8.3476931921913522E-2</v>
      </c>
      <c r="D390" s="34">
        <f>C390-_xlfn.FORECAST.ETS.CONFINT(A390,$B$2:$B$363,$A$2:$A$363,0.95,1,1)</f>
        <v>-0.39393262066061691</v>
      </c>
      <c r="E390" s="34">
        <f>C390+_xlfn.FORECAST.ETS.CONFINT(A390,$B$2:$B$363,$A$2:$A$363,0.95,1,1)</f>
        <v>0.56088648450444389</v>
      </c>
    </row>
    <row r="391" spans="1:5">
      <c r="A391" s="31">
        <v>21943</v>
      </c>
      <c r="C391" s="34">
        <f>_xlfn.FORECAST.ETS(A391,$B$2:$B$363,$A$2:$A$363,1,1)</f>
        <v>0.16435192359341627</v>
      </c>
      <c r="D391" s="34">
        <f>C391-_xlfn.FORECAST.ETS.CONFINT(A391,$B$2:$B$363,$A$2:$A$363,0.95,1,1)</f>
        <v>-0.33335767132269256</v>
      </c>
      <c r="E391" s="34">
        <f>C391+_xlfn.FORECAST.ETS.CONFINT(A391,$B$2:$B$363,$A$2:$A$363,0.95,1,1)</f>
        <v>0.6620615185095251</v>
      </c>
    </row>
    <row r="392" spans="1:5">
      <c r="A392" s="31">
        <v>21944</v>
      </c>
      <c r="C392" s="34">
        <f>_xlfn.FORECAST.ETS(A392,$B$2:$B$363,$A$2:$A$363,1,1)</f>
        <v>0.14739111292768395</v>
      </c>
      <c r="D392" s="34">
        <f>C392-_xlfn.FORECAST.ETS.CONFINT(A392,$B$2:$B$363,$A$2:$A$363,0.95,1,1)</f>
        <v>-0.35584035839400463</v>
      </c>
      <c r="E392" s="34">
        <f>C392+_xlfn.FORECAST.ETS.CONFINT(A392,$B$2:$B$363,$A$2:$A$363,0.95,1,1)</f>
        <v>0.65062258424937247</v>
      </c>
    </row>
    <row r="393" spans="1:5">
      <c r="A393" s="31">
        <v>21945</v>
      </c>
      <c r="C393" s="34">
        <f>_xlfn.FORECAST.ETS(A393,$B$2:$B$363,$A$2:$A$363,1,1)</f>
        <v>0.11825175313886363</v>
      </c>
      <c r="D393" s="34">
        <f>C393-_xlfn.FORECAST.ETS.CONFINT(A393,$B$2:$B$363,$A$2:$A$363,0.95,1,1)</f>
        <v>-0.39048066983438434</v>
      </c>
      <c r="E393" s="34">
        <f>C393+_xlfn.FORECAST.ETS.CONFINT(A393,$B$2:$B$363,$A$2:$A$363,0.95,1,1)</f>
        <v>0.62698417611211155</v>
      </c>
    </row>
    <row r="394" spans="1:5">
      <c r="A394" s="31">
        <v>21946</v>
      </c>
      <c r="C394" s="34">
        <f>_xlfn.FORECAST.ETS(A394,$B$2:$B$363,$A$2:$A$363,1,1)</f>
        <v>0.21062242113557816</v>
      </c>
      <c r="D394" s="34">
        <f>C394-_xlfn.FORECAST.ETS.CONFINT(A394,$B$2:$B$363,$A$2:$A$363,0.95,1,1)</f>
        <v>-0.3035908383665229</v>
      </c>
      <c r="E394" s="34">
        <f>C394+_xlfn.FORECAST.ETS.CONFINT(A394,$B$2:$B$363,$A$2:$A$363,0.95,1,1)</f>
        <v>0.72483568063767922</v>
      </c>
    </row>
    <row r="395" spans="1:5">
      <c r="A395" s="31">
        <v>21947</v>
      </c>
      <c r="C395" s="34">
        <f>_xlfn.FORECAST.ETS(A395,$B$2:$B$363,$A$2:$A$363,1,1)</f>
        <v>8.9687569447256948E-2</v>
      </c>
      <c r="D395" s="34">
        <f>C395-_xlfn.FORECAST.ETS.CONFINT(A395,$B$2:$B$363,$A$2:$A$363,0.95,1,1)</f>
        <v>-0.42998718453692431</v>
      </c>
      <c r="E395" s="34">
        <f>C395+_xlfn.FORECAST.ETS.CONFINT(A395,$B$2:$B$363,$A$2:$A$363,0.95,1,1)</f>
        <v>0.60936232343143826</v>
      </c>
    </row>
    <row r="396" spans="1:5">
      <c r="A396" s="31">
        <v>21948</v>
      </c>
      <c r="C396" s="34">
        <f>_xlfn.FORECAST.ETS(A396,$B$2:$B$363,$A$2:$A$363,1,1)</f>
        <v>0.13211258815033922</v>
      </c>
      <c r="D396" s="34">
        <f>C396-_xlfn.FORECAST.ETS.CONFINT(A396,$B$2:$B$363,$A$2:$A$363,0.95,1,1)</f>
        <v>-0.39300505698812049</v>
      </c>
      <c r="E396" s="34">
        <f>C396+_xlfn.FORECAST.ETS.CONFINT(A396,$B$2:$B$363,$A$2:$A$363,0.95,1,1)</f>
        <v>0.65723023328879893</v>
      </c>
    </row>
    <row r="397" spans="1:5">
      <c r="A397" s="31">
        <v>21949</v>
      </c>
      <c r="C397" s="34">
        <f>_xlfn.FORECAST.ETS(A397,$B$2:$B$363,$A$2:$A$363,1,1)</f>
        <v>0.2027510670842273</v>
      </c>
      <c r="D397" s="34">
        <f>C397-_xlfn.FORECAST.ETS.CONFINT(A397,$B$2:$B$363,$A$2:$A$363,0.95,1,1)</f>
        <v>-0.32779157227551226</v>
      </c>
      <c r="E397" s="34">
        <f>C397+_xlfn.FORECAST.ETS.CONFINT(A397,$B$2:$B$363,$A$2:$A$363,0.95,1,1)</f>
        <v>0.73329370644396685</v>
      </c>
    </row>
    <row r="398" spans="1:5">
      <c r="A398" s="31">
        <v>21950</v>
      </c>
      <c r="C398" s="34">
        <f>_xlfn.FORECAST.ETS(A398,$B$2:$B$363,$A$2:$A$363,1,1)</f>
        <v>0.13189705309276617</v>
      </c>
      <c r="D398" s="34">
        <f>C398-_xlfn.FORECAST.ETS.CONFINT(A398,$B$2:$B$363,$A$2:$A$363,0.95,1,1)</f>
        <v>-0.4040533595079972</v>
      </c>
      <c r="E398" s="34">
        <f>C398+_xlfn.FORECAST.ETS.CONFINT(A398,$B$2:$B$363,$A$2:$A$363,0.95,1,1)</f>
        <v>0.6678474656935296</v>
      </c>
    </row>
    <row r="399" spans="1:5">
      <c r="A399" s="31">
        <v>21951</v>
      </c>
      <c r="C399" s="34">
        <f>_xlfn.FORECAST.ETS(A399,$B$2:$B$363,$A$2:$A$363,1,1)</f>
        <v>8.5487769979987915E-2</v>
      </c>
      <c r="D399" s="34">
        <f>C399-_xlfn.FORECAST.ETS.CONFINT(A399,$B$2:$B$363,$A$2:$A$363,0.95,1,1)</f>
        <v>-0.45585384213702657</v>
      </c>
      <c r="E399" s="34">
        <f>C399+_xlfn.FORECAST.ETS.CONFINT(A399,$B$2:$B$363,$A$2:$A$363,0.95,1,1)</f>
        <v>0.62682938209700234</v>
      </c>
    </row>
    <row r="400" spans="1:5">
      <c r="A400" s="31">
        <v>21952</v>
      </c>
      <c r="C400" s="34">
        <f>_xlfn.FORECAST.ETS(A400,$B$2:$B$363,$A$2:$A$363,1,1)</f>
        <v>0.16636276165149069</v>
      </c>
      <c r="D400" s="34">
        <f>C400-_xlfn.FORECAST.ETS.CONFINT(A400,$B$2:$B$363,$A$2:$A$363,0.95,1,1)</f>
        <v>-0.39357141353470448</v>
      </c>
      <c r="E400" s="34">
        <f>C400+_xlfn.FORECAST.ETS.CONFINT(A400,$B$2:$B$363,$A$2:$A$363,0.95,1,1)</f>
        <v>0.72629693683768581</v>
      </c>
    </row>
    <row r="401" spans="1:5">
      <c r="A401" s="31">
        <v>21953</v>
      </c>
      <c r="C401" s="34">
        <f>_xlfn.FORECAST.ETS(A401,$B$2:$B$363,$A$2:$A$363,1,1)</f>
        <v>0.14940195098575837</v>
      </c>
      <c r="D401" s="34">
        <f>C401-_xlfn.FORECAST.ETS.CONFINT(A401,$B$2:$B$363,$A$2:$A$363,0.95,1,1)</f>
        <v>-0.41576677613972246</v>
      </c>
      <c r="E401" s="34">
        <f>C401+_xlfn.FORECAST.ETS.CONFINT(A401,$B$2:$B$363,$A$2:$A$363,0.95,1,1)</f>
        <v>0.7145706781112392</v>
      </c>
    </row>
    <row r="402" spans="1:5">
      <c r="A402" s="31">
        <v>21954</v>
      </c>
      <c r="C402" s="34">
        <f>_xlfn.FORECAST.ETS(A402,$B$2:$B$363,$A$2:$A$363,1,1)</f>
        <v>0.12026259119693805</v>
      </c>
      <c r="D402" s="34">
        <f>C402-_xlfn.FORECAST.ETS.CONFINT(A402,$B$2:$B$363,$A$2:$A$363,0.95,1,1)</f>
        <v>-0.4501285635224439</v>
      </c>
      <c r="E402" s="34">
        <f>C402+_xlfn.FORECAST.ETS.CONFINT(A402,$B$2:$B$363,$A$2:$A$363,0.95,1,1)</f>
        <v>0.69065374591632001</v>
      </c>
    </row>
    <row r="403" spans="1:5">
      <c r="A403" s="31">
        <v>21955</v>
      </c>
      <c r="C403" s="34">
        <f>_xlfn.FORECAST.ETS(A403,$B$2:$B$363,$A$2:$A$363,1,1)</f>
        <v>0.21263325919365259</v>
      </c>
      <c r="D403" s="34">
        <f>C403-_xlfn.FORECAST.ETS.CONFINT(A403,$B$2:$B$363,$A$2:$A$363,0.95,1,1)</f>
        <v>-0.36296865214365592</v>
      </c>
      <c r="E403" s="34">
        <f>C403+_xlfn.FORECAST.ETS.CONFINT(A403,$B$2:$B$363,$A$2:$A$363,0.95,1,1)</f>
        <v>0.78823517053096115</v>
      </c>
    </row>
    <row r="404" spans="1:5">
      <c r="A404" s="31">
        <v>21956</v>
      </c>
      <c r="C404" s="34">
        <f>_xlfn.FORECAST.ETS(A404,$B$2:$B$363,$A$2:$A$363,1,1)</f>
        <v>9.1698407505331342E-2</v>
      </c>
      <c r="D404" s="34">
        <f>C404-_xlfn.FORECAST.ETS.CONFINT(A404,$B$2:$B$363,$A$2:$A$363,0.95,1,1)</f>
        <v>-0.48910302585127841</v>
      </c>
      <c r="E404" s="34">
        <f>C404+_xlfn.FORECAST.ETS.CONFINT(A404,$B$2:$B$363,$A$2:$A$363,0.95,1,1)</f>
        <v>0.67249984086194103</v>
      </c>
    </row>
    <row r="405" spans="1:5">
      <c r="A405" s="31">
        <v>21957</v>
      </c>
      <c r="C405" s="34">
        <f>_xlfn.FORECAST.ETS(A405,$B$2:$B$363,$A$2:$A$363,1,1)</f>
        <v>0.13412342620841364</v>
      </c>
      <c r="D405" s="34">
        <f>C405-_xlfn.FORECAST.ETS.CONFINT(A405,$B$2:$B$363,$A$2:$A$363,0.95,1,1)</f>
        <v>-0.45186671479499574</v>
      </c>
      <c r="E405" s="34">
        <f>C405+_xlfn.FORECAST.ETS.CONFINT(A405,$B$2:$B$363,$A$2:$A$363,0.95,1,1)</f>
        <v>0.72011356721182307</v>
      </c>
    </row>
    <row r="406" spans="1:5">
      <c r="A406" s="31">
        <v>21958</v>
      </c>
      <c r="C406" s="34">
        <f>_xlfn.FORECAST.ETS(A406,$B$2:$B$363,$A$2:$A$363,1,1)</f>
        <v>0.20476190514230172</v>
      </c>
      <c r="D406" s="34">
        <f>C406-_xlfn.FORECAST.ETS.CONFINT(A406,$B$2:$B$363,$A$2:$A$363,0.95,1,1)</f>
        <v>-0.38640653399900626</v>
      </c>
      <c r="E406" s="34">
        <f>C406+_xlfn.FORECAST.ETS.CONFINT(A406,$B$2:$B$363,$A$2:$A$363,0.95,1,1)</f>
        <v>0.79593034428360976</v>
      </c>
    </row>
    <row r="407" spans="1:5">
      <c r="A407" s="31">
        <v>21959</v>
      </c>
      <c r="C407" s="34">
        <f>_xlfn.FORECAST.ETS(A407,$B$2:$B$363,$A$2:$A$363,1,1)</f>
        <v>0.13390789115084059</v>
      </c>
      <c r="D407" s="34">
        <f>C407-_xlfn.FORECAST.ETS.CONFINT(A407,$B$2:$B$363,$A$2:$A$363,0.95,1,1)</f>
        <v>-0.46242882686098352</v>
      </c>
      <c r="E407" s="34">
        <f>C407+_xlfn.FORECAST.ETS.CONFINT(A407,$B$2:$B$363,$A$2:$A$363,0.95,1,1)</f>
        <v>0.73024460916266465</v>
      </c>
    </row>
    <row r="408" spans="1:5">
      <c r="A408" s="31">
        <v>21960</v>
      </c>
      <c r="C408" s="34">
        <f>_xlfn.FORECAST.ETS(A408,$B$2:$B$363,$A$2:$A$363,1,1)</f>
        <v>8.7498608038062337E-2</v>
      </c>
      <c r="D408" s="34">
        <f>C408-_xlfn.FORECAST.ETS.CONFINT(A408,$B$2:$B$363,$A$2:$A$363,0.95,1,1)</f>
        <v>-0.51399674589206001</v>
      </c>
      <c r="E408" s="34">
        <f>C408+_xlfn.FORECAST.ETS.CONFINT(A408,$B$2:$B$363,$A$2:$A$363,0.95,1,1)</f>
        <v>0.68899396196818463</v>
      </c>
    </row>
    <row r="409" spans="1:5">
      <c r="A409" s="31">
        <v>21961</v>
      </c>
      <c r="C409" s="34">
        <f>_xlfn.FORECAST.ETS(A409,$B$2:$B$363,$A$2:$A$363,1,1)</f>
        <v>0.16837359970956509</v>
      </c>
      <c r="D409" s="34">
        <f>C409-_xlfn.FORECAST.ETS.CONFINT(A409,$B$2:$B$363,$A$2:$A$363,0.95,1,1)</f>
        <v>-0.45046748057041708</v>
      </c>
      <c r="E409" s="34">
        <f>C409+_xlfn.FORECAST.ETS.CONFINT(A409,$B$2:$B$363,$A$2:$A$363,0.95,1,1)</f>
        <v>0.78721467998954731</v>
      </c>
    </row>
    <row r="410" spans="1:5">
      <c r="A410" s="31">
        <v>21962</v>
      </c>
      <c r="C410" s="34">
        <f>_xlfn.FORECAST.ETS(A410,$B$2:$B$363,$A$2:$A$363,1,1)</f>
        <v>0.15141278904383279</v>
      </c>
      <c r="D410" s="34">
        <f>C410-_xlfn.FORECAST.ETS.CONFINT(A410,$B$2:$B$363,$A$2:$A$363,0.95,1,1)</f>
        <v>-0.47246823462696974</v>
      </c>
      <c r="E410" s="34">
        <f>C410+_xlfn.FORECAST.ETS.CONFINT(A410,$B$2:$B$363,$A$2:$A$363,0.95,1,1)</f>
        <v>0.77529381271463538</v>
      </c>
    </row>
    <row r="411" spans="1:5">
      <c r="A411" s="31">
        <v>21963</v>
      </c>
      <c r="C411" s="34">
        <f>_xlfn.FORECAST.ETS(A411,$B$2:$B$363,$A$2:$A$363,1,1)</f>
        <v>0.12227342925501247</v>
      </c>
      <c r="D411" s="34">
        <f>C411-_xlfn.FORECAST.ETS.CONFINT(A411,$B$2:$B$363,$A$2:$A$363,0.95,1,1)</f>
        <v>-0.50664073700054257</v>
      </c>
      <c r="E411" s="34">
        <f>C411+_xlfn.FORECAST.ETS.CONFINT(A411,$B$2:$B$363,$A$2:$A$363,0.95,1,1)</f>
        <v>0.75118759551056757</v>
      </c>
    </row>
    <row r="412" spans="1:5">
      <c r="A412" s="31">
        <v>21964</v>
      </c>
      <c r="C412" s="34">
        <f>_xlfn.FORECAST.ETS(A412,$B$2:$B$363,$A$2:$A$363,1,1)</f>
        <v>0.21464409725172701</v>
      </c>
      <c r="D412" s="34">
        <f>C412-_xlfn.FORECAST.ETS.CONFINT(A412,$B$2:$B$363,$A$2:$A$363,0.95,1,1)</f>
        <v>-0.41929668477177279</v>
      </c>
      <c r="E412" s="34">
        <f>C412+_xlfn.FORECAST.ETS.CONFINT(A412,$B$2:$B$363,$A$2:$A$363,0.95,1,1)</f>
        <v>0.84858487927522686</v>
      </c>
    </row>
    <row r="413" spans="1:5">
      <c r="A413" s="31">
        <v>21965</v>
      </c>
      <c r="C413" s="34">
        <f>_xlfn.FORECAST.ETS(A413,$B$2:$B$363,$A$2:$A$363,1,1)</f>
        <v>9.3709245563405763E-2</v>
      </c>
      <c r="D413" s="34">
        <f>C413-_xlfn.FORECAST.ETS.CONFINT(A413,$B$2:$B$363,$A$2:$A$363,0.95,1,1)</f>
        <v>-0.54525189057303081</v>
      </c>
      <c r="E413" s="34">
        <f>C413+_xlfn.FORECAST.ETS.CONFINT(A413,$B$2:$B$363,$A$2:$A$363,0.95,1,1)</f>
        <v>0.73267038169984233</v>
      </c>
    </row>
    <row r="414" spans="1:5">
      <c r="A414" s="31">
        <v>21966</v>
      </c>
      <c r="C414" s="34">
        <f>_xlfn.FORECAST.ETS(A414,$B$2:$B$363,$A$2:$A$363,1,1)</f>
        <v>0.13613426426648806</v>
      </c>
      <c r="D414" s="34">
        <f>C414-_xlfn.FORECAST.ETS.CONFINT(A414,$B$2:$B$363,$A$2:$A$363,0.95,1,1)</f>
        <v>-0.50784122103308071</v>
      </c>
      <c r="E414" s="34">
        <f>C414+_xlfn.FORECAST.ETS.CONFINT(A414,$B$2:$B$363,$A$2:$A$363,0.95,1,1)</f>
        <v>0.78010974956605672</v>
      </c>
    </row>
    <row r="415" spans="1:5">
      <c r="A415" s="31">
        <v>21967</v>
      </c>
      <c r="C415" s="34">
        <f>_xlfn.FORECAST.ETS(A415,$B$2:$B$363,$A$2:$A$363,1,1)</f>
        <v>0.20677274320037614</v>
      </c>
      <c r="D415" s="34">
        <f>C415-_xlfn.FORECAST.ETS.CONFINT(A415,$B$2:$B$363,$A$2:$A$363,0.95,1,1)</f>
        <v>-0.44221133491249381</v>
      </c>
      <c r="E415" s="34">
        <f>C415+_xlfn.FORECAST.ETS.CONFINT(A415,$B$2:$B$363,$A$2:$A$363,0.95,1,1)</f>
        <v>0.85575682131324604</v>
      </c>
    </row>
    <row r="416" spans="1:5">
      <c r="A416" s="31">
        <v>21968</v>
      </c>
      <c r="C416" s="34">
        <f>_xlfn.FORECAST.ETS(A416,$B$2:$B$363,$A$2:$A$363,1,1)</f>
        <v>0.13591872920891501</v>
      </c>
      <c r="D416" s="34">
        <f>C416-_xlfn.FORECAST.ETS.CONFINT(A416,$B$2:$B$363,$A$2:$A$363,0.95,1,1)</f>
        <v>-0.51806842619526638</v>
      </c>
      <c r="E416" s="34">
        <f>C416+_xlfn.FORECAST.ETS.CONFINT(A416,$B$2:$B$363,$A$2:$A$363,0.95,1,1)</f>
        <v>0.78990588461309641</v>
      </c>
    </row>
    <row r="417" spans="1:5">
      <c r="A417" s="31">
        <v>21969</v>
      </c>
      <c r="C417" s="34">
        <f>_xlfn.FORECAST.ETS(A417,$B$2:$B$363,$A$2:$A$363,1,1)</f>
        <v>8.9509446096136758E-2</v>
      </c>
      <c r="D417" s="34">
        <f>C417-_xlfn.FORECAST.ETS.CONFINT(A417,$B$2:$B$363,$A$2:$A$363,0.95,1,1)</f>
        <v>-0.56947550444904538</v>
      </c>
      <c r="E417" s="34">
        <f>C417+_xlfn.FORECAST.ETS.CONFINT(A417,$B$2:$B$363,$A$2:$A$363,0.95,1,1)</f>
        <v>0.74849439664131889</v>
      </c>
    </row>
    <row r="418" spans="1:5">
      <c r="A418" s="31">
        <v>21970</v>
      </c>
      <c r="C418" s="34">
        <f>_xlfn.FORECAST.ETS(A418,$B$2:$B$363,$A$2:$A$363,1,1)</f>
        <v>0.17038443776763951</v>
      </c>
      <c r="D418" s="34">
        <f>C418-_xlfn.FORECAST.ETS.CONFINT(A418,$B$2:$B$363,$A$2:$A$363,0.95,1,1)</f>
        <v>-0.50499128873670296</v>
      </c>
      <c r="E418" s="34">
        <f>C418+_xlfn.FORECAST.ETS.CONFINT(A418,$B$2:$B$363,$A$2:$A$363,0.95,1,1)</f>
        <v>0.84576016427198186</v>
      </c>
    </row>
    <row r="419" spans="1:5">
      <c r="A419" s="31">
        <v>21971</v>
      </c>
      <c r="C419" s="34">
        <f>_xlfn.FORECAST.ETS(A419,$B$2:$B$363,$A$2:$A$363,1,1)</f>
        <v>0.15342362710190721</v>
      </c>
      <c r="D419" s="34">
        <f>C419-_xlfn.FORECAST.ETS.CONFINT(A419,$B$2:$B$363,$A$2:$A$363,0.95,1,1)</f>
        <v>-0.52685643525037684</v>
      </c>
      <c r="E419" s="34">
        <f>C419+_xlfn.FORECAST.ETS.CONFINT(A419,$B$2:$B$363,$A$2:$A$363,0.95,1,1)</f>
        <v>0.83370368945419138</v>
      </c>
    </row>
    <row r="420" spans="1:5">
      <c r="A420" s="31">
        <v>21972</v>
      </c>
      <c r="C420" s="34">
        <f>_xlfn.FORECAST.ETS(A420,$B$2:$B$363,$A$2:$A$363,1,1)</f>
        <v>0.12428426731308689</v>
      </c>
      <c r="D420" s="34">
        <f>C420-_xlfn.FORECAST.ETS.CONFINT(A420,$B$2:$B$363,$A$2:$A$363,0.95,1,1)</f>
        <v>-0.5608967893182395</v>
      </c>
      <c r="E420" s="34">
        <f>C420+_xlfn.FORECAST.ETS.CONFINT(A420,$B$2:$B$363,$A$2:$A$363,0.95,1,1)</f>
        <v>0.80946532394441317</v>
      </c>
    </row>
    <row r="421" spans="1:5">
      <c r="A421" s="31">
        <v>21973</v>
      </c>
      <c r="C421" s="34">
        <f>_xlfn.FORECAST.ETS(A421,$B$2:$B$363,$A$2:$A$363,1,1)</f>
        <v>0.21665493530980143</v>
      </c>
      <c r="D421" s="34">
        <f>C421-_xlfn.FORECAST.ETS.CONFINT(A421,$B$2:$B$363,$A$2:$A$363,0.95,1,1)</f>
        <v>-0.4734239481214666</v>
      </c>
      <c r="E421" s="34">
        <f>C421+_xlfn.FORECAST.ETS.CONFINT(A421,$B$2:$B$363,$A$2:$A$363,0.95,1,1)</f>
        <v>0.9067338187410694</v>
      </c>
    </row>
    <row r="422" spans="1:5">
      <c r="A422" s="31">
        <v>21974</v>
      </c>
      <c r="C422" s="34">
        <f>_xlfn.FORECAST.ETS(A422,$B$2:$B$363,$A$2:$A$363,1,1)</f>
        <v>9.5720083621480184E-2</v>
      </c>
      <c r="D422" s="34">
        <f>C422-_xlfn.FORECAST.ETS.CONFINT(A422,$B$2:$B$363,$A$2:$A$363,0.95,1,1)</f>
        <v>-0.59925362826789685</v>
      </c>
      <c r="E422" s="34">
        <f>C422+_xlfn.FORECAST.ETS.CONFINT(A422,$B$2:$B$363,$A$2:$A$363,0.95,1,1)</f>
        <v>0.79069379551085728</v>
      </c>
    </row>
    <row r="423" spans="1:5">
      <c r="A423" s="31">
        <v>21975</v>
      </c>
      <c r="C423" s="34">
        <f>_xlfn.FORECAST.ETS(A423,$B$2:$B$363,$A$2:$A$363,1,1)</f>
        <v>0.13814510232456245</v>
      </c>
      <c r="D423" s="34">
        <f>C423-_xlfn.FORECAST.ETS.CONFINT(A423,$B$2:$B$363,$A$2:$A$363,0.95,1,1)</f>
        <v>-0.56172060404658009</v>
      </c>
      <c r="E423" s="34">
        <f>C423+_xlfn.FORECAST.ETS.CONFINT(A423,$B$2:$B$363,$A$2:$A$363,0.95,1,1)</f>
        <v>0.83801080869570499</v>
      </c>
    </row>
    <row r="424" spans="1:5">
      <c r="A424" s="31">
        <v>21976</v>
      </c>
      <c r="C424" s="34">
        <f>_xlfn.FORECAST.ETS(A424,$B$2:$B$363,$A$2:$A$363,1,1)</f>
        <v>0.20878358125845056</v>
      </c>
      <c r="D424" s="34">
        <f>C424-_xlfn.FORECAST.ETS.CONFINT(A424,$B$2:$B$363,$A$2:$A$363,0.95,1,1)</f>
        <v>-0.49597144538434057</v>
      </c>
      <c r="E424" s="34">
        <f>C424+_xlfn.FORECAST.ETS.CONFINT(A424,$B$2:$B$363,$A$2:$A$363,0.95,1,1)</f>
        <v>0.91353860790124164</v>
      </c>
    </row>
    <row r="425" spans="1:5">
      <c r="A425" s="31">
        <v>21977</v>
      </c>
      <c r="C425" s="34">
        <f>_xlfn.FORECAST.ETS(A425,$B$2:$B$363,$A$2:$A$363,1,1)</f>
        <v>0.13792956726698943</v>
      </c>
      <c r="D425" s="34">
        <f>C425-_xlfn.FORECAST.ETS.CONFINT(A425,$B$2:$B$363,$A$2:$A$363,0.95,1,1)</f>
        <v>-0.57171226076903103</v>
      </c>
      <c r="E425" s="34">
        <f>C425+_xlfn.FORECAST.ETS.CONFINT(A425,$B$2:$B$363,$A$2:$A$363,0.95,1,1)</f>
        <v>0.84757139530300996</v>
      </c>
    </row>
    <row r="426" spans="1:5">
      <c r="A426" s="31">
        <v>21978</v>
      </c>
      <c r="C426" s="34">
        <f>_xlfn.FORECAST.ETS(A426,$B$2:$B$363,$A$2:$A$363,1,1)</f>
        <v>9.1520284154211179E-2</v>
      </c>
      <c r="D426" s="34">
        <f>C426-_xlfn.FORECAST.ETS.CONFINT(A426,$B$2:$B$363,$A$2:$A$363,0.95,1,1)</f>
        <v>-0.62300597745115927</v>
      </c>
      <c r="E426" s="34">
        <f>C426+_xlfn.FORECAST.ETS.CONFINT(A426,$B$2:$B$363,$A$2:$A$363,0.95,1,1)</f>
        <v>0.80604654575958168</v>
      </c>
    </row>
    <row r="427" spans="1:5">
      <c r="A427" s="31">
        <v>21979</v>
      </c>
      <c r="C427" s="34">
        <f>_xlfn.FORECAST.ETS(A427,$B$2:$B$363,$A$2:$A$363,1,1)</f>
        <v>0.17239527582571393</v>
      </c>
      <c r="D427" s="34">
        <f>C427-_xlfn.FORECAST.ETS.CONFINT(A427,$B$2:$B$363,$A$2:$A$363,0.95,1,1)</f>
        <v>-0.55776503071437922</v>
      </c>
      <c r="E427" s="34">
        <f>C427+_xlfn.FORECAST.ETS.CONFINT(A427,$B$2:$B$363,$A$2:$A$363,0.95,1,1)</f>
        <v>0.90255558236580702</v>
      </c>
    </row>
    <row r="428" spans="1:5">
      <c r="A428" s="31">
        <v>21980</v>
      </c>
      <c r="C428" s="34">
        <f>_xlfn.FORECAST.ETS(A428,$B$2:$B$363,$A$2:$A$363,1,1)</f>
        <v>0.15543446515998161</v>
      </c>
      <c r="D428" s="34">
        <f>C428-_xlfn.FORECAST.ETS.CONFINT(A428,$B$2:$B$363,$A$2:$A$363,0.95,1,1)</f>
        <v>-0.57953458827757121</v>
      </c>
      <c r="E428" s="34">
        <f>C428+_xlfn.FORECAST.ETS.CONFINT(A428,$B$2:$B$363,$A$2:$A$363,0.95,1,1)</f>
        <v>0.89040351859753442</v>
      </c>
    </row>
    <row r="429" spans="1:5">
      <c r="A429" s="31">
        <v>21981</v>
      </c>
      <c r="C429" s="34">
        <f>_xlfn.FORECAST.ETS(A429,$B$2:$B$363,$A$2:$A$363,1,1)</f>
        <v>0.12629510537116131</v>
      </c>
      <c r="D429" s="34">
        <f>C429-_xlfn.FORECAST.ETS.CONFINT(A429,$B$2:$B$363,$A$2:$A$363,0.95,1,1)</f>
        <v>-0.61348171888624414</v>
      </c>
      <c r="E429" s="34">
        <f>C429+_xlfn.FORECAST.ETS.CONFINT(A429,$B$2:$B$363,$A$2:$A$363,0.95,1,1)</f>
        <v>0.86607192962856672</v>
      </c>
    </row>
    <row r="430" spans="1:5">
      <c r="A430" s="31">
        <v>21982</v>
      </c>
      <c r="C430" s="34">
        <f>_xlfn.FORECAST.ETS(A430,$B$2:$B$363,$A$2:$A$363,1,1)</f>
        <v>0.21866577336787585</v>
      </c>
      <c r="D430" s="34">
        <f>C430-_xlfn.FORECAST.ETS.CONFINT(A430,$B$2:$B$363,$A$2:$A$363,0.95,1,1)</f>
        <v>-0.52591795990089452</v>
      </c>
      <c r="E430" s="34">
        <f>C430+_xlfn.FORECAST.ETS.CONFINT(A430,$B$2:$B$363,$A$2:$A$363,0.95,1,1)</f>
        <v>0.96324950663664621</v>
      </c>
    </row>
    <row r="431" spans="1:5">
      <c r="A431" s="31">
        <v>21983</v>
      </c>
      <c r="C431" s="34">
        <f>_xlfn.FORECAST.ETS(A431,$B$2:$B$363,$A$2:$A$363,1,1)</f>
        <v>9.7730921679554605E-2</v>
      </c>
      <c r="D431" s="34">
        <f>C431-_xlfn.FORECAST.ETS.CONFINT(A431,$B$2:$B$363,$A$2:$A$363,0.95,1,1)</f>
        <v>-0.65165897012607354</v>
      </c>
      <c r="E431" s="34">
        <f>C431+_xlfn.FORECAST.ETS.CONFINT(A431,$B$2:$B$363,$A$2:$A$363,0.95,1,1)</f>
        <v>0.84712081348518287</v>
      </c>
    </row>
    <row r="432" spans="1:5">
      <c r="A432" s="31">
        <v>21984</v>
      </c>
      <c r="C432" s="34">
        <f>_xlfn.FORECAST.ETS(A432,$B$2:$B$363,$A$2:$A$363,1,1)</f>
        <v>0.14015594038263687</v>
      </c>
      <c r="D432" s="34">
        <f>C432-_xlfn.FORECAST.ETS.CONFINT(A432,$B$2:$B$363,$A$2:$A$363,0.95,1,1)</f>
        <v>-0.61403946797891307</v>
      </c>
      <c r="E432" s="34">
        <f>C432+_xlfn.FORECAST.ETS.CONFINT(A432,$B$2:$B$363,$A$2:$A$363,0.95,1,1)</f>
        <v>0.89435134874418687</v>
      </c>
    </row>
    <row r="433" spans="1:5">
      <c r="A433" s="31">
        <v>21985</v>
      </c>
      <c r="C433" s="34">
        <f>_xlfn.FORECAST.ETS(A433,$B$2:$B$363,$A$2:$A$363,1,1)</f>
        <v>0.21079441931652498</v>
      </c>
      <c r="D433" s="34">
        <f>C433-_xlfn.FORECAST.ETS.CONFINT(A433,$B$2:$B$363,$A$2:$A$363,0.95,1,1)</f>
        <v>-0.54820596936409915</v>
      </c>
      <c r="E433" s="34">
        <f>C433+_xlfn.FORECAST.ETS.CONFINT(A433,$B$2:$B$363,$A$2:$A$363,0.95,1,1)</f>
        <v>0.96979480799714912</v>
      </c>
    </row>
    <row r="434" spans="1:5">
      <c r="A434" s="31">
        <v>21986</v>
      </c>
      <c r="C434" s="34">
        <f>_xlfn.FORECAST.ETS(A434,$B$2:$B$363,$A$2:$A$363,1,1)</f>
        <v>0.13994040532506385</v>
      </c>
      <c r="D434" s="34">
        <f>C434-_xlfn.FORECAST.ETS.CONFINT(A434,$B$2:$B$363,$A$2:$A$363,0.95,1,1)</f>
        <v>-0.62386453051970325</v>
      </c>
      <c r="E434" s="34">
        <f>C434+_xlfn.FORECAST.ETS.CONFINT(A434,$B$2:$B$363,$A$2:$A$363,0.95,1,1)</f>
        <v>0.90374534116983085</v>
      </c>
    </row>
    <row r="435" spans="1:5">
      <c r="A435" s="31">
        <v>21987</v>
      </c>
      <c r="C435" s="34">
        <f>_xlfn.FORECAST.ETS(A435,$B$2:$B$363,$A$2:$A$363,1,1)</f>
        <v>9.35311222122856E-2</v>
      </c>
      <c r="D435" s="34">
        <f>C435-_xlfn.FORECAST.ETS.CONFINT(A435,$B$2:$B$363,$A$2:$A$363,0.95,1,1)</f>
        <v>-0.67507802814530216</v>
      </c>
      <c r="E435" s="34">
        <f>C435+_xlfn.FORECAST.ETS.CONFINT(A435,$B$2:$B$363,$A$2:$A$363,0.95,1,1)</f>
        <v>0.86214027256987347</v>
      </c>
    </row>
    <row r="436" spans="1:5">
      <c r="A436" s="31">
        <v>21988</v>
      </c>
      <c r="C436" s="34">
        <f>_xlfn.FORECAST.ETS(A436,$B$2:$B$363,$A$2:$A$363,1,1)</f>
        <v>0.17440611388378835</v>
      </c>
      <c r="D436" s="34">
        <f>C436-_xlfn.FORECAST.ETS.CONFINT(A436,$B$2:$B$363,$A$2:$A$363,0.95,1,1)</f>
        <v>-0.60922193009257286</v>
      </c>
      <c r="E436" s="34">
        <f>C436+_xlfn.FORECAST.ETS.CONFINT(A436,$B$2:$B$363,$A$2:$A$363,0.95,1,1)</f>
        <v>0.95803415786014956</v>
      </c>
    </row>
    <row r="437" spans="1:5">
      <c r="A437" s="31">
        <v>21989</v>
      </c>
      <c r="C437" s="34">
        <f>_xlfn.FORECAST.ETS(A437,$B$2:$B$363,$A$2:$A$363,1,1)</f>
        <v>0.15744530321805603</v>
      </c>
      <c r="D437" s="34">
        <f>C437-_xlfn.FORECAST.ETS.CONFINT(A437,$B$2:$B$363,$A$2:$A$363,0.95,1,1)</f>
        <v>-0.63092434060702329</v>
      </c>
      <c r="E437" s="34">
        <f>C437+_xlfn.FORECAST.ETS.CONFINT(A437,$B$2:$B$363,$A$2:$A$363,0.95,1,1)</f>
        <v>0.9458149470431354</v>
      </c>
    </row>
    <row r="438" spans="1:5">
      <c r="A438" s="31">
        <v>21990</v>
      </c>
      <c r="C438" s="34">
        <f>_xlfn.FORECAST.ETS(A438,$B$2:$B$363,$A$2:$A$363,1,1)</f>
        <v>0.12830594342923574</v>
      </c>
      <c r="D438" s="34">
        <f>C438-_xlfn.FORECAST.ETS.CONFINT(A438,$B$2:$B$363,$A$2:$A$363,0.95,1,1)</f>
        <v>-0.66480600410435975</v>
      </c>
      <c r="E438" s="34">
        <f>C438+_xlfn.FORECAST.ETS.CONFINT(A438,$B$2:$B$363,$A$2:$A$363,0.95,1,1)</f>
        <v>0.92141789096283122</v>
      </c>
    </row>
    <row r="439" spans="1:5">
      <c r="A439" s="31">
        <v>21991</v>
      </c>
      <c r="C439" s="34">
        <f>_xlfn.FORECAST.ETS(A439,$B$2:$B$363,$A$2:$A$363,1,1)</f>
        <v>0.22067661142595027</v>
      </c>
      <c r="D439" s="34">
        <f>C439-_xlfn.FORECAST.ETS.CONFINT(A439,$B$2:$B$363,$A$2:$A$363,0.95,1,1)</f>
        <v>-0.57717842011954723</v>
      </c>
      <c r="E439" s="34">
        <f>C439+_xlfn.FORECAST.ETS.CONFINT(A439,$B$2:$B$363,$A$2:$A$363,0.95,1,1)</f>
        <v>1.0185316429714477</v>
      </c>
    </row>
    <row r="440" spans="1:5">
      <c r="A440" s="31">
        <v>21992</v>
      </c>
      <c r="C440" s="34">
        <f>_xlfn.FORECAST.ETS(A440,$B$2:$B$363,$A$2:$A$363,1,1)</f>
        <v>9.9741759737629027E-2</v>
      </c>
      <c r="D440" s="34">
        <f>C440-_xlfn.FORECAST.ETS.CONFINT(A440,$B$2:$B$363,$A$2:$A$363,0.95,1,1)</f>
        <v>-0.70285721075758767</v>
      </c>
      <c r="E440" s="34">
        <f>C440+_xlfn.FORECAST.ETS.CONFINT(A440,$B$2:$B$363,$A$2:$A$363,0.95,1,1)</f>
        <v>0.90234073023284567</v>
      </c>
    </row>
    <row r="441" spans="1:5">
      <c r="A441" s="31">
        <v>21993</v>
      </c>
      <c r="C441" s="34">
        <f>_xlfn.FORECAST.ETS(A441,$B$2:$B$363,$A$2:$A$363,1,1)</f>
        <v>0.14216677844071129</v>
      </c>
      <c r="D441" s="34">
        <f>C441-_xlfn.FORECAST.ETS.CONFINT(A441,$B$2:$B$363,$A$2:$A$363,0.95,1,1)</f>
        <v>-0.66517705881970568</v>
      </c>
      <c r="E441" s="34">
        <f>C441+_xlfn.FORECAST.ETS.CONFINT(A441,$B$2:$B$363,$A$2:$A$363,0.95,1,1)</f>
        <v>0.94951061570112816</v>
      </c>
    </row>
    <row r="442" spans="1:5">
      <c r="A442" s="31">
        <v>21994</v>
      </c>
      <c r="C442" s="34">
        <f>_xlfn.FORECAST.ETS(A442,$B$2:$B$363,$A$2:$A$363,1,1)</f>
        <v>0.21280525737459938</v>
      </c>
      <c r="D442" s="34">
        <f>C442-_xlfn.FORECAST.ETS.CONFINT(A442,$B$2:$B$363,$A$2:$A$363,0.95,1,1)</f>
        <v>-0.59928444563790828</v>
      </c>
      <c r="E442" s="34">
        <f>C442+_xlfn.FORECAST.ETS.CONFINT(A442,$B$2:$B$363,$A$2:$A$363,0.95,1,1)</f>
        <v>1.0248949603871069</v>
      </c>
    </row>
    <row r="443" spans="1:5">
      <c r="A443" s="31">
        <v>21995</v>
      </c>
      <c r="C443" s="34">
        <f>_xlfn.FORECAST.ETS(A443,$B$2:$B$363,$A$2:$A$363,1,1)</f>
        <v>0.14195124338313828</v>
      </c>
      <c r="D443" s="34">
        <f>C443-_xlfn.FORECAST.ETS.CONFINT(A443,$B$2:$B$363,$A$2:$A$363,0.95,1,1)</f>
        <v>-0.67488539388222335</v>
      </c>
      <c r="E443" s="34">
        <f>C443+_xlfn.FORECAST.ETS.CONFINT(A443,$B$2:$B$363,$A$2:$A$363,0.95,1,1)</f>
        <v>0.95878788064849985</v>
      </c>
    </row>
    <row r="444" spans="1:5">
      <c r="A444" s="31">
        <v>21996</v>
      </c>
      <c r="C444" s="34">
        <f>_xlfn.FORECAST.ETS(A444,$B$2:$B$363,$A$2:$A$363,1,1)</f>
        <v>9.5541960270360021E-2</v>
      </c>
      <c r="D444" s="34">
        <f>C444-_xlfn.FORECAST.ETS.CONFINT(A444,$B$2:$B$363,$A$2:$A$363,0.95,1,1)</f>
        <v>-0.72604274765195465</v>
      </c>
      <c r="E444" s="34">
        <f>C444+_xlfn.FORECAST.ETS.CONFINT(A444,$B$2:$B$363,$A$2:$A$363,0.95,1,1)</f>
        <v>0.91712666819267463</v>
      </c>
    </row>
    <row r="445" spans="1:5">
      <c r="A445" s="31">
        <v>21997</v>
      </c>
      <c r="C445" s="34">
        <f>_xlfn.FORECAST.ETS(A445,$B$2:$B$363,$A$2:$A$363,1,1)</f>
        <v>0.17641695194186277</v>
      </c>
      <c r="D445" s="34">
        <f>C445-_xlfn.FORECAST.ETS.CONFINT(A445,$B$2:$B$363,$A$2:$A$363,0.95,1,1)</f>
        <v>-0.65967659001831347</v>
      </c>
      <c r="E445" s="34">
        <f>C445+_xlfn.FORECAST.ETS.CONFINT(A445,$B$2:$B$363,$A$2:$A$363,0.95,1,1)</f>
        <v>1.0125104939020391</v>
      </c>
    </row>
    <row r="446" spans="1:5">
      <c r="A446" s="31">
        <v>21998</v>
      </c>
      <c r="C446" s="34">
        <f>_xlfn.FORECAST.ETS(A446,$B$2:$B$363,$A$2:$A$363,1,1)</f>
        <v>0.15945614127613045</v>
      </c>
      <c r="D446" s="34">
        <f>C446-_xlfn.FORECAST.ETS.CONFINT(A446,$B$2:$B$363,$A$2:$A$363,0.95,1,1)</f>
        <v>-0.68133280096428495</v>
      </c>
      <c r="E446" s="34">
        <f>C446+_xlfn.FORECAST.ETS.CONFINT(A446,$B$2:$B$363,$A$2:$A$363,0.95,1,1)</f>
        <v>1.000245083516546</v>
      </c>
    </row>
    <row r="447" spans="1:5">
      <c r="A447" s="31">
        <v>21999</v>
      </c>
      <c r="C447" s="34">
        <f>_xlfn.FORECAST.ETS(A447,$B$2:$B$363,$A$2:$A$363,1,1)</f>
        <v>0.13031678148731013</v>
      </c>
      <c r="D447" s="34">
        <f>C447-_xlfn.FORECAST.ETS.CONFINT(A447,$B$2:$B$363,$A$2:$A$363,0.95,1,1)</f>
        <v>-0.71516949278369313</v>
      </c>
      <c r="E447" s="34">
        <f>C447+_xlfn.FORECAST.ETS.CONFINT(A447,$B$2:$B$363,$A$2:$A$363,0.95,1,1)</f>
        <v>0.9758030557583135</v>
      </c>
    </row>
    <row r="448" spans="1:5">
      <c r="A448" s="31">
        <v>22000</v>
      </c>
      <c r="C448" s="34">
        <f>_xlfn.FORECAST.ETS(A448,$B$2:$B$363,$A$2:$A$363,1,1)</f>
        <v>0.22268744948402469</v>
      </c>
      <c r="D448" s="34">
        <f>C448-_xlfn.FORECAST.ETS.CONFINT(A448,$B$2:$B$363,$A$2:$A$363,0.95,1,1)</f>
        <v>-0.62749814006541449</v>
      </c>
      <c r="E448" s="34">
        <f>C448+_xlfn.FORECAST.ETS.CONFINT(A448,$B$2:$B$363,$A$2:$A$363,0.95,1,1)</f>
        <v>1.0728730390334638</v>
      </c>
    </row>
    <row r="449" spans="1:5">
      <c r="A449" s="31">
        <v>22001</v>
      </c>
      <c r="C449" s="34">
        <f>_xlfn.FORECAST.ETS(A449,$B$2:$B$363,$A$2:$A$363,1,1)</f>
        <v>0.10175259779570345</v>
      </c>
      <c r="D449" s="34">
        <f>C449-_xlfn.FORECAST.ETS.CONFINT(A449,$B$2:$B$363,$A$2:$A$363,0.95,1,1)</f>
        <v>-0.75313434063162421</v>
      </c>
      <c r="E449" s="34">
        <f>C449+_xlfn.FORECAST.ETS.CONFINT(A449,$B$2:$B$363,$A$2:$A$363,0.95,1,1)</f>
        <v>0.95663953622303111</v>
      </c>
    </row>
    <row r="450" spans="1:5">
      <c r="A450" s="31">
        <v>22002</v>
      </c>
      <c r="C450" s="34">
        <f>_xlfn.FORECAST.ETS(A450,$B$2:$B$363,$A$2:$A$363,1,1)</f>
        <v>0.14417761649878572</v>
      </c>
      <c r="D450" s="34">
        <f>C450-_xlfn.FORECAST.ETS.CONFINT(A450,$B$2:$B$363,$A$2:$A$363,0.95,1,1)</f>
        <v>-0.71541275364173984</v>
      </c>
      <c r="E450" s="34">
        <f>C450+_xlfn.FORECAST.ETS.CONFINT(A450,$B$2:$B$363,$A$2:$A$363,0.95,1,1)</f>
        <v>1.0037679866393112</v>
      </c>
    </row>
    <row r="451" spans="1:5">
      <c r="A451" s="31">
        <v>22003</v>
      </c>
      <c r="C451" s="34">
        <f>_xlfn.FORECAST.ETS(A451,$B$2:$B$363,$A$2:$A$363,1,1)</f>
        <v>0.2148160954326738</v>
      </c>
      <c r="D451" s="34">
        <f>C451-_xlfn.FORECAST.ETS.CONFINT(A451,$B$2:$B$363,$A$2:$A$363,0.95,1,1)</f>
        <v>-0.64947983740564119</v>
      </c>
      <c r="E451" s="34">
        <f>C451+_xlfn.FORECAST.ETS.CONFINT(A451,$B$2:$B$363,$A$2:$A$363,0.95,1,1)</f>
        <v>1.0791120282709887</v>
      </c>
    </row>
    <row r="452" spans="1:5">
      <c r="A452" s="31">
        <v>22004</v>
      </c>
      <c r="C452" s="34">
        <f>_xlfn.FORECAST.ETS(A452,$B$2:$B$363,$A$2:$A$363,1,1)</f>
        <v>0.14396208144121267</v>
      </c>
      <c r="D452" s="34">
        <f>C452-_xlfn.FORECAST.ETS.CONFINT(A452,$B$2:$B$363,$A$2:$A$363,0.95,1,1)</f>
        <v>-0.72504159217042952</v>
      </c>
      <c r="E452" s="34">
        <f>C452+_xlfn.FORECAST.ETS.CONFINT(A452,$B$2:$B$363,$A$2:$A$363,0.95,1,1)</f>
        <v>1.0129657550528548</v>
      </c>
    </row>
    <row r="453" spans="1:5">
      <c r="A453" s="31">
        <v>22005</v>
      </c>
      <c r="C453" s="34">
        <f>_xlfn.FORECAST.ETS(A453,$B$2:$B$363,$A$2:$A$363,1,1)</f>
        <v>9.7552798328434442E-2</v>
      </c>
      <c r="D453" s="34">
        <f>C453-_xlfn.FORECAST.ETS.CONFINT(A453,$B$2:$B$363,$A$2:$A$363,0.95,1,1)</f>
        <v>-0.77616084019202047</v>
      </c>
      <c r="E453" s="34">
        <f>C453+_xlfn.FORECAST.ETS.CONFINT(A453,$B$2:$B$363,$A$2:$A$363,0.95,1,1)</f>
        <v>0.97126643684888936</v>
      </c>
    </row>
    <row r="454" spans="1:5">
      <c r="A454" s="31">
        <v>22006</v>
      </c>
      <c r="C454" s="34">
        <f>_xlfn.FORECAST.ETS(A454,$B$2:$B$363,$A$2:$A$363,1,1)</f>
        <v>0.17842778999993719</v>
      </c>
      <c r="D454" s="34">
        <f>C454-_xlfn.FORECAST.ETS.CONFINT(A454,$B$2:$B$363,$A$2:$A$363,0.95,1,1)</f>
        <v>-0.70936503314539978</v>
      </c>
      <c r="E454" s="34">
        <f>C454+_xlfn.FORECAST.ETS.CONFINT(A454,$B$2:$B$363,$A$2:$A$363,0.95,1,1)</f>
        <v>1.0662206131452741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opLeftCell="C1" workbookViewId="0">
      <selection sqref="A1:L366"/>
    </sheetView>
  </sheetViews>
  <sheetFormatPr defaultColWidth="11.25" defaultRowHeight="15" customHeight="1"/>
  <cols>
    <col min="1" max="1" width="11" customWidth="1"/>
    <col min="2" max="2" width="11.625" customWidth="1"/>
    <col min="3" max="3" width="30.375" bestFit="1" customWidth="1"/>
    <col min="4" max="5" width="12.875" customWidth="1"/>
    <col min="6" max="6" width="20.125" customWidth="1"/>
    <col min="7" max="7" width="22.875" customWidth="1"/>
    <col min="8" max="10" width="11" customWidth="1"/>
    <col min="11" max="11" width="13.625" customWidth="1"/>
    <col min="12" max="26" width="11" customWidth="1"/>
  </cols>
  <sheetData>
    <row r="1" spans="1:11" ht="15.75" customHeight="1">
      <c r="A1" s="1" t="s">
        <v>0</v>
      </c>
      <c r="B1" s="2" t="s">
        <v>1</v>
      </c>
      <c r="C1" s="2" t="s">
        <v>13</v>
      </c>
      <c r="D1" s="2" t="s">
        <v>14</v>
      </c>
      <c r="E1" s="2" t="s">
        <v>4</v>
      </c>
      <c r="F1" s="2" t="s">
        <v>5</v>
      </c>
      <c r="G1" s="2" t="s">
        <v>6</v>
      </c>
    </row>
    <row r="2" spans="1:11" ht="15.75" customHeight="1">
      <c r="A2" s="3">
        <v>21551</v>
      </c>
      <c r="B2" s="4">
        <v>35</v>
      </c>
      <c r="C2" t="e">
        <v>#N/A</v>
      </c>
      <c r="D2" s="4" t="e">
        <f>B2-C2</f>
        <v>#N/A</v>
      </c>
      <c r="E2" s="4" t="e">
        <f>ABS(D2)</f>
        <v>#N/A</v>
      </c>
      <c r="F2" s="4" t="e">
        <f>E2^2</f>
        <v>#N/A</v>
      </c>
      <c r="G2" s="5" t="e">
        <f>E2/B2</f>
        <v>#N/A</v>
      </c>
    </row>
    <row r="3" spans="1:11" ht="15.75" customHeight="1">
      <c r="A3" s="3">
        <v>21552</v>
      </c>
      <c r="B3" s="4">
        <v>32</v>
      </c>
      <c r="C3">
        <f>B2</f>
        <v>35</v>
      </c>
      <c r="D3" s="8">
        <f>B3-C3</f>
        <v>-3</v>
      </c>
      <c r="E3" s="8">
        <f>ABS(D3)</f>
        <v>3</v>
      </c>
      <c r="F3" s="8">
        <f>E3^2</f>
        <v>9</v>
      </c>
      <c r="G3" s="5">
        <f>E3/B3</f>
        <v>9.375E-2</v>
      </c>
    </row>
    <row r="4" spans="1:11" ht="15.75" customHeight="1">
      <c r="A4" s="3">
        <v>21553</v>
      </c>
      <c r="B4" s="4">
        <v>30</v>
      </c>
      <c r="C4">
        <f t="shared" ref="C4:C67" si="0">0.7*B3+0.3*C3</f>
        <v>32.9</v>
      </c>
      <c r="D4" s="8">
        <f t="shared" ref="D4:D67" si="1">B4-C4</f>
        <v>-2.8999999999999986</v>
      </c>
      <c r="E4" s="8">
        <f t="shared" ref="E4:E67" si="2">ABS(D4)</f>
        <v>2.8999999999999986</v>
      </c>
      <c r="F4" s="8">
        <f t="shared" ref="F4:F67" si="3">E4^2</f>
        <v>8.4099999999999913</v>
      </c>
      <c r="G4" s="5">
        <f t="shared" ref="G4:G67" si="4">E4/B4</f>
        <v>9.6666666666666623E-2</v>
      </c>
    </row>
    <row r="5" spans="1:11" ht="15.75" customHeight="1">
      <c r="A5" s="3">
        <v>21554</v>
      </c>
      <c r="B5" s="4">
        <v>31</v>
      </c>
      <c r="C5">
        <f t="shared" si="0"/>
        <v>30.869999999999997</v>
      </c>
      <c r="D5" s="8">
        <f t="shared" si="1"/>
        <v>0.13000000000000256</v>
      </c>
      <c r="E5" s="8">
        <f t="shared" si="2"/>
        <v>0.13000000000000256</v>
      </c>
      <c r="F5" s="8">
        <f t="shared" si="3"/>
        <v>1.6900000000000664E-2</v>
      </c>
      <c r="G5" s="5">
        <f t="shared" si="4"/>
        <v>4.1935483870968564E-3</v>
      </c>
    </row>
    <row r="6" spans="1:11" ht="15.75" customHeight="1">
      <c r="A6" s="3">
        <v>21555</v>
      </c>
      <c r="B6" s="4">
        <v>44</v>
      </c>
      <c r="C6">
        <f t="shared" si="0"/>
        <v>30.960999999999999</v>
      </c>
      <c r="D6" s="8">
        <f t="shared" si="1"/>
        <v>13.039000000000001</v>
      </c>
      <c r="E6" s="8">
        <f t="shared" si="2"/>
        <v>13.039000000000001</v>
      </c>
      <c r="F6" s="8">
        <f t="shared" si="3"/>
        <v>170.01552100000004</v>
      </c>
      <c r="G6" s="5">
        <f t="shared" si="4"/>
        <v>0.2963409090909091</v>
      </c>
    </row>
    <row r="7" spans="1:11" ht="15.75" customHeight="1">
      <c r="A7" s="3">
        <v>21556</v>
      </c>
      <c r="B7" s="4">
        <v>29</v>
      </c>
      <c r="C7">
        <f t="shared" si="0"/>
        <v>40.088299999999997</v>
      </c>
      <c r="D7" s="8">
        <f t="shared" si="1"/>
        <v>-11.088299999999997</v>
      </c>
      <c r="E7" s="8">
        <f t="shared" si="2"/>
        <v>11.088299999999997</v>
      </c>
      <c r="F7" s="8">
        <f t="shared" si="3"/>
        <v>122.95039688999992</v>
      </c>
      <c r="G7" s="5">
        <f t="shared" si="4"/>
        <v>0.38235517241379297</v>
      </c>
    </row>
    <row r="8" spans="1:11" ht="15.75" customHeight="1">
      <c r="A8" s="3">
        <v>21557</v>
      </c>
      <c r="B8" s="4">
        <v>45</v>
      </c>
      <c r="C8">
        <f t="shared" si="0"/>
        <v>32.326489999999993</v>
      </c>
      <c r="D8" s="8">
        <f t="shared" si="1"/>
        <v>12.673510000000007</v>
      </c>
      <c r="E8" s="8">
        <f t="shared" si="2"/>
        <v>12.673510000000007</v>
      </c>
      <c r="F8" s="8">
        <f t="shared" si="3"/>
        <v>160.61785572010018</v>
      </c>
      <c r="G8" s="5">
        <f t="shared" si="4"/>
        <v>0.28163355555555569</v>
      </c>
      <c r="J8" s="2" t="s">
        <v>7</v>
      </c>
      <c r="K8" s="8">
        <f>AVERAGE(E3:E366)</f>
        <v>6.4889480262429782</v>
      </c>
    </row>
    <row r="9" spans="1:11" ht="15.75" customHeight="1">
      <c r="A9" s="3">
        <v>21558</v>
      </c>
      <c r="B9" s="4">
        <v>43</v>
      </c>
      <c r="C9">
        <f t="shared" si="0"/>
        <v>41.197946999999992</v>
      </c>
      <c r="D9" s="8">
        <f t="shared" si="1"/>
        <v>1.8020530000000079</v>
      </c>
      <c r="E9" s="8">
        <f t="shared" si="2"/>
        <v>1.8020530000000079</v>
      </c>
      <c r="F9" s="8">
        <f t="shared" si="3"/>
        <v>3.2473950148090283</v>
      </c>
      <c r="G9" s="5">
        <f t="shared" si="4"/>
        <v>4.1908209302325763E-2</v>
      </c>
      <c r="J9" s="2" t="s">
        <v>8</v>
      </c>
      <c r="K9" s="8">
        <f>AVERAGE(F3:F366)</f>
        <v>66.569454284561743</v>
      </c>
    </row>
    <row r="10" spans="1:11" ht="15.75" customHeight="1">
      <c r="A10" s="3">
        <v>21559</v>
      </c>
      <c r="B10" s="4">
        <v>38</v>
      </c>
      <c r="C10">
        <f t="shared" si="0"/>
        <v>42.459384099999994</v>
      </c>
      <c r="D10" s="8">
        <f t="shared" si="1"/>
        <v>-4.4593840999999941</v>
      </c>
      <c r="E10" s="8">
        <f t="shared" si="2"/>
        <v>4.4593840999999941</v>
      </c>
      <c r="F10" s="8">
        <f t="shared" si="3"/>
        <v>19.886106551332759</v>
      </c>
      <c r="G10" s="5">
        <f t="shared" si="4"/>
        <v>0.11735221315789458</v>
      </c>
      <c r="J10" s="9" t="s">
        <v>9</v>
      </c>
      <c r="K10" s="10">
        <f>AVERAGE(G3:G366)</f>
        <v>0.15720860261612712</v>
      </c>
    </row>
    <row r="11" spans="1:11" ht="15.75" customHeight="1">
      <c r="A11" s="3">
        <v>21560</v>
      </c>
      <c r="B11" s="4">
        <v>27</v>
      </c>
      <c r="C11">
        <f t="shared" si="0"/>
        <v>39.337815229999997</v>
      </c>
      <c r="D11" s="8">
        <f t="shared" si="1"/>
        <v>-12.337815229999997</v>
      </c>
      <c r="E11" s="8">
        <f t="shared" si="2"/>
        <v>12.337815229999997</v>
      </c>
      <c r="F11" s="8">
        <f t="shared" si="3"/>
        <v>152.22168464961987</v>
      </c>
      <c r="G11" s="5">
        <f t="shared" si="4"/>
        <v>0.45695611962962951</v>
      </c>
      <c r="J11" s="2" t="s">
        <v>10</v>
      </c>
      <c r="K11" s="5">
        <f>100% -K10</f>
        <v>0.84279139738387288</v>
      </c>
    </row>
    <row r="12" spans="1:11" ht="15.75" customHeight="1">
      <c r="A12" s="3">
        <v>21561</v>
      </c>
      <c r="B12" s="4">
        <v>38</v>
      </c>
      <c r="C12">
        <f t="shared" si="0"/>
        <v>30.701344569</v>
      </c>
      <c r="D12" s="8">
        <f t="shared" si="1"/>
        <v>7.2986554310000002</v>
      </c>
      <c r="E12" s="8">
        <f t="shared" si="2"/>
        <v>7.2986554310000002</v>
      </c>
      <c r="F12" s="8">
        <f t="shared" si="3"/>
        <v>53.270371100465802</v>
      </c>
      <c r="G12" s="5">
        <f t="shared" si="4"/>
        <v>0.1920698797631579</v>
      </c>
    </row>
    <row r="13" spans="1:11" ht="15.75" customHeight="1">
      <c r="A13" s="3">
        <v>21562</v>
      </c>
      <c r="B13" s="4">
        <v>33</v>
      </c>
      <c r="C13">
        <f t="shared" si="0"/>
        <v>35.810403370700001</v>
      </c>
      <c r="D13" s="8">
        <f t="shared" si="1"/>
        <v>-2.8104033707000013</v>
      </c>
      <c r="E13" s="8">
        <f t="shared" si="2"/>
        <v>2.8104033707000013</v>
      </c>
      <c r="F13" s="8">
        <f t="shared" si="3"/>
        <v>7.8983671060419294</v>
      </c>
      <c r="G13" s="5">
        <f t="shared" si="4"/>
        <v>8.5163738506060641E-2</v>
      </c>
    </row>
    <row r="14" spans="1:11" ht="15.75" customHeight="1">
      <c r="A14" s="3">
        <v>21563</v>
      </c>
      <c r="B14" s="4">
        <v>55</v>
      </c>
      <c r="C14">
        <f t="shared" si="0"/>
        <v>33.843121011210002</v>
      </c>
      <c r="D14" s="8">
        <f t="shared" si="1"/>
        <v>21.156878988789998</v>
      </c>
      <c r="E14" s="8">
        <f t="shared" si="2"/>
        <v>21.156878988789998</v>
      </c>
      <c r="F14" s="8">
        <f t="shared" si="3"/>
        <v>447.61352854630371</v>
      </c>
      <c r="G14" s="5">
        <f t="shared" si="4"/>
        <v>0.38467052706890908</v>
      </c>
    </row>
    <row r="15" spans="1:11" ht="15.75" customHeight="1">
      <c r="A15" s="3">
        <v>21564</v>
      </c>
      <c r="B15" s="4">
        <v>47</v>
      </c>
      <c r="C15">
        <f t="shared" si="0"/>
        <v>48.652936303362999</v>
      </c>
      <c r="D15" s="8">
        <f t="shared" si="1"/>
        <v>-1.6529363033629991</v>
      </c>
      <c r="E15" s="8">
        <f t="shared" si="2"/>
        <v>1.6529363033629991</v>
      </c>
      <c r="F15" s="8">
        <f t="shared" si="3"/>
        <v>2.7321984229753369</v>
      </c>
      <c r="G15" s="5">
        <f t="shared" si="4"/>
        <v>3.5168857518361685E-2</v>
      </c>
    </row>
    <row r="16" spans="1:11" ht="15.75" customHeight="1">
      <c r="A16" s="3">
        <v>21565</v>
      </c>
      <c r="B16" s="4">
        <v>45</v>
      </c>
      <c r="C16">
        <f t="shared" si="0"/>
        <v>47.495880891008895</v>
      </c>
      <c r="D16" s="8">
        <f t="shared" si="1"/>
        <v>-2.4958808910088948</v>
      </c>
      <c r="E16" s="8">
        <f t="shared" si="2"/>
        <v>2.4958808910088948</v>
      </c>
      <c r="F16" s="8">
        <f t="shared" si="3"/>
        <v>6.2294214221033544</v>
      </c>
      <c r="G16" s="5">
        <f t="shared" si="4"/>
        <v>5.5464019800197661E-2</v>
      </c>
    </row>
    <row r="17" spans="1:7" ht="15.75" customHeight="1">
      <c r="A17" s="3">
        <v>21566</v>
      </c>
      <c r="B17" s="4">
        <v>37</v>
      </c>
      <c r="C17">
        <f t="shared" si="0"/>
        <v>45.748764267302661</v>
      </c>
      <c r="D17" s="8">
        <f t="shared" si="1"/>
        <v>-8.7487642673026613</v>
      </c>
      <c r="E17" s="8">
        <f t="shared" si="2"/>
        <v>8.7487642673026613</v>
      </c>
      <c r="F17" s="8">
        <f t="shared" si="3"/>
        <v>76.540876204831875</v>
      </c>
      <c r="G17" s="5">
        <f t="shared" si="4"/>
        <v>0.23645308830547734</v>
      </c>
    </row>
    <row r="18" spans="1:7" ht="15.75" customHeight="1">
      <c r="A18" s="3">
        <v>21567</v>
      </c>
      <c r="B18" s="4">
        <v>50</v>
      </c>
      <c r="C18">
        <f t="shared" si="0"/>
        <v>39.624629280190796</v>
      </c>
      <c r="D18" s="8">
        <f t="shared" si="1"/>
        <v>10.375370719809204</v>
      </c>
      <c r="E18" s="8">
        <f t="shared" si="2"/>
        <v>10.375370719809204</v>
      </c>
      <c r="F18" s="8">
        <f t="shared" si="3"/>
        <v>107.64831757347417</v>
      </c>
      <c r="G18" s="5">
        <f t="shared" si="4"/>
        <v>0.20750741439618409</v>
      </c>
    </row>
    <row r="19" spans="1:7" ht="15.75" customHeight="1">
      <c r="A19" s="3">
        <v>21568</v>
      </c>
      <c r="B19" s="4">
        <v>43</v>
      </c>
      <c r="C19">
        <f t="shared" si="0"/>
        <v>46.887388784057237</v>
      </c>
      <c r="D19" s="8">
        <f t="shared" si="1"/>
        <v>-3.8873887840572365</v>
      </c>
      <c r="E19" s="8">
        <f t="shared" si="2"/>
        <v>3.8873887840572365</v>
      </c>
      <c r="F19" s="8">
        <f t="shared" si="3"/>
        <v>15.111791558414</v>
      </c>
      <c r="G19" s="5">
        <f t="shared" si="4"/>
        <v>9.0404390326912484E-2</v>
      </c>
    </row>
    <row r="20" spans="1:7" ht="15.75" customHeight="1">
      <c r="A20" s="3">
        <v>21569</v>
      </c>
      <c r="B20" s="4">
        <v>41</v>
      </c>
      <c r="C20">
        <f t="shared" si="0"/>
        <v>44.166216635217168</v>
      </c>
      <c r="D20" s="8">
        <f t="shared" si="1"/>
        <v>-3.1662166352171681</v>
      </c>
      <c r="E20" s="8">
        <f t="shared" si="2"/>
        <v>3.1662166352171681</v>
      </c>
      <c r="F20" s="8">
        <f t="shared" si="3"/>
        <v>10.024927781125927</v>
      </c>
      <c r="G20" s="5">
        <f t="shared" si="4"/>
        <v>7.7224795980906535E-2</v>
      </c>
    </row>
    <row r="21" spans="1:7" ht="15.75" customHeight="1">
      <c r="A21" s="3">
        <v>21570</v>
      </c>
      <c r="B21" s="4">
        <v>52</v>
      </c>
      <c r="C21">
        <f t="shared" si="0"/>
        <v>41.949864990565146</v>
      </c>
      <c r="D21" s="8">
        <f t="shared" si="1"/>
        <v>10.050135009434854</v>
      </c>
      <c r="E21" s="8">
        <f t="shared" si="2"/>
        <v>10.050135009434854</v>
      </c>
      <c r="F21" s="8">
        <f t="shared" si="3"/>
        <v>101.00521370786811</v>
      </c>
      <c r="G21" s="5">
        <f t="shared" si="4"/>
        <v>0.19327182710451643</v>
      </c>
    </row>
    <row r="22" spans="1:7" ht="15.75" customHeight="1">
      <c r="A22" s="3">
        <v>21571</v>
      </c>
      <c r="B22" s="4">
        <v>34</v>
      </c>
      <c r="C22">
        <f t="shared" si="0"/>
        <v>48.984959497169541</v>
      </c>
      <c r="D22" s="8">
        <f t="shared" si="1"/>
        <v>-14.984959497169541</v>
      </c>
      <c r="E22" s="8">
        <f t="shared" si="2"/>
        <v>14.984959497169541</v>
      </c>
      <c r="F22" s="8">
        <f t="shared" si="3"/>
        <v>224.54901113181162</v>
      </c>
      <c r="G22" s="5">
        <f t="shared" si="4"/>
        <v>0.44073410285792769</v>
      </c>
    </row>
    <row r="23" spans="1:7" ht="15.75" customHeight="1">
      <c r="A23" s="3">
        <v>21572</v>
      </c>
      <c r="B23" s="4">
        <v>53</v>
      </c>
      <c r="C23">
        <f t="shared" si="0"/>
        <v>38.495487849150862</v>
      </c>
      <c r="D23" s="8">
        <f t="shared" si="1"/>
        <v>14.504512150849138</v>
      </c>
      <c r="E23" s="8">
        <f t="shared" si="2"/>
        <v>14.504512150849138</v>
      </c>
      <c r="F23" s="8">
        <f t="shared" si="3"/>
        <v>210.38087273413029</v>
      </c>
      <c r="G23" s="5">
        <f t="shared" si="4"/>
        <v>0.27367004058205918</v>
      </c>
    </row>
    <row r="24" spans="1:7" ht="15.75" customHeight="1">
      <c r="A24" s="3">
        <v>21573</v>
      </c>
      <c r="B24" s="4">
        <v>39</v>
      </c>
      <c r="C24">
        <f t="shared" si="0"/>
        <v>48.648646354745253</v>
      </c>
      <c r="D24" s="8">
        <f t="shared" si="1"/>
        <v>-9.648646354745253</v>
      </c>
      <c r="E24" s="8">
        <f t="shared" si="2"/>
        <v>9.648646354745253</v>
      </c>
      <c r="F24" s="8">
        <f t="shared" si="3"/>
        <v>93.096376478938865</v>
      </c>
      <c r="G24" s="5">
        <f t="shared" si="4"/>
        <v>0.24740118858321161</v>
      </c>
    </row>
    <row r="25" spans="1:7" ht="15.75" customHeight="1">
      <c r="A25" s="3">
        <v>21574</v>
      </c>
      <c r="B25" s="4">
        <v>32</v>
      </c>
      <c r="C25">
        <f t="shared" si="0"/>
        <v>41.894593906423573</v>
      </c>
      <c r="D25" s="8">
        <f t="shared" si="1"/>
        <v>-9.8945939064235731</v>
      </c>
      <c r="E25" s="8">
        <f t="shared" si="2"/>
        <v>9.8945939064235731</v>
      </c>
      <c r="F25" s="8">
        <f t="shared" si="3"/>
        <v>97.902988573034506</v>
      </c>
      <c r="G25" s="5">
        <f t="shared" si="4"/>
        <v>0.30920605957573666</v>
      </c>
    </row>
    <row r="26" spans="1:7" ht="15.75" customHeight="1">
      <c r="A26" s="3">
        <v>21575</v>
      </c>
      <c r="B26" s="4">
        <v>37</v>
      </c>
      <c r="C26">
        <f t="shared" si="0"/>
        <v>34.968378171927071</v>
      </c>
      <c r="D26" s="8">
        <f t="shared" si="1"/>
        <v>2.0316218280729288</v>
      </c>
      <c r="E26" s="8">
        <f t="shared" si="2"/>
        <v>2.0316218280729288</v>
      </c>
      <c r="F26" s="8">
        <f t="shared" si="3"/>
        <v>4.1274872523023891</v>
      </c>
      <c r="G26" s="5">
        <f t="shared" si="4"/>
        <v>5.49086980560251E-2</v>
      </c>
    </row>
    <row r="27" spans="1:7" ht="15.75" customHeight="1">
      <c r="A27" s="3">
        <v>21576</v>
      </c>
      <c r="B27" s="4">
        <v>43</v>
      </c>
      <c r="C27">
        <f t="shared" si="0"/>
        <v>36.390513451578116</v>
      </c>
      <c r="D27" s="8">
        <f t="shared" si="1"/>
        <v>6.6094865484218843</v>
      </c>
      <c r="E27" s="8">
        <f t="shared" si="2"/>
        <v>6.6094865484218843</v>
      </c>
      <c r="F27" s="8">
        <f t="shared" si="3"/>
        <v>43.68531243376983</v>
      </c>
      <c r="G27" s="5">
        <f t="shared" si="4"/>
        <v>0.15370898949818335</v>
      </c>
    </row>
    <row r="28" spans="1:7" ht="15.75" customHeight="1">
      <c r="A28" s="3">
        <v>21577</v>
      </c>
      <c r="B28" s="4">
        <v>39</v>
      </c>
      <c r="C28">
        <f t="shared" si="0"/>
        <v>41.017154035473432</v>
      </c>
      <c r="D28" s="8">
        <f t="shared" si="1"/>
        <v>-2.0171540354734319</v>
      </c>
      <c r="E28" s="8">
        <f t="shared" si="2"/>
        <v>2.0171540354734319</v>
      </c>
      <c r="F28" s="8">
        <f t="shared" si="3"/>
        <v>4.0689104028267513</v>
      </c>
      <c r="G28" s="5">
        <f t="shared" si="4"/>
        <v>5.1721898345472611E-2</v>
      </c>
    </row>
    <row r="29" spans="1:7" ht="15.75" customHeight="1">
      <c r="A29" s="3">
        <v>21578</v>
      </c>
      <c r="B29" s="4">
        <v>35</v>
      </c>
      <c r="C29">
        <f t="shared" si="0"/>
        <v>39.605146210642026</v>
      </c>
      <c r="D29" s="8">
        <f t="shared" si="1"/>
        <v>-4.605146210642026</v>
      </c>
      <c r="E29" s="8">
        <f t="shared" si="2"/>
        <v>4.605146210642026</v>
      </c>
      <c r="F29" s="8">
        <f t="shared" si="3"/>
        <v>21.20737162139061</v>
      </c>
      <c r="G29" s="5">
        <f t="shared" si="4"/>
        <v>0.13157560601834359</v>
      </c>
    </row>
    <row r="30" spans="1:7" ht="15.75" customHeight="1">
      <c r="A30" s="3">
        <v>21579</v>
      </c>
      <c r="B30" s="4">
        <v>44</v>
      </c>
      <c r="C30">
        <f t="shared" si="0"/>
        <v>36.381543863192604</v>
      </c>
      <c r="D30" s="8">
        <f t="shared" si="1"/>
        <v>7.6184561368073958</v>
      </c>
      <c r="E30" s="8">
        <f t="shared" si="2"/>
        <v>7.6184561368073958</v>
      </c>
      <c r="F30" s="8">
        <f t="shared" si="3"/>
        <v>58.040873908458266</v>
      </c>
      <c r="G30" s="5">
        <f t="shared" si="4"/>
        <v>0.17314673038198627</v>
      </c>
    </row>
    <row r="31" spans="1:7" ht="15.75" customHeight="1">
      <c r="A31" s="3">
        <v>21580</v>
      </c>
      <c r="B31" s="4">
        <v>38</v>
      </c>
      <c r="C31">
        <f t="shared" si="0"/>
        <v>41.714463158957777</v>
      </c>
      <c r="D31" s="8">
        <f t="shared" si="1"/>
        <v>-3.714463158957777</v>
      </c>
      <c r="E31" s="8">
        <f t="shared" si="2"/>
        <v>3.714463158957777</v>
      </c>
      <c r="F31" s="8">
        <f t="shared" si="3"/>
        <v>13.797236559254587</v>
      </c>
      <c r="G31" s="5">
        <f t="shared" si="4"/>
        <v>9.7749030498888875E-2</v>
      </c>
    </row>
    <row r="32" spans="1:7" ht="15.75" customHeight="1">
      <c r="A32" s="3">
        <v>21581</v>
      </c>
      <c r="B32" s="4">
        <v>24</v>
      </c>
      <c r="C32">
        <f t="shared" si="0"/>
        <v>39.11433894768733</v>
      </c>
      <c r="D32" s="8">
        <f t="shared" si="1"/>
        <v>-15.11433894768733</v>
      </c>
      <c r="E32" s="8">
        <f t="shared" si="2"/>
        <v>15.11433894768733</v>
      </c>
      <c r="F32" s="8">
        <f t="shared" si="3"/>
        <v>228.44324182557813</v>
      </c>
      <c r="G32" s="5">
        <f t="shared" si="4"/>
        <v>0.62976412282030536</v>
      </c>
    </row>
    <row r="33" spans="1:7" ht="15.75" customHeight="1">
      <c r="A33" s="3">
        <v>21582</v>
      </c>
      <c r="B33" s="4">
        <v>23</v>
      </c>
      <c r="C33">
        <f t="shared" si="0"/>
        <v>28.534301684306193</v>
      </c>
      <c r="D33" s="8">
        <f t="shared" si="1"/>
        <v>-5.5343016843061932</v>
      </c>
      <c r="E33" s="8">
        <f t="shared" si="2"/>
        <v>5.5343016843061932</v>
      </c>
      <c r="F33" s="8">
        <f t="shared" si="3"/>
        <v>30.628495132914367</v>
      </c>
      <c r="G33" s="5">
        <f t="shared" si="4"/>
        <v>0.24062181236113883</v>
      </c>
    </row>
    <row r="34" spans="1:7" ht="15.75" customHeight="1">
      <c r="A34" s="3">
        <v>21583</v>
      </c>
      <c r="B34" s="4">
        <v>31</v>
      </c>
      <c r="C34">
        <f t="shared" si="0"/>
        <v>24.660290505291854</v>
      </c>
      <c r="D34" s="8">
        <f t="shared" si="1"/>
        <v>6.3397094947081456</v>
      </c>
      <c r="E34" s="8">
        <f t="shared" si="2"/>
        <v>6.3397094947081456</v>
      </c>
      <c r="F34" s="8">
        <f t="shared" si="3"/>
        <v>40.191916477292608</v>
      </c>
      <c r="G34" s="5">
        <f t="shared" si="4"/>
        <v>0.20450675789381115</v>
      </c>
    </row>
    <row r="35" spans="1:7" ht="15.75" customHeight="1">
      <c r="A35" s="3">
        <v>21584</v>
      </c>
      <c r="B35" s="4">
        <v>44</v>
      </c>
      <c r="C35">
        <f t="shared" si="0"/>
        <v>29.098087151587556</v>
      </c>
      <c r="D35" s="8">
        <f t="shared" si="1"/>
        <v>14.901912848412444</v>
      </c>
      <c r="E35" s="8">
        <f t="shared" si="2"/>
        <v>14.901912848412444</v>
      </c>
      <c r="F35" s="8">
        <f t="shared" si="3"/>
        <v>222.06700654167986</v>
      </c>
      <c r="G35" s="5">
        <f t="shared" si="4"/>
        <v>0.33867983746391916</v>
      </c>
    </row>
    <row r="36" spans="1:7" ht="15.75" customHeight="1">
      <c r="A36" s="3">
        <v>21585</v>
      </c>
      <c r="B36" s="4">
        <v>38</v>
      </c>
      <c r="C36">
        <f t="shared" si="0"/>
        <v>39.529426145476265</v>
      </c>
      <c r="D36" s="8">
        <f t="shared" si="1"/>
        <v>-1.5294261454762648</v>
      </c>
      <c r="E36" s="8">
        <f t="shared" si="2"/>
        <v>1.5294261454762648</v>
      </c>
      <c r="F36" s="8">
        <f t="shared" si="3"/>
        <v>2.3391443344663845</v>
      </c>
      <c r="G36" s="5">
        <f t="shared" si="4"/>
        <v>4.0248056459901704E-2</v>
      </c>
    </row>
    <row r="37" spans="1:7" ht="15.75" customHeight="1">
      <c r="A37" s="3">
        <v>21586</v>
      </c>
      <c r="B37" s="4">
        <v>50</v>
      </c>
      <c r="C37">
        <f t="shared" si="0"/>
        <v>38.458827843642879</v>
      </c>
      <c r="D37" s="8">
        <f t="shared" si="1"/>
        <v>11.541172156357121</v>
      </c>
      <c r="E37" s="8">
        <f t="shared" si="2"/>
        <v>11.541172156357121</v>
      </c>
      <c r="F37" s="8">
        <f t="shared" si="3"/>
        <v>133.19865474267286</v>
      </c>
      <c r="G37" s="5">
        <f t="shared" si="4"/>
        <v>0.23082344312714242</v>
      </c>
    </row>
    <row r="38" spans="1:7" ht="15.75" customHeight="1">
      <c r="A38" s="3">
        <v>21587</v>
      </c>
      <c r="B38" s="4">
        <v>38</v>
      </c>
      <c r="C38">
        <f t="shared" si="0"/>
        <v>46.537648353092862</v>
      </c>
      <c r="D38" s="8">
        <f t="shared" si="1"/>
        <v>-8.5376483530928624</v>
      </c>
      <c r="E38" s="8">
        <f t="shared" si="2"/>
        <v>8.5376483530928624</v>
      </c>
      <c r="F38" s="8">
        <f t="shared" si="3"/>
        <v>72.891439401069263</v>
      </c>
      <c r="G38" s="5">
        <f t="shared" si="4"/>
        <v>0.22467495666033849</v>
      </c>
    </row>
    <row r="39" spans="1:7" ht="15.75" customHeight="1">
      <c r="A39" s="3">
        <v>21588</v>
      </c>
      <c r="B39" s="4">
        <v>51</v>
      </c>
      <c r="C39">
        <f t="shared" si="0"/>
        <v>40.561294505927854</v>
      </c>
      <c r="D39" s="8">
        <f t="shared" si="1"/>
        <v>10.438705494072146</v>
      </c>
      <c r="E39" s="8">
        <f t="shared" si="2"/>
        <v>10.438705494072146</v>
      </c>
      <c r="F39" s="8">
        <f t="shared" si="3"/>
        <v>108.96657239197199</v>
      </c>
      <c r="G39" s="5">
        <f t="shared" si="4"/>
        <v>0.20468049988376755</v>
      </c>
    </row>
    <row r="40" spans="1:7" ht="15.75" customHeight="1">
      <c r="A40" s="3">
        <v>21589</v>
      </c>
      <c r="B40" s="4">
        <v>31</v>
      </c>
      <c r="C40">
        <f t="shared" si="0"/>
        <v>47.86838835177835</v>
      </c>
      <c r="D40" s="8">
        <f t="shared" si="1"/>
        <v>-16.86838835177835</v>
      </c>
      <c r="E40" s="8">
        <f t="shared" si="2"/>
        <v>16.86838835177835</v>
      </c>
      <c r="F40" s="8">
        <f t="shared" si="3"/>
        <v>284.5425255864115</v>
      </c>
      <c r="G40" s="5">
        <f t="shared" si="4"/>
        <v>0.54414155973478551</v>
      </c>
    </row>
    <row r="41" spans="1:7" ht="15.75" customHeight="1">
      <c r="A41" s="3">
        <v>21590</v>
      </c>
      <c r="B41" s="4">
        <v>31</v>
      </c>
      <c r="C41">
        <f t="shared" si="0"/>
        <v>36.060516505533506</v>
      </c>
      <c r="D41" s="8">
        <f t="shared" si="1"/>
        <v>-5.0605165055335064</v>
      </c>
      <c r="E41" s="8">
        <f t="shared" si="2"/>
        <v>5.0605165055335064</v>
      </c>
      <c r="F41" s="8">
        <f t="shared" si="3"/>
        <v>25.608827302777051</v>
      </c>
      <c r="G41" s="5">
        <f t="shared" si="4"/>
        <v>0.1632424679204357</v>
      </c>
    </row>
    <row r="42" spans="1:7" ht="15.75" customHeight="1">
      <c r="A42" s="3">
        <v>21591</v>
      </c>
      <c r="B42" s="4">
        <v>51</v>
      </c>
      <c r="C42">
        <f t="shared" si="0"/>
        <v>32.518154951660051</v>
      </c>
      <c r="D42" s="8">
        <f t="shared" si="1"/>
        <v>18.481845048339949</v>
      </c>
      <c r="E42" s="8">
        <f t="shared" si="2"/>
        <v>18.481845048339949</v>
      </c>
      <c r="F42" s="8">
        <f t="shared" si="3"/>
        <v>341.57859639084791</v>
      </c>
      <c r="G42" s="5">
        <f t="shared" si="4"/>
        <v>0.36238911859490097</v>
      </c>
    </row>
    <row r="43" spans="1:7" ht="15.75" customHeight="1">
      <c r="A43" s="3">
        <v>21592</v>
      </c>
      <c r="B43" s="4">
        <v>36</v>
      </c>
      <c r="C43">
        <f t="shared" si="0"/>
        <v>45.455446485498008</v>
      </c>
      <c r="D43" s="8">
        <f t="shared" si="1"/>
        <v>-9.4554464854980083</v>
      </c>
      <c r="E43" s="8">
        <f t="shared" si="2"/>
        <v>9.4554464854980083</v>
      </c>
      <c r="F43" s="8">
        <f t="shared" si="3"/>
        <v>89.405468240116633</v>
      </c>
      <c r="G43" s="5">
        <f t="shared" si="4"/>
        <v>0.26265129126383358</v>
      </c>
    </row>
    <row r="44" spans="1:7" ht="15.75" customHeight="1">
      <c r="A44" s="3">
        <v>21593</v>
      </c>
      <c r="B44" s="4">
        <v>45</v>
      </c>
      <c r="C44">
        <f t="shared" si="0"/>
        <v>38.836633945649403</v>
      </c>
      <c r="D44" s="8">
        <f t="shared" si="1"/>
        <v>6.1633660543505968</v>
      </c>
      <c r="E44" s="8">
        <f t="shared" si="2"/>
        <v>6.1633660543505968</v>
      </c>
      <c r="F44" s="8">
        <f t="shared" si="3"/>
        <v>37.987081119921243</v>
      </c>
      <c r="G44" s="5">
        <f t="shared" si="4"/>
        <v>0.13696369009667994</v>
      </c>
    </row>
    <row r="45" spans="1:7" ht="15.75" customHeight="1">
      <c r="A45" s="3">
        <v>21594</v>
      </c>
      <c r="B45" s="4">
        <v>51</v>
      </c>
      <c r="C45">
        <f t="shared" si="0"/>
        <v>43.150990183694816</v>
      </c>
      <c r="D45" s="8">
        <f t="shared" si="1"/>
        <v>7.849009816305184</v>
      </c>
      <c r="E45" s="8">
        <f t="shared" si="2"/>
        <v>7.849009816305184</v>
      </c>
      <c r="F45" s="8">
        <f t="shared" si="3"/>
        <v>61.606955096455138</v>
      </c>
      <c r="G45" s="5">
        <f t="shared" si="4"/>
        <v>0.15390215326088597</v>
      </c>
    </row>
    <row r="46" spans="1:7" ht="15.75" customHeight="1">
      <c r="A46" s="3">
        <v>21595</v>
      </c>
      <c r="B46" s="4">
        <v>34</v>
      </c>
      <c r="C46">
        <f t="shared" si="0"/>
        <v>48.645297055108443</v>
      </c>
      <c r="D46" s="8">
        <f t="shared" si="1"/>
        <v>-14.645297055108443</v>
      </c>
      <c r="E46" s="8">
        <f t="shared" si="2"/>
        <v>14.645297055108443</v>
      </c>
      <c r="F46" s="8">
        <f t="shared" si="3"/>
        <v>214.48472583236804</v>
      </c>
      <c r="G46" s="5">
        <f t="shared" si="4"/>
        <v>0.43074403103260128</v>
      </c>
    </row>
    <row r="47" spans="1:7" ht="15.75" customHeight="1">
      <c r="A47" s="3">
        <v>21596</v>
      </c>
      <c r="B47" s="4">
        <v>52</v>
      </c>
      <c r="C47">
        <f t="shared" si="0"/>
        <v>38.393589116532532</v>
      </c>
      <c r="D47" s="8">
        <f t="shared" si="1"/>
        <v>13.606410883467468</v>
      </c>
      <c r="E47" s="8">
        <f t="shared" si="2"/>
        <v>13.606410883467468</v>
      </c>
      <c r="F47" s="8">
        <f t="shared" si="3"/>
        <v>185.13441712974196</v>
      </c>
      <c r="G47" s="5">
        <f t="shared" si="4"/>
        <v>0.26166174775898976</v>
      </c>
    </row>
    <row r="48" spans="1:7" ht="15.75" customHeight="1">
      <c r="A48" s="3">
        <v>21597</v>
      </c>
      <c r="B48" s="4">
        <v>47</v>
      </c>
      <c r="C48">
        <f t="shared" si="0"/>
        <v>47.918076734959755</v>
      </c>
      <c r="D48" s="8">
        <f t="shared" si="1"/>
        <v>-0.9180767349597545</v>
      </c>
      <c r="E48" s="8">
        <f t="shared" si="2"/>
        <v>0.9180767349597545</v>
      </c>
      <c r="F48" s="8">
        <f t="shared" si="3"/>
        <v>0.84286489127436337</v>
      </c>
      <c r="G48" s="5">
        <f t="shared" si="4"/>
        <v>1.9533547552335204E-2</v>
      </c>
    </row>
    <row r="49" spans="1:7" ht="15.75" customHeight="1">
      <c r="A49" s="3">
        <v>21598</v>
      </c>
      <c r="B49" s="4">
        <v>45</v>
      </c>
      <c r="C49">
        <f t="shared" si="0"/>
        <v>47.275423020487921</v>
      </c>
      <c r="D49" s="8">
        <f t="shared" si="1"/>
        <v>-2.2754230204879207</v>
      </c>
      <c r="E49" s="8">
        <f t="shared" si="2"/>
        <v>2.2754230204879207</v>
      </c>
      <c r="F49" s="8">
        <f t="shared" si="3"/>
        <v>5.1775499221663726</v>
      </c>
      <c r="G49" s="5">
        <f t="shared" si="4"/>
        <v>5.0564956010842682E-2</v>
      </c>
    </row>
    <row r="50" spans="1:7" ht="15.75" customHeight="1">
      <c r="A50" s="3">
        <v>21599</v>
      </c>
      <c r="B50" s="4">
        <v>46</v>
      </c>
      <c r="C50">
        <f t="shared" si="0"/>
        <v>45.682626906146375</v>
      </c>
      <c r="D50" s="8">
        <f t="shared" si="1"/>
        <v>0.31737309385362522</v>
      </c>
      <c r="E50" s="8">
        <f t="shared" si="2"/>
        <v>0.31737309385362522</v>
      </c>
      <c r="F50" s="8">
        <f t="shared" si="3"/>
        <v>0.100725680702222</v>
      </c>
      <c r="G50" s="5">
        <f t="shared" si="4"/>
        <v>6.8994150837744612E-3</v>
      </c>
    </row>
    <row r="51" spans="1:7" ht="15.75" customHeight="1">
      <c r="A51" s="3">
        <v>21600</v>
      </c>
      <c r="B51" s="4">
        <v>39</v>
      </c>
      <c r="C51">
        <f t="shared" si="0"/>
        <v>45.90478807184391</v>
      </c>
      <c r="D51" s="8">
        <f t="shared" si="1"/>
        <v>-6.9047880718439103</v>
      </c>
      <c r="E51" s="8">
        <f t="shared" si="2"/>
        <v>6.9047880718439103</v>
      </c>
      <c r="F51" s="8">
        <f t="shared" si="3"/>
        <v>47.676098317077944</v>
      </c>
      <c r="G51" s="5">
        <f t="shared" si="4"/>
        <v>0.17704584799599771</v>
      </c>
    </row>
    <row r="52" spans="1:7" ht="15.75" customHeight="1">
      <c r="A52" s="3">
        <v>21601</v>
      </c>
      <c r="B52" s="4">
        <v>48</v>
      </c>
      <c r="C52">
        <f t="shared" si="0"/>
        <v>41.071436421553173</v>
      </c>
      <c r="D52" s="8">
        <f t="shared" si="1"/>
        <v>6.9285635784468269</v>
      </c>
      <c r="E52" s="8">
        <f t="shared" si="2"/>
        <v>6.9285635784468269</v>
      </c>
      <c r="F52" s="8">
        <f t="shared" si="3"/>
        <v>48.004993260579901</v>
      </c>
      <c r="G52" s="5">
        <f t="shared" si="4"/>
        <v>0.14434507455097556</v>
      </c>
    </row>
    <row r="53" spans="1:7" ht="15.75" customHeight="1">
      <c r="A53" s="3">
        <v>21602</v>
      </c>
      <c r="B53" s="4">
        <v>37</v>
      </c>
      <c r="C53">
        <f t="shared" si="0"/>
        <v>45.921430926465945</v>
      </c>
      <c r="D53" s="8">
        <f t="shared" si="1"/>
        <v>-8.9214309264659448</v>
      </c>
      <c r="E53" s="8">
        <f t="shared" si="2"/>
        <v>8.9214309264659448</v>
      </c>
      <c r="F53" s="8">
        <f t="shared" si="3"/>
        <v>79.591929775703008</v>
      </c>
      <c r="G53" s="5">
        <f t="shared" si="4"/>
        <v>0.24111975476934985</v>
      </c>
    </row>
    <row r="54" spans="1:7" ht="15.75" customHeight="1">
      <c r="A54" s="3">
        <v>21603</v>
      </c>
      <c r="B54" s="4">
        <v>35</v>
      </c>
      <c r="C54">
        <f t="shared" si="0"/>
        <v>39.676429277939782</v>
      </c>
      <c r="D54" s="8">
        <f t="shared" si="1"/>
        <v>-4.676429277939782</v>
      </c>
      <c r="E54" s="8">
        <f t="shared" si="2"/>
        <v>4.676429277939782</v>
      </c>
      <c r="F54" s="8">
        <f t="shared" si="3"/>
        <v>21.86899079157239</v>
      </c>
      <c r="G54" s="5">
        <f t="shared" si="4"/>
        <v>0.13361226508399376</v>
      </c>
    </row>
    <row r="55" spans="1:7" ht="15.75" customHeight="1">
      <c r="A55" s="3">
        <v>21604</v>
      </c>
      <c r="B55" s="4">
        <v>52</v>
      </c>
      <c r="C55">
        <f t="shared" si="0"/>
        <v>36.402928783381938</v>
      </c>
      <c r="D55" s="8">
        <f t="shared" si="1"/>
        <v>15.597071216618062</v>
      </c>
      <c r="E55" s="8">
        <f t="shared" si="2"/>
        <v>15.597071216618062</v>
      </c>
      <c r="F55" s="8">
        <f t="shared" si="3"/>
        <v>243.26863053625561</v>
      </c>
      <c r="G55" s="5">
        <f t="shared" si="4"/>
        <v>0.29994367724265503</v>
      </c>
    </row>
    <row r="56" spans="1:7" ht="15.75" customHeight="1">
      <c r="A56" s="3">
        <v>21605</v>
      </c>
      <c r="B56" s="4">
        <v>42</v>
      </c>
      <c r="C56">
        <f t="shared" si="0"/>
        <v>47.32087863501458</v>
      </c>
      <c r="D56" s="8">
        <f t="shared" si="1"/>
        <v>-5.32087863501458</v>
      </c>
      <c r="E56" s="8">
        <f t="shared" si="2"/>
        <v>5.32087863501458</v>
      </c>
      <c r="F56" s="8">
        <f t="shared" si="3"/>
        <v>28.311749448554622</v>
      </c>
      <c r="G56" s="5">
        <f t="shared" si="4"/>
        <v>0.12668758654796619</v>
      </c>
    </row>
    <row r="57" spans="1:7" ht="15.75" customHeight="1">
      <c r="A57" s="3">
        <v>21606</v>
      </c>
      <c r="B57" s="4">
        <v>45</v>
      </c>
      <c r="C57">
        <f t="shared" si="0"/>
        <v>43.596263590504371</v>
      </c>
      <c r="D57" s="8">
        <f t="shared" si="1"/>
        <v>1.4037364094956288</v>
      </c>
      <c r="E57" s="8">
        <f t="shared" si="2"/>
        <v>1.4037364094956288</v>
      </c>
      <c r="F57" s="8">
        <f t="shared" si="3"/>
        <v>1.9704759073436797</v>
      </c>
      <c r="G57" s="5">
        <f t="shared" si="4"/>
        <v>3.1194142433236198E-2</v>
      </c>
    </row>
    <row r="58" spans="1:7" ht="15.75" customHeight="1">
      <c r="A58" s="3">
        <v>21607</v>
      </c>
      <c r="B58" s="4">
        <v>39</v>
      </c>
      <c r="C58">
        <f t="shared" si="0"/>
        <v>44.578879077151306</v>
      </c>
      <c r="D58" s="8">
        <f t="shared" si="1"/>
        <v>-5.5788790771513064</v>
      </c>
      <c r="E58" s="8">
        <f t="shared" si="2"/>
        <v>5.5788790771513064</v>
      </c>
      <c r="F58" s="8">
        <f t="shared" si="3"/>
        <v>31.123891757476613</v>
      </c>
      <c r="G58" s="5">
        <f t="shared" si="4"/>
        <v>0.14304818146541812</v>
      </c>
    </row>
    <row r="59" spans="1:7" ht="15.75" customHeight="1">
      <c r="A59" s="3">
        <v>21608</v>
      </c>
      <c r="B59" s="4">
        <v>37</v>
      </c>
      <c r="C59">
        <f t="shared" si="0"/>
        <v>40.673663723145388</v>
      </c>
      <c r="D59" s="8">
        <f t="shared" si="1"/>
        <v>-3.6736637231453884</v>
      </c>
      <c r="E59" s="8">
        <f t="shared" si="2"/>
        <v>3.6736637231453884</v>
      </c>
      <c r="F59" s="8">
        <f t="shared" si="3"/>
        <v>13.495805150754437</v>
      </c>
      <c r="G59" s="5">
        <f t="shared" si="4"/>
        <v>9.928820873365915E-2</v>
      </c>
    </row>
    <row r="60" spans="1:7" ht="15.75" customHeight="1">
      <c r="A60" s="3">
        <v>21609</v>
      </c>
      <c r="B60" s="4">
        <v>30</v>
      </c>
      <c r="C60">
        <f t="shared" si="0"/>
        <v>38.102099116943613</v>
      </c>
      <c r="D60" s="8">
        <f t="shared" si="1"/>
        <v>-8.102099116943613</v>
      </c>
      <c r="E60" s="8">
        <f t="shared" si="2"/>
        <v>8.102099116943613</v>
      </c>
      <c r="F60" s="8">
        <f t="shared" si="3"/>
        <v>65.644010100778473</v>
      </c>
      <c r="G60" s="5">
        <f t="shared" si="4"/>
        <v>0.2700699705647871</v>
      </c>
    </row>
    <row r="61" spans="1:7" ht="15.75" customHeight="1">
      <c r="A61" s="3">
        <v>21610</v>
      </c>
      <c r="B61" s="4">
        <v>35</v>
      </c>
      <c r="C61">
        <f t="shared" si="0"/>
        <v>32.430629735083087</v>
      </c>
      <c r="D61" s="8">
        <f t="shared" si="1"/>
        <v>2.5693702649169126</v>
      </c>
      <c r="E61" s="8">
        <f t="shared" si="2"/>
        <v>2.5693702649169126</v>
      </c>
      <c r="F61" s="8">
        <f t="shared" si="3"/>
        <v>6.6016635582392054</v>
      </c>
      <c r="G61" s="5">
        <f t="shared" si="4"/>
        <v>7.3410578997626069E-2</v>
      </c>
    </row>
    <row r="62" spans="1:7" ht="15.75" customHeight="1">
      <c r="A62" s="3">
        <v>21611</v>
      </c>
      <c r="B62" s="4">
        <v>28</v>
      </c>
      <c r="C62">
        <f t="shared" si="0"/>
        <v>34.229188920524926</v>
      </c>
      <c r="D62" s="8">
        <f t="shared" si="1"/>
        <v>-6.2291889205249262</v>
      </c>
      <c r="E62" s="8">
        <f t="shared" si="2"/>
        <v>6.2291889205249262</v>
      </c>
      <c r="F62" s="8">
        <f t="shared" si="3"/>
        <v>38.802794607590499</v>
      </c>
      <c r="G62" s="5">
        <f t="shared" si="4"/>
        <v>0.22247103287589023</v>
      </c>
    </row>
    <row r="63" spans="1:7" ht="15.75" customHeight="1">
      <c r="A63" s="3">
        <v>21612</v>
      </c>
      <c r="B63" s="4">
        <v>45</v>
      </c>
      <c r="C63">
        <f t="shared" si="0"/>
        <v>29.868756676157474</v>
      </c>
      <c r="D63" s="8">
        <f t="shared" si="1"/>
        <v>15.131243323842526</v>
      </c>
      <c r="E63" s="8">
        <f t="shared" si="2"/>
        <v>15.131243323842526</v>
      </c>
      <c r="F63" s="8">
        <f t="shared" si="3"/>
        <v>228.95452452532899</v>
      </c>
      <c r="G63" s="5">
        <f t="shared" si="4"/>
        <v>0.33624985164094501</v>
      </c>
    </row>
    <row r="64" spans="1:7" ht="15.75" customHeight="1">
      <c r="A64" s="3">
        <v>21613</v>
      </c>
      <c r="B64" s="4">
        <v>34</v>
      </c>
      <c r="C64">
        <f t="shared" si="0"/>
        <v>40.460627002847239</v>
      </c>
      <c r="D64" s="8">
        <f t="shared" si="1"/>
        <v>-6.4606270028472395</v>
      </c>
      <c r="E64" s="8">
        <f t="shared" si="2"/>
        <v>6.4606270028472395</v>
      </c>
      <c r="F64" s="8">
        <f t="shared" si="3"/>
        <v>41.739701269918903</v>
      </c>
      <c r="G64" s="5">
        <f t="shared" si="4"/>
        <v>0.19001844126021292</v>
      </c>
    </row>
    <row r="65" spans="1:7" ht="15.75" customHeight="1">
      <c r="A65" s="3">
        <v>21614</v>
      </c>
      <c r="B65" s="4">
        <v>36</v>
      </c>
      <c r="C65">
        <f t="shared" si="0"/>
        <v>35.93818810085417</v>
      </c>
      <c r="D65" s="8">
        <f t="shared" si="1"/>
        <v>6.1811899145830296E-2</v>
      </c>
      <c r="E65" s="8">
        <f t="shared" si="2"/>
        <v>6.1811899145830296E-2</v>
      </c>
      <c r="F65" s="8">
        <f t="shared" si="3"/>
        <v>3.820710876014296E-3</v>
      </c>
      <c r="G65" s="5">
        <f t="shared" si="4"/>
        <v>1.716997198495286E-3</v>
      </c>
    </row>
    <row r="66" spans="1:7" ht="15.75" customHeight="1">
      <c r="A66" s="3">
        <v>21615</v>
      </c>
      <c r="B66" s="4">
        <v>50</v>
      </c>
      <c r="C66">
        <f t="shared" si="0"/>
        <v>35.981456430256252</v>
      </c>
      <c r="D66" s="8">
        <f t="shared" si="1"/>
        <v>14.018543569743748</v>
      </c>
      <c r="E66" s="8">
        <f t="shared" si="2"/>
        <v>14.018543569743748</v>
      </c>
      <c r="F66" s="8">
        <f t="shared" si="3"/>
        <v>196.51956381680378</v>
      </c>
      <c r="G66" s="5">
        <f t="shared" si="4"/>
        <v>0.28037087139487499</v>
      </c>
    </row>
    <row r="67" spans="1:7" ht="15.75" customHeight="1">
      <c r="A67" s="3">
        <v>21616</v>
      </c>
      <c r="B67" s="4">
        <v>44</v>
      </c>
      <c r="C67">
        <f t="shared" si="0"/>
        <v>45.794436929076873</v>
      </c>
      <c r="D67" s="8">
        <f t="shared" si="1"/>
        <v>-1.7944369290768734</v>
      </c>
      <c r="E67" s="8">
        <f t="shared" si="2"/>
        <v>1.7944369290768734</v>
      </c>
      <c r="F67" s="8">
        <f t="shared" si="3"/>
        <v>3.22000389243484</v>
      </c>
      <c r="G67" s="5">
        <f t="shared" si="4"/>
        <v>4.0782657479019851E-2</v>
      </c>
    </row>
    <row r="68" spans="1:7" ht="15.75" customHeight="1">
      <c r="A68" s="3">
        <v>21617</v>
      </c>
      <c r="B68" s="4">
        <v>39</v>
      </c>
      <c r="C68">
        <f t="shared" ref="C68:C131" si="5">0.7*B67+0.3*C67</f>
        <v>44.538331078723061</v>
      </c>
      <c r="D68" s="8">
        <f t="shared" ref="D68:D131" si="6">B68-C68</f>
        <v>-5.5383310787230613</v>
      </c>
      <c r="E68" s="8">
        <f t="shared" ref="E68:E131" si="7">ABS(D68)</f>
        <v>5.5383310787230613</v>
      </c>
      <c r="F68" s="8">
        <f t="shared" ref="F68:F131" si="8">E68^2</f>
        <v>30.673111137549746</v>
      </c>
      <c r="G68" s="5">
        <f t="shared" ref="G68:G131" si="9">E68/B68</f>
        <v>0.14200848919802722</v>
      </c>
    </row>
    <row r="69" spans="1:7" ht="15.75" customHeight="1">
      <c r="A69" s="3">
        <v>21618</v>
      </c>
      <c r="B69" s="4">
        <v>32</v>
      </c>
      <c r="C69">
        <f t="shared" si="5"/>
        <v>40.661499323616916</v>
      </c>
      <c r="D69" s="8">
        <f t="shared" si="6"/>
        <v>-8.6614993236169155</v>
      </c>
      <c r="E69" s="8">
        <f t="shared" si="7"/>
        <v>8.6614993236169155</v>
      </c>
      <c r="F69" s="8">
        <f t="shared" si="8"/>
        <v>75.021570533016288</v>
      </c>
      <c r="G69" s="5">
        <f t="shared" si="9"/>
        <v>0.27067185386302861</v>
      </c>
    </row>
    <row r="70" spans="1:7" ht="15.75" customHeight="1">
      <c r="A70" s="3">
        <v>21619</v>
      </c>
      <c r="B70" s="4">
        <v>39</v>
      </c>
      <c r="C70">
        <f t="shared" si="5"/>
        <v>34.598449797085074</v>
      </c>
      <c r="D70" s="8">
        <f t="shared" si="6"/>
        <v>4.401550202914926</v>
      </c>
      <c r="E70" s="8">
        <f t="shared" si="7"/>
        <v>4.401550202914926</v>
      </c>
      <c r="F70" s="8">
        <f t="shared" si="8"/>
        <v>19.373644188780428</v>
      </c>
      <c r="G70" s="5">
        <f t="shared" si="9"/>
        <v>0.11286026161320323</v>
      </c>
    </row>
    <row r="71" spans="1:7" ht="15.75" customHeight="1">
      <c r="A71" s="3">
        <v>21620</v>
      </c>
      <c r="B71" s="4">
        <v>45</v>
      </c>
      <c r="C71">
        <f t="shared" si="5"/>
        <v>37.679534939125517</v>
      </c>
      <c r="D71" s="8">
        <f t="shared" si="6"/>
        <v>7.3204650608744828</v>
      </c>
      <c r="E71" s="8">
        <f t="shared" si="7"/>
        <v>7.3204650608744828</v>
      </c>
      <c r="F71" s="8">
        <f t="shared" si="8"/>
        <v>53.589208707484048</v>
      </c>
      <c r="G71" s="5">
        <f t="shared" si="9"/>
        <v>0.16267700135276628</v>
      </c>
    </row>
    <row r="72" spans="1:7" ht="15.75" customHeight="1">
      <c r="A72" s="3">
        <v>21621</v>
      </c>
      <c r="B72" s="4">
        <v>43</v>
      </c>
      <c r="C72">
        <f t="shared" si="5"/>
        <v>42.803860481737651</v>
      </c>
      <c r="D72" s="8">
        <f t="shared" si="6"/>
        <v>0.1961395182623491</v>
      </c>
      <c r="E72" s="8">
        <f t="shared" si="7"/>
        <v>0.1961395182623491</v>
      </c>
      <c r="F72" s="8">
        <f t="shared" si="8"/>
        <v>3.8470710624186374E-2</v>
      </c>
      <c r="G72" s="5">
        <f t="shared" si="9"/>
        <v>4.5613841456360257E-3</v>
      </c>
    </row>
    <row r="73" spans="1:7" ht="15.75" customHeight="1">
      <c r="A73" s="3">
        <v>21622</v>
      </c>
      <c r="B73" s="4">
        <v>39</v>
      </c>
      <c r="C73">
        <f t="shared" si="5"/>
        <v>42.941158144521296</v>
      </c>
      <c r="D73" s="8">
        <f t="shared" si="6"/>
        <v>-3.941158144521296</v>
      </c>
      <c r="E73" s="8">
        <f t="shared" si="7"/>
        <v>3.941158144521296</v>
      </c>
      <c r="F73" s="8">
        <f t="shared" si="8"/>
        <v>15.532727520126544</v>
      </c>
      <c r="G73" s="5">
        <f t="shared" si="9"/>
        <v>0.10105533703900758</v>
      </c>
    </row>
    <row r="74" spans="1:7" ht="15.75" customHeight="1">
      <c r="A74" s="3">
        <v>21623</v>
      </c>
      <c r="B74" s="4">
        <v>31</v>
      </c>
      <c r="C74">
        <f t="shared" si="5"/>
        <v>40.182347443356385</v>
      </c>
      <c r="D74" s="8">
        <f t="shared" si="6"/>
        <v>-9.1823474433563845</v>
      </c>
      <c r="E74" s="8">
        <f t="shared" si="7"/>
        <v>9.1823474433563845</v>
      </c>
      <c r="F74" s="8">
        <f t="shared" si="8"/>
        <v>84.315504570513525</v>
      </c>
      <c r="G74" s="5">
        <f t="shared" si="9"/>
        <v>0.29620475623730275</v>
      </c>
    </row>
    <row r="75" spans="1:7" ht="15.75" customHeight="1">
      <c r="A75" s="3">
        <v>21624</v>
      </c>
      <c r="B75" s="4">
        <v>27</v>
      </c>
      <c r="C75">
        <f t="shared" si="5"/>
        <v>33.754704233006912</v>
      </c>
      <c r="D75" s="8">
        <f t="shared" si="6"/>
        <v>-6.7547042330069118</v>
      </c>
      <c r="E75" s="8">
        <f t="shared" si="7"/>
        <v>6.7547042330069118</v>
      </c>
      <c r="F75" s="8">
        <f t="shared" si="8"/>
        <v>45.626029275401493</v>
      </c>
      <c r="G75" s="5">
        <f t="shared" si="9"/>
        <v>0.25017423085210783</v>
      </c>
    </row>
    <row r="76" spans="1:7" ht="15.75" customHeight="1">
      <c r="A76" s="3">
        <v>21625</v>
      </c>
      <c r="B76" s="4">
        <v>30</v>
      </c>
      <c r="C76">
        <f t="shared" si="5"/>
        <v>29.02641126990207</v>
      </c>
      <c r="D76" s="8">
        <f t="shared" si="6"/>
        <v>0.97358873009793001</v>
      </c>
      <c r="E76" s="8">
        <f t="shared" si="7"/>
        <v>0.97358873009793001</v>
      </c>
      <c r="F76" s="8">
        <f t="shared" si="8"/>
        <v>0.9478750153737</v>
      </c>
      <c r="G76" s="5">
        <f t="shared" si="9"/>
        <v>3.2452957669930997E-2</v>
      </c>
    </row>
    <row r="77" spans="1:7" ht="15.75" customHeight="1">
      <c r="A77" s="3">
        <v>21626</v>
      </c>
      <c r="B77" s="4">
        <v>42</v>
      </c>
      <c r="C77">
        <f t="shared" si="5"/>
        <v>29.70792338097062</v>
      </c>
      <c r="D77" s="8">
        <f t="shared" si="6"/>
        <v>12.29207661902938</v>
      </c>
      <c r="E77" s="8">
        <f t="shared" si="7"/>
        <v>12.29207661902938</v>
      </c>
      <c r="F77" s="8">
        <f t="shared" si="8"/>
        <v>151.09514760808875</v>
      </c>
      <c r="G77" s="5">
        <f t="shared" si="9"/>
        <v>0.29266849092927094</v>
      </c>
    </row>
    <row r="78" spans="1:7" ht="15.75" customHeight="1">
      <c r="A78" s="3">
        <v>21627</v>
      </c>
      <c r="B78" s="4">
        <v>46</v>
      </c>
      <c r="C78">
        <f t="shared" si="5"/>
        <v>38.312377014291187</v>
      </c>
      <c r="D78" s="8">
        <f t="shared" si="6"/>
        <v>7.6876229857088134</v>
      </c>
      <c r="E78" s="8">
        <f t="shared" si="7"/>
        <v>7.6876229857088134</v>
      </c>
      <c r="F78" s="8">
        <f t="shared" si="8"/>
        <v>59.099547170398488</v>
      </c>
      <c r="G78" s="5">
        <f t="shared" si="9"/>
        <v>0.16712223881975682</v>
      </c>
    </row>
    <row r="79" spans="1:7" ht="15.75" customHeight="1">
      <c r="A79" s="3">
        <v>21628</v>
      </c>
      <c r="B79" s="4">
        <v>41</v>
      </c>
      <c r="C79">
        <f t="shared" si="5"/>
        <v>43.693713104287355</v>
      </c>
      <c r="D79" s="8">
        <f t="shared" si="6"/>
        <v>-2.6937131042873546</v>
      </c>
      <c r="E79" s="8">
        <f t="shared" si="7"/>
        <v>2.6937131042873546</v>
      </c>
      <c r="F79" s="8">
        <f t="shared" si="8"/>
        <v>7.2560902882094167</v>
      </c>
      <c r="G79" s="5">
        <f t="shared" si="9"/>
        <v>6.5700319616764744E-2</v>
      </c>
    </row>
    <row r="80" spans="1:7" ht="15.75" customHeight="1">
      <c r="A80" s="3">
        <v>21629</v>
      </c>
      <c r="B80" s="4">
        <v>36</v>
      </c>
      <c r="C80">
        <f t="shared" si="5"/>
        <v>41.808113931286208</v>
      </c>
      <c r="D80" s="8">
        <f t="shared" si="6"/>
        <v>-5.8081139312862078</v>
      </c>
      <c r="E80" s="8">
        <f t="shared" si="7"/>
        <v>5.8081139312862078</v>
      </c>
      <c r="F80" s="8">
        <f t="shared" si="8"/>
        <v>33.73418743880093</v>
      </c>
      <c r="G80" s="5">
        <f t="shared" si="9"/>
        <v>0.16133649809128356</v>
      </c>
    </row>
    <row r="81" spans="1:7" ht="15.75" customHeight="1">
      <c r="A81" s="3">
        <v>21630</v>
      </c>
      <c r="B81" s="4">
        <v>45</v>
      </c>
      <c r="C81">
        <f t="shared" si="5"/>
        <v>37.74243417938586</v>
      </c>
      <c r="D81" s="8">
        <f t="shared" si="6"/>
        <v>7.2575658206141398</v>
      </c>
      <c r="E81" s="8">
        <f t="shared" si="7"/>
        <v>7.2575658206141398</v>
      </c>
      <c r="F81" s="8">
        <f t="shared" si="8"/>
        <v>52.672261640546594</v>
      </c>
      <c r="G81" s="5">
        <f t="shared" si="9"/>
        <v>0.161279240458092</v>
      </c>
    </row>
    <row r="82" spans="1:7" ht="15.75" customHeight="1">
      <c r="A82" s="3">
        <v>21631</v>
      </c>
      <c r="B82" s="4">
        <v>46</v>
      </c>
      <c r="C82">
        <f t="shared" si="5"/>
        <v>42.822730253815756</v>
      </c>
      <c r="D82" s="8">
        <f t="shared" si="6"/>
        <v>3.1772697461842441</v>
      </c>
      <c r="E82" s="8">
        <f t="shared" si="7"/>
        <v>3.1772697461842441</v>
      </c>
      <c r="F82" s="8">
        <f t="shared" si="8"/>
        <v>10.095043040017691</v>
      </c>
      <c r="G82" s="5">
        <f t="shared" si="9"/>
        <v>6.9071081438787915E-2</v>
      </c>
    </row>
    <row r="83" spans="1:7" ht="15.75" customHeight="1">
      <c r="A83" s="3">
        <v>21632</v>
      </c>
      <c r="B83" s="4">
        <v>43</v>
      </c>
      <c r="C83">
        <f t="shared" si="5"/>
        <v>45.046819076144722</v>
      </c>
      <c r="D83" s="8">
        <f t="shared" si="6"/>
        <v>-2.0468190761447218</v>
      </c>
      <c r="E83" s="8">
        <f t="shared" si="7"/>
        <v>2.0468190761447218</v>
      </c>
      <c r="F83" s="8">
        <f t="shared" si="8"/>
        <v>4.1894683304699321</v>
      </c>
      <c r="G83" s="5">
        <f t="shared" si="9"/>
        <v>4.7600443631272603E-2</v>
      </c>
    </row>
    <row r="84" spans="1:7" ht="15.75" customHeight="1">
      <c r="A84" s="3">
        <v>21633</v>
      </c>
      <c r="B84" s="4">
        <v>38</v>
      </c>
      <c r="C84">
        <f t="shared" si="5"/>
        <v>43.614045722843414</v>
      </c>
      <c r="D84" s="8">
        <f t="shared" si="6"/>
        <v>-5.6140457228434144</v>
      </c>
      <c r="E84" s="8">
        <f t="shared" si="7"/>
        <v>5.6140457228434144</v>
      </c>
      <c r="F84" s="8">
        <f t="shared" si="8"/>
        <v>31.517509378176435</v>
      </c>
      <c r="G84" s="5">
        <f t="shared" si="9"/>
        <v>0.1477380453379846</v>
      </c>
    </row>
    <row r="85" spans="1:7" ht="15.75" customHeight="1">
      <c r="A85" s="3">
        <v>21634</v>
      </c>
      <c r="B85" s="4">
        <v>34</v>
      </c>
      <c r="C85">
        <f t="shared" si="5"/>
        <v>39.684213716853023</v>
      </c>
      <c r="D85" s="8">
        <f t="shared" si="6"/>
        <v>-5.6842137168530229</v>
      </c>
      <c r="E85" s="8">
        <f t="shared" si="7"/>
        <v>5.6842137168530229</v>
      </c>
      <c r="F85" s="8">
        <f t="shared" si="8"/>
        <v>32.310285578860061</v>
      </c>
      <c r="G85" s="5">
        <f t="shared" si="9"/>
        <v>0.1671827563780301</v>
      </c>
    </row>
    <row r="86" spans="1:7" ht="15.75" customHeight="1">
      <c r="A86" s="3">
        <v>21635</v>
      </c>
      <c r="B86" s="4">
        <v>35</v>
      </c>
      <c r="C86">
        <f t="shared" si="5"/>
        <v>35.705264115055904</v>
      </c>
      <c r="D86" s="8">
        <f t="shared" si="6"/>
        <v>-0.70526411505590403</v>
      </c>
      <c r="E86" s="8">
        <f t="shared" si="7"/>
        <v>0.70526411505590403</v>
      </c>
      <c r="F86" s="8">
        <f t="shared" si="8"/>
        <v>0.49739747198558742</v>
      </c>
      <c r="G86" s="5">
        <f t="shared" si="9"/>
        <v>2.0150403287311543E-2</v>
      </c>
    </row>
    <row r="87" spans="1:7" ht="15.75" customHeight="1">
      <c r="A87" s="3">
        <v>21636</v>
      </c>
      <c r="B87" s="4">
        <v>56</v>
      </c>
      <c r="C87">
        <f t="shared" si="5"/>
        <v>35.211579234516769</v>
      </c>
      <c r="D87" s="8">
        <f t="shared" si="6"/>
        <v>20.788420765483231</v>
      </c>
      <c r="E87" s="8">
        <f t="shared" si="7"/>
        <v>20.788420765483231</v>
      </c>
      <c r="F87" s="8">
        <f t="shared" si="8"/>
        <v>432.1584379227744</v>
      </c>
      <c r="G87" s="5">
        <f t="shared" si="9"/>
        <v>0.37122179938362915</v>
      </c>
    </row>
    <row r="88" spans="1:7" ht="15.75" customHeight="1">
      <c r="A88" s="3">
        <v>21637</v>
      </c>
      <c r="B88" s="4">
        <v>36</v>
      </c>
      <c r="C88">
        <f t="shared" si="5"/>
        <v>49.763473770355027</v>
      </c>
      <c r="D88" s="8">
        <f t="shared" si="6"/>
        <v>-13.763473770355027</v>
      </c>
      <c r="E88" s="8">
        <f t="shared" si="7"/>
        <v>13.763473770355027</v>
      </c>
      <c r="F88" s="8">
        <f t="shared" si="8"/>
        <v>189.43321022725084</v>
      </c>
      <c r="G88" s="5">
        <f t="shared" si="9"/>
        <v>0.38231871584319521</v>
      </c>
    </row>
    <row r="89" spans="1:7" ht="15.75" customHeight="1">
      <c r="A89" s="3">
        <v>21638</v>
      </c>
      <c r="B89" s="4">
        <v>32</v>
      </c>
      <c r="C89">
        <f t="shared" si="5"/>
        <v>40.129042131106509</v>
      </c>
      <c r="D89" s="8">
        <f t="shared" si="6"/>
        <v>-8.1290421311065089</v>
      </c>
      <c r="E89" s="8">
        <f t="shared" si="7"/>
        <v>8.1290421311065089</v>
      </c>
      <c r="F89" s="8">
        <f t="shared" si="8"/>
        <v>66.081325969304658</v>
      </c>
      <c r="G89" s="5">
        <f t="shared" si="9"/>
        <v>0.2540325665970784</v>
      </c>
    </row>
    <row r="90" spans="1:7" ht="15.75" customHeight="1">
      <c r="A90" s="3">
        <v>21639</v>
      </c>
      <c r="B90" s="4">
        <v>50</v>
      </c>
      <c r="C90">
        <f t="shared" si="5"/>
        <v>34.438712639331953</v>
      </c>
      <c r="D90" s="8">
        <f t="shared" si="6"/>
        <v>15.561287360668047</v>
      </c>
      <c r="E90" s="8">
        <f t="shared" si="7"/>
        <v>15.561287360668047</v>
      </c>
      <c r="F90" s="8">
        <f t="shared" si="8"/>
        <v>242.1536643212871</v>
      </c>
      <c r="G90" s="5">
        <f t="shared" si="9"/>
        <v>0.31122574721336094</v>
      </c>
    </row>
    <row r="91" spans="1:7" ht="15.75" customHeight="1">
      <c r="A91" s="3">
        <v>21640</v>
      </c>
      <c r="B91" s="4">
        <v>41</v>
      </c>
      <c r="C91">
        <f t="shared" si="5"/>
        <v>45.331613791799583</v>
      </c>
      <c r="D91" s="8">
        <f t="shared" si="6"/>
        <v>-4.3316137917995832</v>
      </c>
      <c r="E91" s="8">
        <f t="shared" si="7"/>
        <v>4.3316137917995832</v>
      </c>
      <c r="F91" s="8">
        <f t="shared" si="8"/>
        <v>18.762878041308362</v>
      </c>
      <c r="G91" s="5">
        <f t="shared" si="9"/>
        <v>0.10564911687316056</v>
      </c>
    </row>
    <row r="92" spans="1:7" ht="15.75" customHeight="1">
      <c r="A92" s="3">
        <v>21641</v>
      </c>
      <c r="B92" s="4">
        <v>39</v>
      </c>
      <c r="C92">
        <f t="shared" si="5"/>
        <v>42.299484137539878</v>
      </c>
      <c r="D92" s="8">
        <f t="shared" si="6"/>
        <v>-3.2994841375398778</v>
      </c>
      <c r="E92" s="8">
        <f t="shared" si="7"/>
        <v>3.2994841375398778</v>
      </c>
      <c r="F92" s="8">
        <f t="shared" si="8"/>
        <v>10.886595573877271</v>
      </c>
      <c r="G92" s="5">
        <f t="shared" si="9"/>
        <v>8.4602157372817385E-2</v>
      </c>
    </row>
    <row r="93" spans="1:7" ht="15.75" customHeight="1">
      <c r="A93" s="3">
        <v>21642</v>
      </c>
      <c r="B93" s="4">
        <v>41</v>
      </c>
      <c r="C93">
        <f t="shared" si="5"/>
        <v>39.98984524126196</v>
      </c>
      <c r="D93" s="8">
        <f t="shared" si="6"/>
        <v>1.0101547587380395</v>
      </c>
      <c r="E93" s="8">
        <f t="shared" si="7"/>
        <v>1.0101547587380395</v>
      </c>
      <c r="F93" s="8">
        <f t="shared" si="8"/>
        <v>1.0204126366011068</v>
      </c>
      <c r="G93" s="5">
        <f t="shared" si="9"/>
        <v>2.4637920944830232E-2</v>
      </c>
    </row>
    <row r="94" spans="1:7" ht="15.75" customHeight="1">
      <c r="A94" s="3">
        <v>21643</v>
      </c>
      <c r="B94" s="4">
        <v>47</v>
      </c>
      <c r="C94">
        <f t="shared" si="5"/>
        <v>40.69695357237859</v>
      </c>
      <c r="D94" s="8">
        <f t="shared" si="6"/>
        <v>6.3030464276214104</v>
      </c>
      <c r="E94" s="8">
        <f t="shared" si="7"/>
        <v>6.3030464276214104</v>
      </c>
      <c r="F94" s="8">
        <f t="shared" si="8"/>
        <v>39.728394268751025</v>
      </c>
      <c r="G94" s="5">
        <f t="shared" si="9"/>
        <v>0.13410737080045554</v>
      </c>
    </row>
    <row r="95" spans="1:7" ht="15.75" customHeight="1">
      <c r="A95" s="3">
        <v>21644</v>
      </c>
      <c r="B95" s="4">
        <v>34</v>
      </c>
      <c r="C95">
        <f t="shared" si="5"/>
        <v>45.109086071713577</v>
      </c>
      <c r="D95" s="8">
        <f t="shared" si="6"/>
        <v>-11.109086071713577</v>
      </c>
      <c r="E95" s="8">
        <f t="shared" si="7"/>
        <v>11.109086071713577</v>
      </c>
      <c r="F95" s="8">
        <f t="shared" si="8"/>
        <v>123.41179334874059</v>
      </c>
      <c r="G95" s="5">
        <f t="shared" si="9"/>
        <v>0.32673782563863463</v>
      </c>
    </row>
    <row r="96" spans="1:7" ht="15.75" customHeight="1">
      <c r="A96" s="3">
        <v>21645</v>
      </c>
      <c r="B96" s="4">
        <v>36</v>
      </c>
      <c r="C96">
        <f t="shared" si="5"/>
        <v>37.332725821514067</v>
      </c>
      <c r="D96" s="8">
        <f t="shared" si="6"/>
        <v>-1.3327258215140674</v>
      </c>
      <c r="E96" s="8">
        <f t="shared" si="7"/>
        <v>1.3327258215140674</v>
      </c>
      <c r="F96" s="8">
        <f t="shared" si="8"/>
        <v>1.7761581153303458</v>
      </c>
      <c r="G96" s="5">
        <f t="shared" si="9"/>
        <v>3.7020161708724096E-2</v>
      </c>
    </row>
    <row r="97" spans="1:7" ht="15.75" customHeight="1">
      <c r="A97" s="3">
        <v>21646</v>
      </c>
      <c r="B97" s="4">
        <v>33</v>
      </c>
      <c r="C97">
        <f t="shared" si="5"/>
        <v>36.399817746454218</v>
      </c>
      <c r="D97" s="8">
        <f t="shared" si="6"/>
        <v>-3.3998177464542181</v>
      </c>
      <c r="E97" s="8">
        <f t="shared" si="7"/>
        <v>3.3998177464542181</v>
      </c>
      <c r="F97" s="8">
        <f t="shared" si="8"/>
        <v>11.558760709105037</v>
      </c>
      <c r="G97" s="5">
        <f t="shared" si="9"/>
        <v>0.10302478019558237</v>
      </c>
    </row>
    <row r="98" spans="1:7" ht="15.75" customHeight="1">
      <c r="A98" s="3">
        <v>21647</v>
      </c>
      <c r="B98" s="4">
        <v>35</v>
      </c>
      <c r="C98">
        <f t="shared" si="5"/>
        <v>34.019945323936263</v>
      </c>
      <c r="D98" s="8">
        <f t="shared" si="6"/>
        <v>0.98005467606373742</v>
      </c>
      <c r="E98" s="8">
        <f t="shared" si="7"/>
        <v>0.98005467606373742</v>
      </c>
      <c r="F98" s="8">
        <f t="shared" si="8"/>
        <v>0.96050716807439729</v>
      </c>
      <c r="G98" s="5">
        <f t="shared" si="9"/>
        <v>2.8001562173249641E-2</v>
      </c>
    </row>
    <row r="99" spans="1:7" ht="15.75" customHeight="1">
      <c r="A99" s="3">
        <v>21648</v>
      </c>
      <c r="B99" s="4">
        <v>38</v>
      </c>
      <c r="C99">
        <f t="shared" si="5"/>
        <v>34.705983597180875</v>
      </c>
      <c r="D99" s="8">
        <f t="shared" si="6"/>
        <v>3.2940164028191248</v>
      </c>
      <c r="E99" s="8">
        <f t="shared" si="7"/>
        <v>3.2940164028191248</v>
      </c>
      <c r="F99" s="8">
        <f t="shared" si="8"/>
        <v>10.850544062041447</v>
      </c>
      <c r="G99" s="5">
        <f t="shared" si="9"/>
        <v>8.6684642179450655E-2</v>
      </c>
    </row>
    <row r="100" spans="1:7" ht="15.75" customHeight="1">
      <c r="A100" s="3">
        <v>21649</v>
      </c>
      <c r="B100" s="4">
        <v>38</v>
      </c>
      <c r="C100">
        <f t="shared" si="5"/>
        <v>37.011795079154261</v>
      </c>
      <c r="D100" s="8">
        <f t="shared" si="6"/>
        <v>0.98820492084573885</v>
      </c>
      <c r="E100" s="8">
        <f t="shared" si="7"/>
        <v>0.98820492084573885</v>
      </c>
      <c r="F100" s="8">
        <f t="shared" si="8"/>
        <v>0.97654896558373294</v>
      </c>
      <c r="G100" s="5">
        <f t="shared" si="9"/>
        <v>2.6005392653835235E-2</v>
      </c>
    </row>
    <row r="101" spans="1:7" ht="15.75" customHeight="1">
      <c r="A101" s="3">
        <v>21650</v>
      </c>
      <c r="B101" s="4">
        <v>34</v>
      </c>
      <c r="C101">
        <f t="shared" si="5"/>
        <v>37.703538523746275</v>
      </c>
      <c r="D101" s="8">
        <f t="shared" si="6"/>
        <v>-3.7035385237462748</v>
      </c>
      <c r="E101" s="8">
        <f t="shared" si="7"/>
        <v>3.7035385237462748</v>
      </c>
      <c r="F101" s="8">
        <f t="shared" si="8"/>
        <v>13.716197596872737</v>
      </c>
      <c r="G101" s="5">
        <f t="shared" si="9"/>
        <v>0.10892760363959632</v>
      </c>
    </row>
    <row r="102" spans="1:7" ht="15.75" customHeight="1">
      <c r="A102" s="3">
        <v>21651</v>
      </c>
      <c r="B102" s="4">
        <v>53</v>
      </c>
      <c r="C102">
        <f t="shared" si="5"/>
        <v>35.111061557123875</v>
      </c>
      <c r="D102" s="8">
        <f t="shared" si="6"/>
        <v>17.888938442876125</v>
      </c>
      <c r="E102" s="8">
        <f t="shared" si="7"/>
        <v>17.888938442876125</v>
      </c>
      <c r="F102" s="8">
        <f t="shared" si="8"/>
        <v>320.01411861301125</v>
      </c>
      <c r="G102" s="5">
        <f t="shared" si="9"/>
        <v>0.33752714043162502</v>
      </c>
    </row>
    <row r="103" spans="1:7" ht="15.75" customHeight="1">
      <c r="A103" s="3">
        <v>21652</v>
      </c>
      <c r="B103" s="4">
        <v>34</v>
      </c>
      <c r="C103">
        <f t="shared" si="5"/>
        <v>47.633318467137158</v>
      </c>
      <c r="D103" s="8">
        <f t="shared" si="6"/>
        <v>-13.633318467137158</v>
      </c>
      <c r="E103" s="8">
        <f t="shared" si="7"/>
        <v>13.633318467137158</v>
      </c>
      <c r="F103" s="8">
        <f t="shared" si="8"/>
        <v>185.86737242638307</v>
      </c>
      <c r="G103" s="5">
        <f t="shared" si="9"/>
        <v>0.4009799549157988</v>
      </c>
    </row>
    <row r="104" spans="1:7" ht="15.75" customHeight="1">
      <c r="A104" s="3">
        <v>21653</v>
      </c>
      <c r="B104" s="4">
        <v>34</v>
      </c>
      <c r="C104">
        <f t="shared" si="5"/>
        <v>38.089995540141146</v>
      </c>
      <c r="D104" s="8">
        <f t="shared" si="6"/>
        <v>-4.0899955401411461</v>
      </c>
      <c r="E104" s="8">
        <f t="shared" si="7"/>
        <v>4.0899955401411461</v>
      </c>
      <c r="F104" s="8">
        <f t="shared" si="8"/>
        <v>16.728063518374466</v>
      </c>
      <c r="G104" s="5">
        <f t="shared" si="9"/>
        <v>0.12029398647473959</v>
      </c>
    </row>
    <row r="105" spans="1:7" ht="15.75" customHeight="1">
      <c r="A105" s="3">
        <v>21654</v>
      </c>
      <c r="B105" s="4">
        <v>38</v>
      </c>
      <c r="C105">
        <f t="shared" si="5"/>
        <v>35.226998662042341</v>
      </c>
      <c r="D105" s="8">
        <f t="shared" si="6"/>
        <v>2.773001337957659</v>
      </c>
      <c r="E105" s="8">
        <f t="shared" si="7"/>
        <v>2.773001337957659</v>
      </c>
      <c r="F105" s="8">
        <f t="shared" si="8"/>
        <v>7.6895364203149672</v>
      </c>
      <c r="G105" s="5">
        <f t="shared" si="9"/>
        <v>7.2973719419938396E-2</v>
      </c>
    </row>
    <row r="106" spans="1:7" ht="15.75" customHeight="1">
      <c r="A106" s="3">
        <v>21655</v>
      </c>
      <c r="B106" s="4">
        <v>35</v>
      </c>
      <c r="C106">
        <f t="shared" si="5"/>
        <v>37.168099598612699</v>
      </c>
      <c r="D106" s="8">
        <f t="shared" si="6"/>
        <v>-2.1680995986126987</v>
      </c>
      <c r="E106" s="8">
        <f t="shared" si="7"/>
        <v>2.1680995986126987</v>
      </c>
      <c r="F106" s="8">
        <f t="shared" si="8"/>
        <v>4.7006558695045451</v>
      </c>
      <c r="G106" s="5">
        <f t="shared" si="9"/>
        <v>6.194570281750568E-2</v>
      </c>
    </row>
    <row r="107" spans="1:7" ht="15.75" customHeight="1">
      <c r="A107" s="3">
        <v>21656</v>
      </c>
      <c r="B107" s="4">
        <v>32</v>
      </c>
      <c r="C107">
        <f t="shared" si="5"/>
        <v>35.650429879583811</v>
      </c>
      <c r="D107" s="8">
        <f t="shared" si="6"/>
        <v>-3.650429879583811</v>
      </c>
      <c r="E107" s="8">
        <f t="shared" si="7"/>
        <v>3.650429879583811</v>
      </c>
      <c r="F107" s="8">
        <f t="shared" si="8"/>
        <v>13.325638305758277</v>
      </c>
      <c r="G107" s="5">
        <f t="shared" si="9"/>
        <v>0.1140759337369941</v>
      </c>
    </row>
    <row r="108" spans="1:7" ht="15.75" customHeight="1">
      <c r="A108" s="3">
        <v>21657</v>
      </c>
      <c r="B108" s="4">
        <v>42</v>
      </c>
      <c r="C108">
        <f t="shared" si="5"/>
        <v>33.09512896387514</v>
      </c>
      <c r="D108" s="8">
        <f t="shared" si="6"/>
        <v>8.9048710361248595</v>
      </c>
      <c r="E108" s="8">
        <f t="shared" si="7"/>
        <v>8.9048710361248595</v>
      </c>
      <c r="F108" s="8">
        <f t="shared" si="8"/>
        <v>79.296728170015427</v>
      </c>
      <c r="G108" s="5">
        <f t="shared" si="9"/>
        <v>0.21202073895535381</v>
      </c>
    </row>
    <row r="109" spans="1:7" ht="15.75" customHeight="1">
      <c r="A109" s="3">
        <v>21658</v>
      </c>
      <c r="B109" s="4">
        <v>34</v>
      </c>
      <c r="C109">
        <f t="shared" si="5"/>
        <v>39.328538689162542</v>
      </c>
      <c r="D109" s="8">
        <f t="shared" si="6"/>
        <v>-5.3285386891625421</v>
      </c>
      <c r="E109" s="8">
        <f t="shared" si="7"/>
        <v>5.3285386891625421</v>
      </c>
      <c r="F109" s="8">
        <f t="shared" si="8"/>
        <v>28.393324561902062</v>
      </c>
      <c r="G109" s="5">
        <f t="shared" si="9"/>
        <v>0.15672172615183946</v>
      </c>
    </row>
    <row r="110" spans="1:7" ht="15.75" customHeight="1">
      <c r="A110" s="3">
        <v>21659</v>
      </c>
      <c r="B110" s="4">
        <v>46</v>
      </c>
      <c r="C110">
        <f t="shared" si="5"/>
        <v>35.59856160674876</v>
      </c>
      <c r="D110" s="8">
        <f t="shared" si="6"/>
        <v>10.40143839325124</v>
      </c>
      <c r="E110" s="8">
        <f t="shared" si="7"/>
        <v>10.40143839325124</v>
      </c>
      <c r="F110" s="8">
        <f t="shared" si="8"/>
        <v>108.18992064860095</v>
      </c>
      <c r="G110" s="5">
        <f t="shared" si="9"/>
        <v>0.22611822594024436</v>
      </c>
    </row>
    <row r="111" spans="1:7" ht="15.75" customHeight="1">
      <c r="A111" s="3">
        <v>21660</v>
      </c>
      <c r="B111" s="4">
        <v>30</v>
      </c>
      <c r="C111">
        <f t="shared" si="5"/>
        <v>42.879568482024624</v>
      </c>
      <c r="D111" s="8">
        <f t="shared" si="6"/>
        <v>-12.879568482024624</v>
      </c>
      <c r="E111" s="8">
        <f t="shared" si="7"/>
        <v>12.879568482024624</v>
      </c>
      <c r="F111" s="8">
        <f t="shared" si="8"/>
        <v>165.88328428316206</v>
      </c>
      <c r="G111" s="5">
        <f t="shared" si="9"/>
        <v>0.42931894940082077</v>
      </c>
    </row>
    <row r="112" spans="1:7" ht="15.75" customHeight="1">
      <c r="A112" s="3">
        <v>21661</v>
      </c>
      <c r="B112" s="4">
        <v>46</v>
      </c>
      <c r="C112">
        <f t="shared" si="5"/>
        <v>33.863870544607387</v>
      </c>
      <c r="D112" s="8">
        <f t="shared" si="6"/>
        <v>12.136129455392613</v>
      </c>
      <c r="E112" s="8">
        <f t="shared" si="7"/>
        <v>12.136129455392613</v>
      </c>
      <c r="F112" s="8">
        <f t="shared" si="8"/>
        <v>147.28563815804819</v>
      </c>
      <c r="G112" s="5">
        <f t="shared" si="9"/>
        <v>0.26382890120418723</v>
      </c>
    </row>
    <row r="113" spans="1:7" ht="15.75" customHeight="1">
      <c r="A113" s="3">
        <v>21662</v>
      </c>
      <c r="B113" s="4">
        <v>45</v>
      </c>
      <c r="C113">
        <f t="shared" si="5"/>
        <v>42.359161163382211</v>
      </c>
      <c r="D113" s="8">
        <f t="shared" si="6"/>
        <v>2.6408388366177888</v>
      </c>
      <c r="E113" s="8">
        <f t="shared" si="7"/>
        <v>2.6408388366177888</v>
      </c>
      <c r="F113" s="8">
        <f t="shared" si="8"/>
        <v>6.9740297609887962</v>
      </c>
      <c r="G113" s="5">
        <f t="shared" si="9"/>
        <v>5.8685307480395306E-2</v>
      </c>
    </row>
    <row r="114" spans="1:7" ht="15.75" customHeight="1">
      <c r="A114" s="3">
        <v>21663</v>
      </c>
      <c r="B114" s="4">
        <v>54</v>
      </c>
      <c r="C114">
        <f t="shared" si="5"/>
        <v>44.207748349014658</v>
      </c>
      <c r="D114" s="8">
        <f t="shared" si="6"/>
        <v>9.7922516509853423</v>
      </c>
      <c r="E114" s="8">
        <f t="shared" si="7"/>
        <v>9.7922516509853423</v>
      </c>
      <c r="F114" s="8">
        <f t="shared" si="8"/>
        <v>95.888192396225165</v>
      </c>
      <c r="G114" s="5">
        <f t="shared" si="9"/>
        <v>0.18133799353676561</v>
      </c>
    </row>
    <row r="115" spans="1:7" ht="15.75" customHeight="1">
      <c r="A115" s="3">
        <v>21664</v>
      </c>
      <c r="B115" s="4">
        <v>34</v>
      </c>
      <c r="C115">
        <f t="shared" si="5"/>
        <v>51.062324504704392</v>
      </c>
      <c r="D115" s="8">
        <f t="shared" si="6"/>
        <v>-17.062324504704392</v>
      </c>
      <c r="E115" s="8">
        <f t="shared" si="7"/>
        <v>17.062324504704392</v>
      </c>
      <c r="F115" s="8">
        <f t="shared" si="8"/>
        <v>291.12291750383599</v>
      </c>
      <c r="G115" s="5">
        <f t="shared" si="9"/>
        <v>0.5018330736677763</v>
      </c>
    </row>
    <row r="116" spans="1:7" ht="15.75" customHeight="1">
      <c r="A116" s="3">
        <v>21665</v>
      </c>
      <c r="B116" s="4">
        <v>37</v>
      </c>
      <c r="C116">
        <f t="shared" si="5"/>
        <v>39.118697351411313</v>
      </c>
      <c r="D116" s="8">
        <f t="shared" si="6"/>
        <v>-2.1186973514113134</v>
      </c>
      <c r="E116" s="8">
        <f t="shared" si="7"/>
        <v>2.1186973514113134</v>
      </c>
      <c r="F116" s="8">
        <f t="shared" si="8"/>
        <v>4.4888784668773143</v>
      </c>
      <c r="G116" s="5">
        <f t="shared" si="9"/>
        <v>5.7262090578684144E-2</v>
      </c>
    </row>
    <row r="117" spans="1:7" ht="15.75" customHeight="1">
      <c r="A117" s="3">
        <v>21666</v>
      </c>
      <c r="B117" s="4">
        <v>35</v>
      </c>
      <c r="C117">
        <f t="shared" si="5"/>
        <v>37.635609205423393</v>
      </c>
      <c r="D117" s="8">
        <f t="shared" si="6"/>
        <v>-2.6356092054233926</v>
      </c>
      <c r="E117" s="8">
        <f t="shared" si="7"/>
        <v>2.6356092054233926</v>
      </c>
      <c r="F117" s="8">
        <f t="shared" si="8"/>
        <v>6.9464358837125273</v>
      </c>
      <c r="G117" s="5">
        <f t="shared" si="9"/>
        <v>7.5303120154954079E-2</v>
      </c>
    </row>
    <row r="118" spans="1:7" ht="15.75" customHeight="1">
      <c r="A118" s="3">
        <v>21667</v>
      </c>
      <c r="B118" s="4">
        <v>40</v>
      </c>
      <c r="C118">
        <f t="shared" si="5"/>
        <v>35.790682761627018</v>
      </c>
      <c r="D118" s="8">
        <f t="shared" si="6"/>
        <v>4.2093172383729822</v>
      </c>
      <c r="E118" s="8">
        <f t="shared" si="7"/>
        <v>4.2093172383729822</v>
      </c>
      <c r="F118" s="8">
        <f t="shared" si="8"/>
        <v>17.718351613263948</v>
      </c>
      <c r="G118" s="5">
        <f t="shared" si="9"/>
        <v>0.10523293095932455</v>
      </c>
    </row>
    <row r="119" spans="1:7" ht="15.75" customHeight="1">
      <c r="A119" s="3">
        <v>21668</v>
      </c>
      <c r="B119" s="4">
        <v>42</v>
      </c>
      <c r="C119">
        <f t="shared" si="5"/>
        <v>38.737204828488103</v>
      </c>
      <c r="D119" s="8">
        <f t="shared" si="6"/>
        <v>3.2627951715118968</v>
      </c>
      <c r="E119" s="8">
        <f t="shared" si="7"/>
        <v>3.2627951715118968</v>
      </c>
      <c r="F119" s="8">
        <f t="shared" si="8"/>
        <v>10.645832331241348</v>
      </c>
      <c r="G119" s="5">
        <f t="shared" si="9"/>
        <v>7.7685599321711832E-2</v>
      </c>
    </row>
    <row r="120" spans="1:7" ht="15.75" customHeight="1">
      <c r="A120" s="3">
        <v>21669</v>
      </c>
      <c r="B120" s="4">
        <v>58</v>
      </c>
      <c r="C120">
        <f t="shared" si="5"/>
        <v>41.02116144854643</v>
      </c>
      <c r="D120" s="8">
        <f t="shared" si="6"/>
        <v>16.97883855145357</v>
      </c>
      <c r="E120" s="8">
        <f t="shared" si="7"/>
        <v>16.97883855145357</v>
      </c>
      <c r="F120" s="8">
        <f t="shared" si="8"/>
        <v>288.28095855632597</v>
      </c>
      <c r="G120" s="5">
        <f t="shared" si="9"/>
        <v>0.29273859571471672</v>
      </c>
    </row>
    <row r="121" spans="1:7" ht="15.75" customHeight="1">
      <c r="A121" s="3">
        <v>21670</v>
      </c>
      <c r="B121" s="4">
        <v>51</v>
      </c>
      <c r="C121">
        <f t="shared" si="5"/>
        <v>52.906348434563924</v>
      </c>
      <c r="D121" s="8">
        <f t="shared" si="6"/>
        <v>-1.9063484345639239</v>
      </c>
      <c r="E121" s="8">
        <f t="shared" si="7"/>
        <v>1.9063484345639239</v>
      </c>
      <c r="F121" s="8">
        <f t="shared" si="8"/>
        <v>3.6341643539643234</v>
      </c>
      <c r="G121" s="5">
        <f t="shared" si="9"/>
        <v>3.7379381069880861E-2</v>
      </c>
    </row>
    <row r="122" spans="1:7" ht="15.75" customHeight="1">
      <c r="A122" s="3">
        <v>21671</v>
      </c>
      <c r="B122" s="4">
        <v>32</v>
      </c>
      <c r="C122">
        <f t="shared" si="5"/>
        <v>51.571904530369174</v>
      </c>
      <c r="D122" s="8">
        <f t="shared" si="6"/>
        <v>-19.571904530369174</v>
      </c>
      <c r="E122" s="8">
        <f t="shared" si="7"/>
        <v>19.571904530369174</v>
      </c>
      <c r="F122" s="8">
        <f t="shared" si="8"/>
        <v>383.05944694588538</v>
      </c>
      <c r="G122" s="5">
        <f t="shared" si="9"/>
        <v>0.6116220165740367</v>
      </c>
    </row>
    <row r="123" spans="1:7" ht="15.75" customHeight="1">
      <c r="A123" s="3">
        <v>21672</v>
      </c>
      <c r="B123" s="4">
        <v>35</v>
      </c>
      <c r="C123">
        <f t="shared" si="5"/>
        <v>37.871571359110746</v>
      </c>
      <c r="D123" s="8">
        <f t="shared" si="6"/>
        <v>-2.8715713591107459</v>
      </c>
      <c r="E123" s="8">
        <f t="shared" si="7"/>
        <v>2.8715713591107459</v>
      </c>
      <c r="F123" s="8">
        <f t="shared" si="8"/>
        <v>8.2459220704651361</v>
      </c>
      <c r="G123" s="5">
        <f t="shared" si="9"/>
        <v>8.2044895974592746E-2</v>
      </c>
    </row>
    <row r="124" spans="1:7" ht="15.75" customHeight="1">
      <c r="A124" s="3">
        <v>21673</v>
      </c>
      <c r="B124" s="4">
        <v>38</v>
      </c>
      <c r="C124">
        <f t="shared" si="5"/>
        <v>35.86147140773322</v>
      </c>
      <c r="D124" s="8">
        <f t="shared" si="6"/>
        <v>2.1385285922667805</v>
      </c>
      <c r="E124" s="8">
        <f t="shared" si="7"/>
        <v>2.1385285922667805</v>
      </c>
      <c r="F124" s="8">
        <f t="shared" si="8"/>
        <v>4.573304539942538</v>
      </c>
      <c r="G124" s="5">
        <f t="shared" si="9"/>
        <v>5.6277068217546855E-2</v>
      </c>
    </row>
    <row r="125" spans="1:7" ht="15.75" customHeight="1">
      <c r="A125" s="3">
        <v>21674</v>
      </c>
      <c r="B125" s="4">
        <v>33</v>
      </c>
      <c r="C125">
        <f t="shared" si="5"/>
        <v>37.358441422319963</v>
      </c>
      <c r="D125" s="8">
        <f t="shared" si="6"/>
        <v>-4.358441422319963</v>
      </c>
      <c r="E125" s="8">
        <f t="shared" si="7"/>
        <v>4.358441422319963</v>
      </c>
      <c r="F125" s="8">
        <f t="shared" si="8"/>
        <v>18.996011631794463</v>
      </c>
      <c r="G125" s="5">
        <f t="shared" si="9"/>
        <v>0.13207398249454433</v>
      </c>
    </row>
    <row r="126" spans="1:7" ht="15.75" customHeight="1">
      <c r="A126" s="3">
        <v>21675</v>
      </c>
      <c r="B126" s="4">
        <v>39</v>
      </c>
      <c r="C126">
        <f t="shared" si="5"/>
        <v>34.307532426695985</v>
      </c>
      <c r="D126" s="8">
        <f t="shared" si="6"/>
        <v>4.6924675733040146</v>
      </c>
      <c r="E126" s="8">
        <f t="shared" si="7"/>
        <v>4.6924675733040146</v>
      </c>
      <c r="F126" s="8">
        <f t="shared" si="8"/>
        <v>22.019251926509668</v>
      </c>
      <c r="G126" s="5">
        <f t="shared" si="9"/>
        <v>0.12031968136676961</v>
      </c>
    </row>
    <row r="127" spans="1:7" ht="15.75" customHeight="1">
      <c r="A127" s="3">
        <v>21676</v>
      </c>
      <c r="B127" s="4">
        <v>47</v>
      </c>
      <c r="C127">
        <f t="shared" si="5"/>
        <v>37.592259728008791</v>
      </c>
      <c r="D127" s="8">
        <f t="shared" si="6"/>
        <v>9.4077402719912087</v>
      </c>
      <c r="E127" s="8">
        <f t="shared" si="7"/>
        <v>9.4077402719912087</v>
      </c>
      <c r="F127" s="8">
        <f t="shared" si="8"/>
        <v>88.505577025245216</v>
      </c>
      <c r="G127" s="5">
        <f t="shared" si="9"/>
        <v>0.20016468663811082</v>
      </c>
    </row>
    <row r="128" spans="1:7" ht="15.75" customHeight="1">
      <c r="A128" s="3">
        <v>21677</v>
      </c>
      <c r="B128" s="4">
        <v>38</v>
      </c>
      <c r="C128">
        <f t="shared" si="5"/>
        <v>44.177677918402637</v>
      </c>
      <c r="D128" s="8">
        <f t="shared" si="6"/>
        <v>-6.1776779184026367</v>
      </c>
      <c r="E128" s="8">
        <f t="shared" si="7"/>
        <v>6.1776779184026367</v>
      </c>
      <c r="F128" s="8">
        <f t="shared" si="8"/>
        <v>38.163704463519537</v>
      </c>
      <c r="G128" s="5">
        <f t="shared" si="9"/>
        <v>0.16257047153691148</v>
      </c>
    </row>
    <row r="129" spans="1:7" ht="15.75" customHeight="1">
      <c r="A129" s="3">
        <v>21678</v>
      </c>
      <c r="B129" s="4">
        <v>52</v>
      </c>
      <c r="C129">
        <f t="shared" si="5"/>
        <v>39.853303375520788</v>
      </c>
      <c r="D129" s="8">
        <f t="shared" si="6"/>
        <v>12.146696624479212</v>
      </c>
      <c r="E129" s="8">
        <f t="shared" si="7"/>
        <v>12.146696624479212</v>
      </c>
      <c r="F129" s="8">
        <f t="shared" si="8"/>
        <v>147.54223888713469</v>
      </c>
      <c r="G129" s="5">
        <f t="shared" si="9"/>
        <v>0.2335903197015233</v>
      </c>
    </row>
    <row r="130" spans="1:7" ht="15.75" customHeight="1">
      <c r="A130" s="3">
        <v>21679</v>
      </c>
      <c r="B130" s="4">
        <v>30</v>
      </c>
      <c r="C130">
        <f t="shared" si="5"/>
        <v>48.355991012656233</v>
      </c>
      <c r="D130" s="8">
        <f t="shared" si="6"/>
        <v>-18.355991012656233</v>
      </c>
      <c r="E130" s="8">
        <f t="shared" si="7"/>
        <v>18.355991012656233</v>
      </c>
      <c r="F130" s="8">
        <f t="shared" si="8"/>
        <v>336.94240605671638</v>
      </c>
      <c r="G130" s="5">
        <f t="shared" si="9"/>
        <v>0.61186636708854114</v>
      </c>
    </row>
    <row r="131" spans="1:7" ht="15.75" customHeight="1">
      <c r="A131" s="3">
        <v>21680</v>
      </c>
      <c r="B131" s="4">
        <v>34</v>
      </c>
      <c r="C131">
        <f t="shared" si="5"/>
        <v>35.506797303796873</v>
      </c>
      <c r="D131" s="8">
        <f t="shared" si="6"/>
        <v>-1.5067973037968727</v>
      </c>
      <c r="E131" s="8">
        <f t="shared" si="7"/>
        <v>1.5067973037968727</v>
      </c>
      <c r="F131" s="8">
        <f t="shared" si="8"/>
        <v>2.2704381147295249</v>
      </c>
      <c r="G131" s="5">
        <f t="shared" si="9"/>
        <v>4.4317567758731552E-2</v>
      </c>
    </row>
    <row r="132" spans="1:7" ht="15.75" customHeight="1">
      <c r="A132" s="3">
        <v>21681</v>
      </c>
      <c r="B132" s="4">
        <v>40</v>
      </c>
      <c r="C132">
        <f t="shared" ref="C132:C195" si="10">0.7*B131+0.3*C131</f>
        <v>34.452039191139058</v>
      </c>
      <c r="D132" s="8">
        <f t="shared" ref="D132:D195" si="11">B132-C132</f>
        <v>5.5479608088609424</v>
      </c>
      <c r="E132" s="8">
        <f t="shared" ref="E132:E195" si="12">ABS(D132)</f>
        <v>5.5479608088609424</v>
      </c>
      <c r="F132" s="8">
        <f t="shared" ref="F132:F195" si="13">E132^2</f>
        <v>30.779869136656963</v>
      </c>
      <c r="G132" s="5">
        <f t="shared" ref="G132:G195" si="14">E132/B132</f>
        <v>0.13869902022152356</v>
      </c>
    </row>
    <row r="133" spans="1:7" ht="15.75" customHeight="1">
      <c r="A133" s="3">
        <v>21682</v>
      </c>
      <c r="B133" s="4">
        <v>35</v>
      </c>
      <c r="C133">
        <f t="shared" si="10"/>
        <v>38.335611757341717</v>
      </c>
      <c r="D133" s="8">
        <f t="shared" si="11"/>
        <v>-3.3356117573417166</v>
      </c>
      <c r="E133" s="8">
        <f t="shared" si="12"/>
        <v>3.3356117573417166</v>
      </c>
      <c r="F133" s="8">
        <f t="shared" si="13"/>
        <v>11.126305795716295</v>
      </c>
      <c r="G133" s="5">
        <f t="shared" si="14"/>
        <v>9.5303193066906183E-2</v>
      </c>
    </row>
    <row r="134" spans="1:7" ht="15.75" customHeight="1">
      <c r="A134" s="3">
        <v>21683</v>
      </c>
      <c r="B134" s="4">
        <v>42</v>
      </c>
      <c r="C134">
        <f t="shared" si="10"/>
        <v>36.000683527202511</v>
      </c>
      <c r="D134" s="8">
        <f t="shared" si="11"/>
        <v>5.9993164727974886</v>
      </c>
      <c r="E134" s="8">
        <f t="shared" si="12"/>
        <v>5.9993164727974886</v>
      </c>
      <c r="F134" s="8">
        <f t="shared" si="13"/>
        <v>35.991798140779302</v>
      </c>
      <c r="G134" s="5">
        <f t="shared" si="14"/>
        <v>0.1428408683999402</v>
      </c>
    </row>
    <row r="135" spans="1:7" ht="15.75" customHeight="1">
      <c r="A135" s="3">
        <v>21684</v>
      </c>
      <c r="B135" s="4">
        <v>41</v>
      </c>
      <c r="C135">
        <f t="shared" si="10"/>
        <v>40.200205058160748</v>
      </c>
      <c r="D135" s="8">
        <f t="shared" si="11"/>
        <v>0.79979494183925226</v>
      </c>
      <c r="E135" s="8">
        <f t="shared" si="12"/>
        <v>0.79979494183925226</v>
      </c>
      <c r="F135" s="8">
        <f t="shared" si="13"/>
        <v>0.63967194899165292</v>
      </c>
      <c r="G135" s="5">
        <f t="shared" si="14"/>
        <v>1.9507193703396396E-2</v>
      </c>
    </row>
    <row r="136" spans="1:7" ht="15.75" customHeight="1">
      <c r="A136" s="3">
        <v>21685</v>
      </c>
      <c r="B136" s="4">
        <v>42</v>
      </c>
      <c r="C136">
        <f t="shared" si="10"/>
        <v>40.760061517448221</v>
      </c>
      <c r="D136" s="8">
        <f t="shared" si="11"/>
        <v>1.2399384825517785</v>
      </c>
      <c r="E136" s="8">
        <f t="shared" si="12"/>
        <v>1.2399384825517785</v>
      </c>
      <c r="F136" s="8">
        <f t="shared" si="13"/>
        <v>1.5374474405128071</v>
      </c>
      <c r="G136" s="5">
        <f t="shared" si="14"/>
        <v>2.9522344822661393E-2</v>
      </c>
    </row>
    <row r="137" spans="1:7" ht="15.75" customHeight="1">
      <c r="A137" s="3">
        <v>21686</v>
      </c>
      <c r="B137" s="4">
        <v>38</v>
      </c>
      <c r="C137">
        <f t="shared" si="10"/>
        <v>41.628018455234468</v>
      </c>
      <c r="D137" s="8">
        <f t="shared" si="11"/>
        <v>-3.6280184552344679</v>
      </c>
      <c r="E137" s="8">
        <f t="shared" si="12"/>
        <v>3.6280184552344679</v>
      </c>
      <c r="F137" s="8">
        <f t="shared" si="13"/>
        <v>13.162517911521894</v>
      </c>
      <c r="G137" s="5">
        <f t="shared" si="14"/>
        <v>9.5474169874591258E-2</v>
      </c>
    </row>
    <row r="138" spans="1:7" ht="15.75" customHeight="1">
      <c r="A138" s="3">
        <v>21687</v>
      </c>
      <c r="B138" s="4">
        <v>24</v>
      </c>
      <c r="C138">
        <f t="shared" si="10"/>
        <v>39.088405536570335</v>
      </c>
      <c r="D138" s="8">
        <f t="shared" si="11"/>
        <v>-15.088405536570335</v>
      </c>
      <c r="E138" s="8">
        <f t="shared" si="12"/>
        <v>15.088405536570335</v>
      </c>
      <c r="F138" s="8">
        <f t="shared" si="13"/>
        <v>227.65998163600634</v>
      </c>
      <c r="G138" s="5">
        <f t="shared" si="14"/>
        <v>0.62868356402376391</v>
      </c>
    </row>
    <row r="139" spans="1:7" ht="15.75" customHeight="1">
      <c r="A139" s="3">
        <v>21688</v>
      </c>
      <c r="B139" s="4">
        <v>34</v>
      </c>
      <c r="C139">
        <f t="shared" si="10"/>
        <v>28.526521660971099</v>
      </c>
      <c r="D139" s="8">
        <f t="shared" si="11"/>
        <v>5.473478339028901</v>
      </c>
      <c r="E139" s="8">
        <f t="shared" si="12"/>
        <v>5.473478339028901</v>
      </c>
      <c r="F139" s="8">
        <f t="shared" si="13"/>
        <v>29.958965127818576</v>
      </c>
      <c r="G139" s="5">
        <f t="shared" si="14"/>
        <v>0.1609846570302618</v>
      </c>
    </row>
    <row r="140" spans="1:7" ht="15.75" customHeight="1">
      <c r="A140" s="3">
        <v>21689</v>
      </c>
      <c r="B140" s="4">
        <v>43</v>
      </c>
      <c r="C140">
        <f t="shared" si="10"/>
        <v>32.35795649829133</v>
      </c>
      <c r="D140" s="8">
        <f t="shared" si="11"/>
        <v>10.64204350170867</v>
      </c>
      <c r="E140" s="8">
        <f t="shared" si="12"/>
        <v>10.64204350170867</v>
      </c>
      <c r="F140" s="8">
        <f t="shared" si="13"/>
        <v>113.25308989225974</v>
      </c>
      <c r="G140" s="5">
        <f t="shared" si="14"/>
        <v>0.24748938376066676</v>
      </c>
    </row>
    <row r="141" spans="1:7" ht="15.75" customHeight="1">
      <c r="A141" s="3">
        <v>21690</v>
      </c>
      <c r="B141" s="4">
        <v>36</v>
      </c>
      <c r="C141">
        <f t="shared" si="10"/>
        <v>39.807386949487395</v>
      </c>
      <c r="D141" s="8">
        <f t="shared" si="11"/>
        <v>-3.8073869494873946</v>
      </c>
      <c r="E141" s="8">
        <f t="shared" si="12"/>
        <v>3.8073869494873946</v>
      </c>
      <c r="F141" s="8">
        <f t="shared" si="13"/>
        <v>14.496195383126929</v>
      </c>
      <c r="G141" s="5">
        <f t="shared" si="14"/>
        <v>0.10576074859687207</v>
      </c>
    </row>
    <row r="142" spans="1:7" ht="15.75" customHeight="1">
      <c r="A142" s="3">
        <v>21691</v>
      </c>
      <c r="B142" s="4">
        <v>55</v>
      </c>
      <c r="C142">
        <f t="shared" si="10"/>
        <v>37.142216084846218</v>
      </c>
      <c r="D142" s="8">
        <f t="shared" si="11"/>
        <v>17.857783915153782</v>
      </c>
      <c r="E142" s="8">
        <f t="shared" si="12"/>
        <v>17.857783915153782</v>
      </c>
      <c r="F142" s="8">
        <f t="shared" si="13"/>
        <v>318.90044636032513</v>
      </c>
      <c r="G142" s="5">
        <f t="shared" si="14"/>
        <v>0.32468698027552328</v>
      </c>
    </row>
    <row r="143" spans="1:7" ht="15.75" customHeight="1">
      <c r="A143" s="3">
        <v>21692</v>
      </c>
      <c r="B143" s="4">
        <v>41</v>
      </c>
      <c r="C143">
        <f t="shared" si="10"/>
        <v>49.642664825453863</v>
      </c>
      <c r="D143" s="8">
        <f t="shared" si="11"/>
        <v>-8.6426648254538634</v>
      </c>
      <c r="E143" s="8">
        <f t="shared" si="12"/>
        <v>8.6426648254538634</v>
      </c>
      <c r="F143" s="8">
        <f t="shared" si="13"/>
        <v>74.695655285137462</v>
      </c>
      <c r="G143" s="5">
        <f t="shared" si="14"/>
        <v>0.21079670305985032</v>
      </c>
    </row>
    <row r="144" spans="1:7" ht="15.75" customHeight="1">
      <c r="A144" s="3">
        <v>21693</v>
      </c>
      <c r="B144" s="4">
        <v>45</v>
      </c>
      <c r="C144">
        <f t="shared" si="10"/>
        <v>43.592799447636153</v>
      </c>
      <c r="D144" s="8">
        <f t="shared" si="11"/>
        <v>1.4072005523638467</v>
      </c>
      <c r="E144" s="8">
        <f t="shared" si="12"/>
        <v>1.4072005523638467</v>
      </c>
      <c r="F144" s="8">
        <f t="shared" si="13"/>
        <v>1.9802133945731151</v>
      </c>
      <c r="G144" s="5">
        <f t="shared" si="14"/>
        <v>3.1271123385863256E-2</v>
      </c>
    </row>
    <row r="145" spans="1:7" ht="15.75" customHeight="1">
      <c r="A145" s="3">
        <v>21694</v>
      </c>
      <c r="B145" s="4">
        <v>41</v>
      </c>
      <c r="C145">
        <f t="shared" si="10"/>
        <v>44.577839834290842</v>
      </c>
      <c r="D145" s="8">
        <f t="shared" si="11"/>
        <v>-3.5778398342908417</v>
      </c>
      <c r="E145" s="8">
        <f t="shared" si="12"/>
        <v>3.5778398342908417</v>
      </c>
      <c r="F145" s="8">
        <f t="shared" si="13"/>
        <v>12.800937879838317</v>
      </c>
      <c r="G145" s="5">
        <f t="shared" si="14"/>
        <v>8.7264386202215646E-2</v>
      </c>
    </row>
    <row r="146" spans="1:7" ht="15.75" customHeight="1">
      <c r="A146" s="3">
        <v>21695</v>
      </c>
      <c r="B146" s="4">
        <v>37</v>
      </c>
      <c r="C146">
        <f t="shared" si="10"/>
        <v>42.073351950287254</v>
      </c>
      <c r="D146" s="8">
        <f t="shared" si="11"/>
        <v>-5.0733519502872539</v>
      </c>
      <c r="E146" s="8">
        <f t="shared" si="12"/>
        <v>5.0733519502872539</v>
      </c>
      <c r="F146" s="8">
        <f t="shared" si="13"/>
        <v>25.738900011483484</v>
      </c>
      <c r="G146" s="5">
        <f t="shared" si="14"/>
        <v>0.1371176202780339</v>
      </c>
    </row>
    <row r="147" spans="1:7" ht="15.75" customHeight="1">
      <c r="A147" s="3">
        <v>21696</v>
      </c>
      <c r="B147" s="4">
        <v>43</v>
      </c>
      <c r="C147">
        <f t="shared" si="10"/>
        <v>38.522005585086177</v>
      </c>
      <c r="D147" s="8">
        <f t="shared" si="11"/>
        <v>4.4779944149138231</v>
      </c>
      <c r="E147" s="8">
        <f t="shared" si="12"/>
        <v>4.4779944149138231</v>
      </c>
      <c r="F147" s="8">
        <f t="shared" si="13"/>
        <v>20.052433979999392</v>
      </c>
      <c r="G147" s="5">
        <f t="shared" si="14"/>
        <v>0.10413940499799589</v>
      </c>
    </row>
    <row r="148" spans="1:7" ht="15.75" customHeight="1">
      <c r="A148" s="3">
        <v>21697</v>
      </c>
      <c r="B148" s="4">
        <v>39</v>
      </c>
      <c r="C148">
        <f t="shared" si="10"/>
        <v>41.656601675525849</v>
      </c>
      <c r="D148" s="8">
        <f t="shared" si="11"/>
        <v>-2.6566016755258488</v>
      </c>
      <c r="E148" s="8">
        <f t="shared" si="12"/>
        <v>2.6566016755258488</v>
      </c>
      <c r="F148" s="8">
        <f t="shared" si="13"/>
        <v>7.0575324624067477</v>
      </c>
      <c r="G148" s="5">
        <f t="shared" si="14"/>
        <v>6.8117991680149967E-2</v>
      </c>
    </row>
    <row r="149" spans="1:7" ht="15.75" customHeight="1">
      <c r="A149" s="3">
        <v>21698</v>
      </c>
      <c r="B149" s="4">
        <v>33</v>
      </c>
      <c r="C149">
        <f t="shared" si="10"/>
        <v>39.796980502657753</v>
      </c>
      <c r="D149" s="8">
        <f t="shared" si="11"/>
        <v>-6.7969805026577532</v>
      </c>
      <c r="E149" s="8">
        <f t="shared" si="12"/>
        <v>6.7969805026577532</v>
      </c>
      <c r="F149" s="8">
        <f t="shared" si="13"/>
        <v>46.198943953509641</v>
      </c>
      <c r="G149" s="5">
        <f t="shared" si="14"/>
        <v>0.20596910614114403</v>
      </c>
    </row>
    <row r="150" spans="1:7" ht="15.75" customHeight="1">
      <c r="A150" s="3">
        <v>21699</v>
      </c>
      <c r="B150" s="4">
        <v>43</v>
      </c>
      <c r="C150">
        <f t="shared" si="10"/>
        <v>35.039094150797325</v>
      </c>
      <c r="D150" s="8">
        <f t="shared" si="11"/>
        <v>7.9609058492026747</v>
      </c>
      <c r="E150" s="8">
        <f t="shared" si="12"/>
        <v>7.9609058492026747</v>
      </c>
      <c r="F150" s="8">
        <f t="shared" si="13"/>
        <v>63.376021939869361</v>
      </c>
      <c r="G150" s="5">
        <f t="shared" si="14"/>
        <v>0.18513734533029477</v>
      </c>
    </row>
    <row r="151" spans="1:7" ht="15.75" customHeight="1">
      <c r="A151" s="3">
        <v>21700</v>
      </c>
      <c r="B151" s="4">
        <v>40</v>
      </c>
      <c r="C151">
        <f t="shared" si="10"/>
        <v>40.611728245239192</v>
      </c>
      <c r="D151" s="8">
        <f t="shared" si="11"/>
        <v>-0.61172824523919189</v>
      </c>
      <c r="E151" s="8">
        <f t="shared" si="12"/>
        <v>0.61172824523919189</v>
      </c>
      <c r="F151" s="8">
        <f t="shared" si="13"/>
        <v>0.37421144602342088</v>
      </c>
      <c r="G151" s="5">
        <f t="shared" si="14"/>
        <v>1.5293206130979797E-2</v>
      </c>
    </row>
    <row r="152" spans="1:7" ht="15.75" customHeight="1">
      <c r="A152" s="3">
        <v>21701</v>
      </c>
      <c r="B152" s="4">
        <v>38</v>
      </c>
      <c r="C152">
        <f t="shared" si="10"/>
        <v>40.183518473571759</v>
      </c>
      <c r="D152" s="8">
        <f t="shared" si="11"/>
        <v>-2.183518473571759</v>
      </c>
      <c r="E152" s="8">
        <f t="shared" si="12"/>
        <v>2.183518473571759</v>
      </c>
      <c r="F152" s="8">
        <f t="shared" si="13"/>
        <v>4.7677529244291446</v>
      </c>
      <c r="G152" s="5">
        <f t="shared" si="14"/>
        <v>5.746101246241471E-2</v>
      </c>
    </row>
    <row r="153" spans="1:7" ht="15.75" customHeight="1">
      <c r="A153" s="3">
        <v>21702</v>
      </c>
      <c r="B153" s="4">
        <v>45</v>
      </c>
      <c r="C153">
        <f t="shared" si="10"/>
        <v>38.655055542071523</v>
      </c>
      <c r="D153" s="8">
        <f t="shared" si="11"/>
        <v>6.3449444579284773</v>
      </c>
      <c r="E153" s="8">
        <f t="shared" si="12"/>
        <v>6.3449444579284773</v>
      </c>
      <c r="F153" s="8">
        <f t="shared" si="13"/>
        <v>40.258320174197301</v>
      </c>
      <c r="G153" s="5">
        <f t="shared" si="14"/>
        <v>0.14099876573174394</v>
      </c>
    </row>
    <row r="154" spans="1:7" ht="15.75" customHeight="1">
      <c r="A154" s="3">
        <v>21703</v>
      </c>
      <c r="B154" s="4">
        <v>46</v>
      </c>
      <c r="C154">
        <f t="shared" si="10"/>
        <v>43.096516662621454</v>
      </c>
      <c r="D154" s="8">
        <f t="shared" si="11"/>
        <v>2.903483337378546</v>
      </c>
      <c r="E154" s="8">
        <f t="shared" si="12"/>
        <v>2.903483337378546</v>
      </c>
      <c r="F154" s="8">
        <f t="shared" si="13"/>
        <v>8.4302154904348594</v>
      </c>
      <c r="G154" s="5">
        <f t="shared" si="14"/>
        <v>6.3119202986490125E-2</v>
      </c>
    </row>
    <row r="155" spans="1:7" ht="15.75" customHeight="1">
      <c r="A155" s="3">
        <v>21704</v>
      </c>
      <c r="B155" s="4">
        <v>34</v>
      </c>
      <c r="C155">
        <f t="shared" si="10"/>
        <v>45.128954998786433</v>
      </c>
      <c r="D155" s="8">
        <f t="shared" si="11"/>
        <v>-11.128954998786433</v>
      </c>
      <c r="E155" s="8">
        <f t="shared" si="12"/>
        <v>11.128954998786433</v>
      </c>
      <c r="F155" s="8">
        <f t="shared" si="13"/>
        <v>123.85363936501355</v>
      </c>
      <c r="G155" s="5">
        <f t="shared" si="14"/>
        <v>0.32732220584665983</v>
      </c>
    </row>
    <row r="156" spans="1:7" ht="15.75" customHeight="1">
      <c r="A156" s="3">
        <v>21705</v>
      </c>
      <c r="B156" s="4">
        <v>35</v>
      </c>
      <c r="C156">
        <f t="shared" si="10"/>
        <v>37.338686499635926</v>
      </c>
      <c r="D156" s="8">
        <f t="shared" si="11"/>
        <v>-2.3386864996359265</v>
      </c>
      <c r="E156" s="8">
        <f t="shared" si="12"/>
        <v>2.3386864996359265</v>
      </c>
      <c r="F156" s="8">
        <f t="shared" si="13"/>
        <v>5.4694545435793422</v>
      </c>
      <c r="G156" s="5">
        <f t="shared" si="14"/>
        <v>6.6819614275312189E-2</v>
      </c>
    </row>
    <row r="157" spans="1:7" ht="15.75" customHeight="1">
      <c r="A157" s="3">
        <v>21706</v>
      </c>
      <c r="B157" s="4">
        <v>48</v>
      </c>
      <c r="C157">
        <f t="shared" si="10"/>
        <v>35.701605949890777</v>
      </c>
      <c r="D157" s="8">
        <f t="shared" si="11"/>
        <v>12.298394050109223</v>
      </c>
      <c r="E157" s="8">
        <f t="shared" si="12"/>
        <v>12.298394050109223</v>
      </c>
      <c r="F157" s="8">
        <f t="shared" si="13"/>
        <v>151.25049621176194</v>
      </c>
      <c r="G157" s="5">
        <f t="shared" si="14"/>
        <v>0.25621654271060884</v>
      </c>
    </row>
    <row r="158" spans="1:7" ht="15.75" customHeight="1">
      <c r="A158" s="3">
        <v>21707</v>
      </c>
      <c r="B158" s="4">
        <v>51</v>
      </c>
      <c r="C158">
        <f t="shared" si="10"/>
        <v>44.310481784967223</v>
      </c>
      <c r="D158" s="8">
        <f t="shared" si="11"/>
        <v>6.689518215032777</v>
      </c>
      <c r="E158" s="8">
        <f t="shared" si="12"/>
        <v>6.689518215032777</v>
      </c>
      <c r="F158" s="8">
        <f t="shared" si="13"/>
        <v>44.749653949255311</v>
      </c>
      <c r="G158" s="5">
        <f t="shared" si="14"/>
        <v>0.13116702382417209</v>
      </c>
    </row>
    <row r="159" spans="1:7" ht="15.75" customHeight="1">
      <c r="A159" s="3">
        <v>21708</v>
      </c>
      <c r="B159" s="4">
        <v>36</v>
      </c>
      <c r="C159">
        <f t="shared" si="10"/>
        <v>48.99314453549016</v>
      </c>
      <c r="D159" s="8">
        <f t="shared" si="11"/>
        <v>-12.99314453549016</v>
      </c>
      <c r="E159" s="8">
        <f t="shared" si="12"/>
        <v>12.99314453549016</v>
      </c>
      <c r="F159" s="8">
        <f t="shared" si="13"/>
        <v>168.82180492013779</v>
      </c>
      <c r="G159" s="5">
        <f t="shared" si="14"/>
        <v>0.36092068154139334</v>
      </c>
    </row>
    <row r="160" spans="1:7" ht="15.75" customHeight="1">
      <c r="A160" s="3">
        <v>21709</v>
      </c>
      <c r="B160" s="4">
        <v>33</v>
      </c>
      <c r="C160">
        <f t="shared" si="10"/>
        <v>39.897943360647048</v>
      </c>
      <c r="D160" s="8">
        <f t="shared" si="11"/>
        <v>-6.8979433606470479</v>
      </c>
      <c r="E160" s="8">
        <f t="shared" si="12"/>
        <v>6.8979433606470479</v>
      </c>
      <c r="F160" s="8">
        <f t="shared" si="13"/>
        <v>47.581622606694687</v>
      </c>
      <c r="G160" s="5">
        <f t="shared" si="14"/>
        <v>0.20902858668627419</v>
      </c>
    </row>
    <row r="161" spans="1:7" ht="15.75" customHeight="1">
      <c r="A161" s="3">
        <v>21710</v>
      </c>
      <c r="B161" s="4">
        <v>46</v>
      </c>
      <c r="C161">
        <f t="shared" si="10"/>
        <v>35.069383008194109</v>
      </c>
      <c r="D161" s="8">
        <f t="shared" si="11"/>
        <v>10.930616991805891</v>
      </c>
      <c r="E161" s="8">
        <f t="shared" si="12"/>
        <v>10.930616991805891</v>
      </c>
      <c r="F161" s="8">
        <f t="shared" si="13"/>
        <v>119.47838782155567</v>
      </c>
      <c r="G161" s="5">
        <f t="shared" si="14"/>
        <v>0.23762210851751939</v>
      </c>
    </row>
    <row r="162" spans="1:7" ht="15.75" customHeight="1">
      <c r="A162" s="3">
        <v>21711</v>
      </c>
      <c r="B162" s="4">
        <v>42</v>
      </c>
      <c r="C162">
        <f t="shared" si="10"/>
        <v>42.72081490245823</v>
      </c>
      <c r="D162" s="8">
        <f t="shared" si="11"/>
        <v>-0.72081490245822977</v>
      </c>
      <c r="E162" s="8">
        <f t="shared" si="12"/>
        <v>0.72081490245822977</v>
      </c>
      <c r="F162" s="8">
        <f t="shared" si="13"/>
        <v>0.5195741236058673</v>
      </c>
      <c r="G162" s="5">
        <f t="shared" si="14"/>
        <v>1.7162259582338805E-2</v>
      </c>
    </row>
    <row r="163" spans="1:7" ht="15.75" customHeight="1">
      <c r="A163" s="3">
        <v>21712</v>
      </c>
      <c r="B163" s="4">
        <v>48</v>
      </c>
      <c r="C163">
        <f t="shared" si="10"/>
        <v>42.216244470737465</v>
      </c>
      <c r="D163" s="8">
        <f t="shared" si="11"/>
        <v>5.7837555292625353</v>
      </c>
      <c r="E163" s="8">
        <f t="shared" si="12"/>
        <v>5.7837555292625353</v>
      </c>
      <c r="F163" s="8">
        <f t="shared" si="13"/>
        <v>33.451828022274952</v>
      </c>
      <c r="G163" s="5">
        <f t="shared" si="14"/>
        <v>0.12049490685963615</v>
      </c>
    </row>
    <row r="164" spans="1:7" ht="15.75" customHeight="1">
      <c r="A164" s="3">
        <v>21713</v>
      </c>
      <c r="B164" s="4">
        <v>34</v>
      </c>
      <c r="C164">
        <f t="shared" si="10"/>
        <v>46.264873341221232</v>
      </c>
      <c r="D164" s="8">
        <f t="shared" si="11"/>
        <v>-12.264873341221232</v>
      </c>
      <c r="E164" s="8">
        <f t="shared" si="12"/>
        <v>12.264873341221232</v>
      </c>
      <c r="F164" s="8">
        <f t="shared" si="13"/>
        <v>150.42711807619926</v>
      </c>
      <c r="G164" s="5">
        <f t="shared" si="14"/>
        <v>0.36073156885944802</v>
      </c>
    </row>
    <row r="165" spans="1:7" ht="15.75" customHeight="1">
      <c r="A165" s="3">
        <v>21714</v>
      </c>
      <c r="B165" s="4">
        <v>41</v>
      </c>
      <c r="C165">
        <f t="shared" si="10"/>
        <v>37.679462002366364</v>
      </c>
      <c r="D165" s="8">
        <f t="shared" si="11"/>
        <v>3.320537997633636</v>
      </c>
      <c r="E165" s="8">
        <f t="shared" si="12"/>
        <v>3.320537997633636</v>
      </c>
      <c r="F165" s="8">
        <f t="shared" si="13"/>
        <v>11.025972593728797</v>
      </c>
      <c r="G165" s="5">
        <f t="shared" si="14"/>
        <v>8.0988731649600881E-2</v>
      </c>
    </row>
    <row r="166" spans="1:7" ht="15.75" customHeight="1">
      <c r="A166" s="3">
        <v>21715</v>
      </c>
      <c r="B166" s="4">
        <v>35</v>
      </c>
      <c r="C166">
        <f t="shared" si="10"/>
        <v>40.003838600709912</v>
      </c>
      <c r="D166" s="8">
        <f t="shared" si="11"/>
        <v>-5.003838600709912</v>
      </c>
      <c r="E166" s="8">
        <f t="shared" si="12"/>
        <v>5.003838600709912</v>
      </c>
      <c r="F166" s="8">
        <f t="shared" si="13"/>
        <v>25.038400741954529</v>
      </c>
      <c r="G166" s="5">
        <f t="shared" si="14"/>
        <v>0.14296681716314033</v>
      </c>
    </row>
    <row r="167" spans="1:7" ht="15.75" customHeight="1">
      <c r="A167" s="3">
        <v>21716</v>
      </c>
      <c r="B167" s="4">
        <v>40</v>
      </c>
      <c r="C167">
        <f t="shared" si="10"/>
        <v>36.501151580212976</v>
      </c>
      <c r="D167" s="8">
        <f t="shared" si="11"/>
        <v>3.4988484197870235</v>
      </c>
      <c r="E167" s="8">
        <f t="shared" si="12"/>
        <v>3.4988484197870235</v>
      </c>
      <c r="F167" s="8">
        <f t="shared" si="13"/>
        <v>12.241940264646152</v>
      </c>
      <c r="G167" s="5">
        <f t="shared" si="14"/>
        <v>8.7471210494675586E-2</v>
      </c>
    </row>
    <row r="168" spans="1:7" ht="15.75" customHeight="1">
      <c r="A168" s="3">
        <v>21717</v>
      </c>
      <c r="B168" s="4">
        <v>34</v>
      </c>
      <c r="C168">
        <f t="shared" si="10"/>
        <v>38.950345474063894</v>
      </c>
      <c r="D168" s="8">
        <f t="shared" si="11"/>
        <v>-4.9503454740638944</v>
      </c>
      <c r="E168" s="8">
        <f t="shared" si="12"/>
        <v>4.9503454740638944</v>
      </c>
      <c r="F168" s="8">
        <f t="shared" si="13"/>
        <v>24.505920312584884</v>
      </c>
      <c r="G168" s="5">
        <f t="shared" si="14"/>
        <v>0.14559839629599688</v>
      </c>
    </row>
    <row r="169" spans="1:7" ht="15.75" customHeight="1">
      <c r="A169" s="3">
        <v>21718</v>
      </c>
      <c r="B169" s="4">
        <v>30</v>
      </c>
      <c r="C169">
        <f t="shared" si="10"/>
        <v>35.485103642219165</v>
      </c>
      <c r="D169" s="8">
        <f t="shared" si="11"/>
        <v>-5.4851036422191655</v>
      </c>
      <c r="E169" s="8">
        <f t="shared" si="12"/>
        <v>5.4851036422191655</v>
      </c>
      <c r="F169" s="8">
        <f t="shared" si="13"/>
        <v>30.086361965885956</v>
      </c>
      <c r="G169" s="5">
        <f t="shared" si="14"/>
        <v>0.18283678807397219</v>
      </c>
    </row>
    <row r="170" spans="1:7" ht="15.75" customHeight="1">
      <c r="A170" s="3">
        <v>21719</v>
      </c>
      <c r="B170" s="4">
        <v>36</v>
      </c>
      <c r="C170">
        <f t="shared" si="10"/>
        <v>31.645531092665749</v>
      </c>
      <c r="D170" s="8">
        <f t="shared" si="11"/>
        <v>4.3544689073342511</v>
      </c>
      <c r="E170" s="8">
        <f t="shared" si="12"/>
        <v>4.3544689073342511</v>
      </c>
      <c r="F170" s="8">
        <f t="shared" si="13"/>
        <v>18.961399464940747</v>
      </c>
      <c r="G170" s="5">
        <f t="shared" si="14"/>
        <v>0.12095746964817364</v>
      </c>
    </row>
    <row r="171" spans="1:7" ht="15.75" customHeight="1">
      <c r="A171" s="3">
        <v>21720</v>
      </c>
      <c r="B171" s="4">
        <v>40</v>
      </c>
      <c r="C171">
        <f t="shared" si="10"/>
        <v>34.693659327799722</v>
      </c>
      <c r="D171" s="8">
        <f t="shared" si="11"/>
        <v>5.3063406722002782</v>
      </c>
      <c r="E171" s="8">
        <f t="shared" si="12"/>
        <v>5.3063406722002782</v>
      </c>
      <c r="F171" s="8">
        <f t="shared" si="13"/>
        <v>28.1572513294469</v>
      </c>
      <c r="G171" s="5">
        <f t="shared" si="14"/>
        <v>0.13265851680500695</v>
      </c>
    </row>
    <row r="172" spans="1:7" ht="15.75" customHeight="1">
      <c r="A172" s="3">
        <v>21721</v>
      </c>
      <c r="B172" s="4">
        <v>39</v>
      </c>
      <c r="C172">
        <f t="shared" si="10"/>
        <v>38.408097798339917</v>
      </c>
      <c r="D172" s="8">
        <f t="shared" si="11"/>
        <v>0.59190220166008345</v>
      </c>
      <c r="E172" s="8">
        <f t="shared" si="12"/>
        <v>0.59190220166008345</v>
      </c>
      <c r="F172" s="8">
        <f t="shared" si="13"/>
        <v>0.35034821633005409</v>
      </c>
      <c r="G172" s="5">
        <f t="shared" si="14"/>
        <v>1.517697952974573E-2</v>
      </c>
    </row>
    <row r="173" spans="1:7" ht="15.75" customHeight="1">
      <c r="A173" s="3">
        <v>21722</v>
      </c>
      <c r="B173" s="4">
        <v>45</v>
      </c>
      <c r="C173">
        <f t="shared" si="10"/>
        <v>38.822429339501973</v>
      </c>
      <c r="D173" s="8">
        <f t="shared" si="11"/>
        <v>6.1775706604980272</v>
      </c>
      <c r="E173" s="8">
        <f t="shared" si="12"/>
        <v>6.1775706604980272</v>
      </c>
      <c r="F173" s="8">
        <f t="shared" si="13"/>
        <v>38.162379265446035</v>
      </c>
      <c r="G173" s="5">
        <f t="shared" si="14"/>
        <v>0.13727934801106728</v>
      </c>
    </row>
    <row r="174" spans="1:7" ht="15.75" customHeight="1">
      <c r="A174" s="3">
        <v>21723</v>
      </c>
      <c r="B174" s="4">
        <v>38</v>
      </c>
      <c r="C174">
        <f t="shared" si="10"/>
        <v>43.146728801850585</v>
      </c>
      <c r="D174" s="8">
        <f t="shared" si="11"/>
        <v>-5.1467288018505855</v>
      </c>
      <c r="E174" s="8">
        <f t="shared" si="12"/>
        <v>5.1467288018505855</v>
      </c>
      <c r="F174" s="8">
        <f t="shared" si="13"/>
        <v>26.488817359798364</v>
      </c>
      <c r="G174" s="5">
        <f t="shared" si="14"/>
        <v>0.13544023162764698</v>
      </c>
    </row>
    <row r="175" spans="1:7" ht="15.75" customHeight="1">
      <c r="A175" s="3">
        <v>21724</v>
      </c>
      <c r="B175" s="4">
        <v>47</v>
      </c>
      <c r="C175">
        <f t="shared" si="10"/>
        <v>39.544018640555173</v>
      </c>
      <c r="D175" s="8">
        <f t="shared" si="11"/>
        <v>7.4559813594448272</v>
      </c>
      <c r="E175" s="8">
        <f t="shared" si="12"/>
        <v>7.4559813594448272</v>
      </c>
      <c r="F175" s="8">
        <f t="shared" si="13"/>
        <v>55.591658032388736</v>
      </c>
      <c r="G175" s="5">
        <f t="shared" si="14"/>
        <v>0.15863790126478355</v>
      </c>
    </row>
    <row r="176" spans="1:7" ht="15.75" customHeight="1">
      <c r="A176" s="3">
        <v>21725</v>
      </c>
      <c r="B176" s="4">
        <v>33</v>
      </c>
      <c r="C176">
        <f t="shared" si="10"/>
        <v>44.76320559216655</v>
      </c>
      <c r="D176" s="8">
        <f t="shared" si="11"/>
        <v>-11.76320559216655</v>
      </c>
      <c r="E176" s="8">
        <f t="shared" si="12"/>
        <v>11.76320559216655</v>
      </c>
      <c r="F176" s="8">
        <f t="shared" si="13"/>
        <v>138.37300580357839</v>
      </c>
      <c r="G176" s="5">
        <f t="shared" si="14"/>
        <v>0.3564607755201985</v>
      </c>
    </row>
    <row r="177" spans="1:7" ht="15.75" customHeight="1">
      <c r="A177" s="3">
        <v>21726</v>
      </c>
      <c r="B177" s="4">
        <v>30</v>
      </c>
      <c r="C177">
        <f t="shared" si="10"/>
        <v>36.52896167764996</v>
      </c>
      <c r="D177" s="8">
        <f t="shared" si="11"/>
        <v>-6.5289616776499599</v>
      </c>
      <c r="E177" s="8">
        <f t="shared" si="12"/>
        <v>6.5289616776499599</v>
      </c>
      <c r="F177" s="8">
        <f t="shared" si="13"/>
        <v>42.627340588221777</v>
      </c>
      <c r="G177" s="5">
        <f t="shared" si="14"/>
        <v>0.21763205592166532</v>
      </c>
    </row>
    <row r="178" spans="1:7" ht="15.75" customHeight="1">
      <c r="A178" s="3">
        <v>21727</v>
      </c>
      <c r="B178" s="4">
        <v>42</v>
      </c>
      <c r="C178">
        <f t="shared" si="10"/>
        <v>31.958688503294987</v>
      </c>
      <c r="D178" s="8">
        <f t="shared" si="11"/>
        <v>10.041311496705013</v>
      </c>
      <c r="E178" s="8">
        <f t="shared" si="12"/>
        <v>10.041311496705013</v>
      </c>
      <c r="F178" s="8">
        <f t="shared" si="13"/>
        <v>100.82793657386027</v>
      </c>
      <c r="G178" s="5">
        <f t="shared" si="14"/>
        <v>0.23907884515964317</v>
      </c>
    </row>
    <row r="179" spans="1:7" ht="15.75" customHeight="1">
      <c r="A179" s="3">
        <v>21728</v>
      </c>
      <c r="B179" s="4">
        <v>43</v>
      </c>
      <c r="C179">
        <f t="shared" si="10"/>
        <v>38.987606550988495</v>
      </c>
      <c r="D179" s="8">
        <f t="shared" si="11"/>
        <v>4.0123934490115047</v>
      </c>
      <c r="E179" s="8">
        <f t="shared" si="12"/>
        <v>4.0123934490115047</v>
      </c>
      <c r="F179" s="8">
        <f t="shared" si="13"/>
        <v>16.099301189670438</v>
      </c>
      <c r="G179" s="5">
        <f t="shared" si="14"/>
        <v>9.3311475558407089E-2</v>
      </c>
    </row>
    <row r="180" spans="1:7" ht="15.75" customHeight="1">
      <c r="A180" s="3">
        <v>21729</v>
      </c>
      <c r="B180" s="4">
        <v>41</v>
      </c>
      <c r="C180">
        <f t="shared" si="10"/>
        <v>41.796281965296544</v>
      </c>
      <c r="D180" s="8">
        <f t="shared" si="11"/>
        <v>-0.7962819652965436</v>
      </c>
      <c r="E180" s="8">
        <f t="shared" si="12"/>
        <v>0.7962819652965436</v>
      </c>
      <c r="F180" s="8">
        <f t="shared" si="13"/>
        <v>0.63406496825652592</v>
      </c>
      <c r="G180" s="5">
        <f t="shared" si="14"/>
        <v>1.9421511348696185E-2</v>
      </c>
    </row>
    <row r="181" spans="1:7" ht="15.75" customHeight="1">
      <c r="A181" s="3">
        <v>21730</v>
      </c>
      <c r="B181" s="4">
        <v>41</v>
      </c>
      <c r="C181">
        <f t="shared" si="10"/>
        <v>41.238884589588963</v>
      </c>
      <c r="D181" s="8">
        <f t="shared" si="11"/>
        <v>-0.23888458958896308</v>
      </c>
      <c r="E181" s="8">
        <f t="shared" si="12"/>
        <v>0.23888458958896308</v>
      </c>
      <c r="F181" s="8">
        <f t="shared" si="13"/>
        <v>5.706584714308733E-2</v>
      </c>
      <c r="G181" s="5">
        <f t="shared" si="14"/>
        <v>5.8264534046088556E-3</v>
      </c>
    </row>
    <row r="182" spans="1:7" ht="15.75" customHeight="1">
      <c r="A182" s="3">
        <v>21731</v>
      </c>
      <c r="B182" s="4">
        <v>59</v>
      </c>
      <c r="C182">
        <f t="shared" si="10"/>
        <v>41.071665376876688</v>
      </c>
      <c r="D182" s="8">
        <f t="shared" si="11"/>
        <v>17.928334623123312</v>
      </c>
      <c r="E182" s="8">
        <f t="shared" si="12"/>
        <v>17.928334623123312</v>
      </c>
      <c r="F182" s="8">
        <f t="shared" si="13"/>
        <v>321.42518235868215</v>
      </c>
      <c r="G182" s="5">
        <f t="shared" si="14"/>
        <v>0.30387007835802227</v>
      </c>
    </row>
    <row r="183" spans="1:7" ht="15.75" customHeight="1">
      <c r="A183" s="3">
        <v>21732</v>
      </c>
      <c r="B183" s="4">
        <v>43</v>
      </c>
      <c r="C183">
        <f t="shared" si="10"/>
        <v>53.621499613063001</v>
      </c>
      <c r="D183" s="8">
        <f t="shared" si="11"/>
        <v>-10.621499613063001</v>
      </c>
      <c r="E183" s="8">
        <f t="shared" si="12"/>
        <v>10.621499613063001</v>
      </c>
      <c r="F183" s="8">
        <f t="shared" si="13"/>
        <v>112.81625403029749</v>
      </c>
      <c r="G183" s="5">
        <f t="shared" si="14"/>
        <v>0.24701161890844189</v>
      </c>
    </row>
    <row r="184" spans="1:7" ht="15.75" customHeight="1">
      <c r="A184" s="3">
        <v>21733</v>
      </c>
      <c r="B184" s="4">
        <v>45</v>
      </c>
      <c r="C184">
        <f t="shared" si="10"/>
        <v>46.186449883918897</v>
      </c>
      <c r="D184" s="8">
        <f t="shared" si="11"/>
        <v>-1.1864498839188968</v>
      </c>
      <c r="E184" s="8">
        <f t="shared" si="12"/>
        <v>1.1864498839188968</v>
      </c>
      <c r="F184" s="8">
        <f t="shared" si="13"/>
        <v>1.4076633270511638</v>
      </c>
      <c r="G184" s="5">
        <f t="shared" si="14"/>
        <v>2.6365552975975485E-2</v>
      </c>
    </row>
    <row r="185" spans="1:7" ht="15.75" customHeight="1">
      <c r="A185" s="3">
        <v>21734</v>
      </c>
      <c r="B185" s="4">
        <v>38</v>
      </c>
      <c r="C185">
        <f t="shared" si="10"/>
        <v>45.355934965175663</v>
      </c>
      <c r="D185" s="8">
        <f t="shared" si="11"/>
        <v>-7.3559349651756634</v>
      </c>
      <c r="E185" s="8">
        <f t="shared" si="12"/>
        <v>7.3559349651756634</v>
      </c>
      <c r="F185" s="8">
        <f t="shared" si="13"/>
        <v>54.109779211893887</v>
      </c>
      <c r="G185" s="5">
        <f t="shared" si="14"/>
        <v>0.19357723592567536</v>
      </c>
    </row>
    <row r="186" spans="1:7" ht="15.75" customHeight="1">
      <c r="A186" s="3">
        <v>21735</v>
      </c>
      <c r="B186" s="4">
        <v>37</v>
      </c>
      <c r="C186">
        <f t="shared" si="10"/>
        <v>40.206780489552699</v>
      </c>
      <c r="D186" s="8">
        <f t="shared" si="11"/>
        <v>-3.206780489552699</v>
      </c>
      <c r="E186" s="8">
        <f t="shared" si="12"/>
        <v>3.206780489552699</v>
      </c>
      <c r="F186" s="8">
        <f t="shared" si="13"/>
        <v>10.283441108175849</v>
      </c>
      <c r="G186" s="5">
        <f t="shared" si="14"/>
        <v>8.6669742960883756E-2</v>
      </c>
    </row>
    <row r="187" spans="1:7" ht="15.75" customHeight="1">
      <c r="A187" s="3">
        <v>21736</v>
      </c>
      <c r="B187" s="4">
        <v>45</v>
      </c>
      <c r="C187">
        <f t="shared" si="10"/>
        <v>37.962034146865804</v>
      </c>
      <c r="D187" s="8">
        <f t="shared" si="11"/>
        <v>7.037965853134196</v>
      </c>
      <c r="E187" s="8">
        <f t="shared" si="12"/>
        <v>7.037965853134196</v>
      </c>
      <c r="F187" s="8">
        <f t="shared" si="13"/>
        <v>49.532963349882948</v>
      </c>
      <c r="G187" s="5">
        <f t="shared" si="14"/>
        <v>0.1563992411807599</v>
      </c>
    </row>
    <row r="188" spans="1:7" ht="15.75" customHeight="1">
      <c r="A188" s="3">
        <v>21737</v>
      </c>
      <c r="B188" s="4">
        <v>42</v>
      </c>
      <c r="C188">
        <f t="shared" si="10"/>
        <v>42.888610244059734</v>
      </c>
      <c r="D188" s="8">
        <f t="shared" si="11"/>
        <v>-0.8886102440597341</v>
      </c>
      <c r="E188" s="8">
        <f t="shared" si="12"/>
        <v>0.8886102440597341</v>
      </c>
      <c r="F188" s="8">
        <f t="shared" si="13"/>
        <v>0.78962816584790019</v>
      </c>
      <c r="G188" s="5">
        <f t="shared" si="14"/>
        <v>2.1157386763327003E-2</v>
      </c>
    </row>
    <row r="189" spans="1:7" ht="15.75" customHeight="1">
      <c r="A189" s="3">
        <v>21738</v>
      </c>
      <c r="B189" s="4">
        <v>57</v>
      </c>
      <c r="C189">
        <f t="shared" si="10"/>
        <v>42.266583073217916</v>
      </c>
      <c r="D189" s="8">
        <f t="shared" si="11"/>
        <v>14.733416926782084</v>
      </c>
      <c r="E189" s="8">
        <f t="shared" si="12"/>
        <v>14.733416926782084</v>
      </c>
      <c r="F189" s="8">
        <f t="shared" si="13"/>
        <v>217.07357433838882</v>
      </c>
      <c r="G189" s="5">
        <f t="shared" si="14"/>
        <v>0.25848099871547514</v>
      </c>
    </row>
    <row r="190" spans="1:7" ht="15.75" customHeight="1">
      <c r="A190" s="3">
        <v>21739</v>
      </c>
      <c r="B190" s="4">
        <v>46</v>
      </c>
      <c r="C190">
        <f t="shared" si="10"/>
        <v>52.579974921965373</v>
      </c>
      <c r="D190" s="8">
        <f t="shared" si="11"/>
        <v>-6.5799749219653734</v>
      </c>
      <c r="E190" s="8">
        <f t="shared" si="12"/>
        <v>6.5799749219653734</v>
      </c>
      <c r="F190" s="8">
        <f t="shared" si="13"/>
        <v>43.296069973693221</v>
      </c>
      <c r="G190" s="5">
        <f t="shared" si="14"/>
        <v>0.14304293308620378</v>
      </c>
    </row>
    <row r="191" spans="1:7" ht="15.75" customHeight="1">
      <c r="A191" s="3">
        <v>21740</v>
      </c>
      <c r="B191" s="4">
        <v>51</v>
      </c>
      <c r="C191">
        <f t="shared" si="10"/>
        <v>47.973992476589608</v>
      </c>
      <c r="D191" s="8">
        <f t="shared" si="11"/>
        <v>3.0260075234103923</v>
      </c>
      <c r="E191" s="8">
        <f t="shared" si="12"/>
        <v>3.0260075234103923</v>
      </c>
      <c r="F191" s="8">
        <f t="shared" si="13"/>
        <v>9.1567215317362951</v>
      </c>
      <c r="G191" s="5">
        <f t="shared" si="14"/>
        <v>5.9333480851184159E-2</v>
      </c>
    </row>
    <row r="192" spans="1:7" ht="15.75" customHeight="1">
      <c r="A192" s="3">
        <v>21741</v>
      </c>
      <c r="B192" s="4">
        <v>41</v>
      </c>
      <c r="C192">
        <f t="shared" si="10"/>
        <v>50.092197742976879</v>
      </c>
      <c r="D192" s="8">
        <f t="shared" si="11"/>
        <v>-9.0921977429768788</v>
      </c>
      <c r="E192" s="8">
        <f t="shared" si="12"/>
        <v>9.0921977429768788</v>
      </c>
      <c r="F192" s="8">
        <f t="shared" si="13"/>
        <v>82.668059797393852</v>
      </c>
      <c r="G192" s="5">
        <f t="shared" si="14"/>
        <v>0.22176092056041169</v>
      </c>
    </row>
    <row r="193" spans="1:7" ht="15.75" customHeight="1">
      <c r="A193" s="3">
        <v>21742</v>
      </c>
      <c r="B193" s="4">
        <v>47</v>
      </c>
      <c r="C193">
        <f t="shared" si="10"/>
        <v>43.727659322893061</v>
      </c>
      <c r="D193" s="8">
        <f t="shared" si="11"/>
        <v>3.2723406771069392</v>
      </c>
      <c r="E193" s="8">
        <f t="shared" si="12"/>
        <v>3.2723406771069392</v>
      </c>
      <c r="F193" s="8">
        <f t="shared" si="13"/>
        <v>10.708213507048701</v>
      </c>
      <c r="G193" s="5">
        <f t="shared" si="14"/>
        <v>6.9624269725679561E-2</v>
      </c>
    </row>
    <row r="194" spans="1:7" ht="15.75" customHeight="1">
      <c r="A194" s="3">
        <v>21743</v>
      </c>
      <c r="B194" s="4">
        <v>26</v>
      </c>
      <c r="C194">
        <f t="shared" si="10"/>
        <v>46.018297796867913</v>
      </c>
      <c r="D194" s="8">
        <f t="shared" si="11"/>
        <v>-20.018297796867913</v>
      </c>
      <c r="E194" s="8">
        <f t="shared" si="12"/>
        <v>20.018297796867913</v>
      </c>
      <c r="F194" s="8">
        <f t="shared" si="13"/>
        <v>400.7322466840867</v>
      </c>
      <c r="G194" s="5">
        <f t="shared" si="14"/>
        <v>0.76993453064876582</v>
      </c>
    </row>
    <row r="195" spans="1:7" ht="15.75" customHeight="1">
      <c r="A195" s="3">
        <v>21744</v>
      </c>
      <c r="B195" s="4">
        <v>35</v>
      </c>
      <c r="C195">
        <f t="shared" si="10"/>
        <v>32.005489339060375</v>
      </c>
      <c r="D195" s="8">
        <f t="shared" si="11"/>
        <v>2.9945106609396248</v>
      </c>
      <c r="E195" s="8">
        <f t="shared" si="12"/>
        <v>2.9945106609396248</v>
      </c>
      <c r="F195" s="8">
        <f t="shared" si="13"/>
        <v>8.9670940984810681</v>
      </c>
      <c r="G195" s="5">
        <f t="shared" si="14"/>
        <v>8.5557447455417851E-2</v>
      </c>
    </row>
    <row r="196" spans="1:7" ht="15.75" customHeight="1">
      <c r="A196" s="3">
        <v>21745</v>
      </c>
      <c r="B196" s="4">
        <v>44</v>
      </c>
      <c r="C196">
        <f t="shared" ref="C196:C259" si="15">0.7*B195+0.3*C195</f>
        <v>34.101646801718111</v>
      </c>
      <c r="D196" s="8">
        <f t="shared" ref="D196:D259" si="16">B196-C196</f>
        <v>9.8983531982818889</v>
      </c>
      <c r="E196" s="8">
        <f t="shared" ref="E196:E259" si="17">ABS(D196)</f>
        <v>9.8983531982818889</v>
      </c>
      <c r="F196" s="8">
        <f t="shared" ref="F196:F259" si="18">E196^2</f>
        <v>97.977396037937297</v>
      </c>
      <c r="G196" s="5">
        <f t="shared" ref="G196:G259" si="19">E196/B196</f>
        <v>0.22496257268822475</v>
      </c>
    </row>
    <row r="197" spans="1:7" ht="15.75" customHeight="1">
      <c r="A197" s="3">
        <v>21746</v>
      </c>
      <c r="B197" s="4">
        <v>41</v>
      </c>
      <c r="C197">
        <f t="shared" si="15"/>
        <v>41.030494040515428</v>
      </c>
      <c r="D197" s="8">
        <f t="shared" si="16"/>
        <v>-3.0494040515428367E-2</v>
      </c>
      <c r="E197" s="8">
        <f t="shared" si="17"/>
        <v>3.0494040515428367E-2</v>
      </c>
      <c r="F197" s="8">
        <f t="shared" si="18"/>
        <v>9.2988650695658673E-4</v>
      </c>
      <c r="G197" s="5">
        <f t="shared" si="19"/>
        <v>7.4375708574215529E-4</v>
      </c>
    </row>
    <row r="198" spans="1:7" ht="15.75" customHeight="1">
      <c r="A198" s="3">
        <v>21747</v>
      </c>
      <c r="B198" s="4">
        <v>42</v>
      </c>
      <c r="C198">
        <f t="shared" si="15"/>
        <v>41.009148212154628</v>
      </c>
      <c r="D198" s="8">
        <f t="shared" si="16"/>
        <v>0.9908517878453722</v>
      </c>
      <c r="E198" s="8">
        <f t="shared" si="17"/>
        <v>0.9908517878453722</v>
      </c>
      <c r="F198" s="8">
        <f t="shared" si="18"/>
        <v>0.98178726547637052</v>
      </c>
      <c r="G198" s="5">
        <f t="shared" si="19"/>
        <v>2.3591709234413623E-2</v>
      </c>
    </row>
    <row r="199" spans="1:7" ht="15.75" customHeight="1">
      <c r="A199" s="3">
        <v>21748</v>
      </c>
      <c r="B199" s="4">
        <v>36</v>
      </c>
      <c r="C199">
        <f t="shared" si="15"/>
        <v>41.702744463646383</v>
      </c>
      <c r="D199" s="8">
        <f t="shared" si="16"/>
        <v>-5.7027444636463827</v>
      </c>
      <c r="E199" s="8">
        <f t="shared" si="17"/>
        <v>5.7027444636463827</v>
      </c>
      <c r="F199" s="8">
        <f t="shared" si="18"/>
        <v>32.521294417649472</v>
      </c>
      <c r="G199" s="5">
        <f t="shared" si="19"/>
        <v>0.15840956843462173</v>
      </c>
    </row>
    <row r="200" spans="1:7" ht="15.75" customHeight="1">
      <c r="A200" s="3">
        <v>21749</v>
      </c>
      <c r="B200" s="4">
        <v>45</v>
      </c>
      <c r="C200">
        <f t="shared" si="15"/>
        <v>37.710823339093913</v>
      </c>
      <c r="D200" s="8">
        <f t="shared" si="16"/>
        <v>7.2891766609060866</v>
      </c>
      <c r="E200" s="8">
        <f t="shared" si="17"/>
        <v>7.2891766609060866</v>
      </c>
      <c r="F200" s="8">
        <f t="shared" si="18"/>
        <v>53.13209639389801</v>
      </c>
      <c r="G200" s="5">
        <f t="shared" si="19"/>
        <v>0.16198170357569081</v>
      </c>
    </row>
    <row r="201" spans="1:7" ht="15.75" customHeight="1">
      <c r="A201" s="3">
        <v>21750</v>
      </c>
      <c r="B201" s="4">
        <v>45</v>
      </c>
      <c r="C201">
        <f t="shared" si="15"/>
        <v>42.813247001728172</v>
      </c>
      <c r="D201" s="8">
        <f t="shared" si="16"/>
        <v>2.1867529982718281</v>
      </c>
      <c r="E201" s="8">
        <f t="shared" si="17"/>
        <v>2.1867529982718281</v>
      </c>
      <c r="F201" s="8">
        <f t="shared" si="18"/>
        <v>4.7818886754508299</v>
      </c>
      <c r="G201" s="5">
        <f t="shared" si="19"/>
        <v>4.8594511072707292E-2</v>
      </c>
    </row>
    <row r="202" spans="1:7" ht="15.75" customHeight="1">
      <c r="A202" s="3">
        <v>21751</v>
      </c>
      <c r="B202" s="4">
        <v>45</v>
      </c>
      <c r="C202">
        <f t="shared" si="15"/>
        <v>44.343974100518452</v>
      </c>
      <c r="D202" s="8">
        <f t="shared" si="16"/>
        <v>0.65602589948154844</v>
      </c>
      <c r="E202" s="8">
        <f t="shared" si="17"/>
        <v>0.65602589948154844</v>
      </c>
      <c r="F202" s="8">
        <f t="shared" si="18"/>
        <v>0.4303699807905747</v>
      </c>
      <c r="G202" s="5">
        <f t="shared" si="19"/>
        <v>1.4578353321812187E-2</v>
      </c>
    </row>
    <row r="203" spans="1:7" ht="15.75" customHeight="1">
      <c r="A203" s="3">
        <v>21752</v>
      </c>
      <c r="B203" s="4">
        <v>47</v>
      </c>
      <c r="C203">
        <f t="shared" si="15"/>
        <v>44.803192230155531</v>
      </c>
      <c r="D203" s="8">
        <f t="shared" si="16"/>
        <v>2.1968077698444688</v>
      </c>
      <c r="E203" s="8">
        <f t="shared" si="17"/>
        <v>2.1968077698444688</v>
      </c>
      <c r="F203" s="8">
        <f t="shared" si="18"/>
        <v>4.8259643776490284</v>
      </c>
      <c r="G203" s="5">
        <f t="shared" si="19"/>
        <v>4.6740590847754657E-2</v>
      </c>
    </row>
    <row r="204" spans="1:7" ht="15.75" customHeight="1">
      <c r="A204" s="3">
        <v>21753</v>
      </c>
      <c r="B204" s="4">
        <v>38</v>
      </c>
      <c r="C204">
        <f t="shared" si="15"/>
        <v>46.340957669046659</v>
      </c>
      <c r="D204" s="8">
        <f t="shared" si="16"/>
        <v>-8.3409576690466594</v>
      </c>
      <c r="E204" s="8">
        <f t="shared" si="17"/>
        <v>8.3409576690466594</v>
      </c>
      <c r="F204" s="8">
        <f t="shared" si="18"/>
        <v>69.571574836828276</v>
      </c>
      <c r="G204" s="5">
        <f t="shared" si="19"/>
        <v>0.21949888602754367</v>
      </c>
    </row>
    <row r="205" spans="1:7" ht="15.75" customHeight="1">
      <c r="A205" s="3">
        <v>21754</v>
      </c>
      <c r="B205" s="4">
        <v>42</v>
      </c>
      <c r="C205">
        <f t="shared" si="15"/>
        <v>40.502287300713995</v>
      </c>
      <c r="D205" s="8">
        <f t="shared" si="16"/>
        <v>1.497712699286005</v>
      </c>
      <c r="E205" s="8">
        <f t="shared" si="17"/>
        <v>1.497712699286005</v>
      </c>
      <c r="F205" s="8">
        <f t="shared" si="18"/>
        <v>2.2431433296025713</v>
      </c>
      <c r="G205" s="5">
        <f t="shared" si="19"/>
        <v>3.5659826173476308E-2</v>
      </c>
    </row>
    <row r="206" spans="1:7" ht="15.75" customHeight="1">
      <c r="A206" s="3">
        <v>21755</v>
      </c>
      <c r="B206" s="4">
        <v>35</v>
      </c>
      <c r="C206">
        <f t="shared" si="15"/>
        <v>41.550686190214194</v>
      </c>
      <c r="D206" s="8">
        <f t="shared" si="16"/>
        <v>-6.5506861902141935</v>
      </c>
      <c r="E206" s="8">
        <f t="shared" si="17"/>
        <v>6.5506861902141935</v>
      </c>
      <c r="F206" s="8">
        <f t="shared" si="18"/>
        <v>42.911489562662943</v>
      </c>
      <c r="G206" s="5">
        <f t="shared" si="19"/>
        <v>0.1871624625775484</v>
      </c>
    </row>
    <row r="207" spans="1:7" ht="15.75" customHeight="1">
      <c r="A207" s="3">
        <v>21756</v>
      </c>
      <c r="B207" s="4">
        <v>36</v>
      </c>
      <c r="C207">
        <f t="shared" si="15"/>
        <v>36.965205857064255</v>
      </c>
      <c r="D207" s="8">
        <f t="shared" si="16"/>
        <v>-0.96520585706425521</v>
      </c>
      <c r="E207" s="8">
        <f t="shared" si="17"/>
        <v>0.96520585706425521</v>
      </c>
      <c r="F207" s="8">
        <f t="shared" si="18"/>
        <v>0.93162234651114351</v>
      </c>
      <c r="G207" s="5">
        <f t="shared" si="19"/>
        <v>2.6811273807340424E-2</v>
      </c>
    </row>
    <row r="208" spans="1:7" ht="15.75" customHeight="1">
      <c r="A208" s="3">
        <v>21757</v>
      </c>
      <c r="B208" s="4">
        <v>39</v>
      </c>
      <c r="C208">
        <f t="shared" si="15"/>
        <v>36.289561757119273</v>
      </c>
      <c r="D208" s="8">
        <f t="shared" si="16"/>
        <v>2.710438242880727</v>
      </c>
      <c r="E208" s="8">
        <f t="shared" si="17"/>
        <v>2.710438242880727</v>
      </c>
      <c r="F208" s="8">
        <f t="shared" si="18"/>
        <v>7.3464754684703628</v>
      </c>
      <c r="G208" s="5">
        <f t="shared" si="19"/>
        <v>6.9498416484121209E-2</v>
      </c>
    </row>
    <row r="209" spans="1:7" ht="15.75" customHeight="1">
      <c r="A209" s="3">
        <v>21758</v>
      </c>
      <c r="B209" s="4">
        <v>45</v>
      </c>
      <c r="C209">
        <f t="shared" si="15"/>
        <v>38.186868527135779</v>
      </c>
      <c r="D209" s="8">
        <f t="shared" si="16"/>
        <v>6.8131314728642209</v>
      </c>
      <c r="E209" s="8">
        <f t="shared" si="17"/>
        <v>6.8131314728642209</v>
      </c>
      <c r="F209" s="8">
        <f t="shared" si="18"/>
        <v>46.418760466532987</v>
      </c>
      <c r="G209" s="5">
        <f t="shared" si="19"/>
        <v>0.15140292161920491</v>
      </c>
    </row>
    <row r="210" spans="1:7" ht="15.75" customHeight="1">
      <c r="A210" s="3">
        <v>21759</v>
      </c>
      <c r="B210" s="4">
        <v>43</v>
      </c>
      <c r="C210">
        <f t="shared" si="15"/>
        <v>42.956060558140727</v>
      </c>
      <c r="D210" s="8">
        <f t="shared" si="16"/>
        <v>4.3939441859272677E-2</v>
      </c>
      <c r="E210" s="8">
        <f t="shared" si="17"/>
        <v>4.3939441859272677E-2</v>
      </c>
      <c r="F210" s="8">
        <f t="shared" si="18"/>
        <v>1.930674550904404E-3</v>
      </c>
      <c r="G210" s="5">
        <f t="shared" si="19"/>
        <v>1.0218474850993645E-3</v>
      </c>
    </row>
    <row r="211" spans="1:7" ht="15.75" customHeight="1">
      <c r="A211" s="3">
        <v>21760</v>
      </c>
      <c r="B211" s="4">
        <v>47</v>
      </c>
      <c r="C211">
        <f t="shared" si="15"/>
        <v>42.986818167442216</v>
      </c>
      <c r="D211" s="8">
        <f t="shared" si="16"/>
        <v>4.0131818325577839</v>
      </c>
      <c r="E211" s="8">
        <f t="shared" si="17"/>
        <v>4.0131818325577839</v>
      </c>
      <c r="F211" s="8">
        <f t="shared" si="18"/>
        <v>16.105628421171854</v>
      </c>
      <c r="G211" s="5">
        <f t="shared" si="19"/>
        <v>8.5386847501229449E-2</v>
      </c>
    </row>
    <row r="212" spans="1:7" ht="15.75" customHeight="1">
      <c r="A212" s="3">
        <v>21761</v>
      </c>
      <c r="B212" s="4">
        <v>36</v>
      </c>
      <c r="C212">
        <f t="shared" si="15"/>
        <v>45.796045450232661</v>
      </c>
      <c r="D212" s="8">
        <f t="shared" si="16"/>
        <v>-9.7960454502326613</v>
      </c>
      <c r="E212" s="8">
        <f t="shared" si="17"/>
        <v>9.7960454502326613</v>
      </c>
      <c r="F212" s="8">
        <f t="shared" si="18"/>
        <v>95.962506463024027</v>
      </c>
      <c r="G212" s="5">
        <f t="shared" si="19"/>
        <v>0.2721123736175739</v>
      </c>
    </row>
    <row r="213" spans="1:7" ht="15.75" customHeight="1">
      <c r="A213" s="3">
        <v>21762</v>
      </c>
      <c r="B213" s="4">
        <v>41</v>
      </c>
      <c r="C213">
        <f t="shared" si="15"/>
        <v>38.938813635069799</v>
      </c>
      <c r="D213" s="8">
        <f t="shared" si="16"/>
        <v>2.0611863649302009</v>
      </c>
      <c r="E213" s="8">
        <f t="shared" si="17"/>
        <v>2.0611863649302009</v>
      </c>
      <c r="F213" s="8">
        <f t="shared" si="18"/>
        <v>4.2484892309741751</v>
      </c>
      <c r="G213" s="5">
        <f t="shared" si="19"/>
        <v>5.0272838169029291E-2</v>
      </c>
    </row>
    <row r="214" spans="1:7" ht="15.75" customHeight="1">
      <c r="A214" s="3">
        <v>21763</v>
      </c>
      <c r="B214" s="4">
        <v>50</v>
      </c>
      <c r="C214">
        <f t="shared" si="15"/>
        <v>40.381644090520936</v>
      </c>
      <c r="D214" s="8">
        <f t="shared" si="16"/>
        <v>9.6183559094790638</v>
      </c>
      <c r="E214" s="8">
        <f t="shared" si="17"/>
        <v>9.6183559094790638</v>
      </c>
      <c r="F214" s="8">
        <f t="shared" si="18"/>
        <v>92.512770401410833</v>
      </c>
      <c r="G214" s="5">
        <f t="shared" si="19"/>
        <v>0.19236711818958127</v>
      </c>
    </row>
    <row r="215" spans="1:7" ht="15.75" customHeight="1">
      <c r="A215" s="3">
        <v>21764</v>
      </c>
      <c r="B215" s="4">
        <v>39</v>
      </c>
      <c r="C215">
        <f t="shared" si="15"/>
        <v>47.114493227156281</v>
      </c>
      <c r="D215" s="8">
        <f t="shared" si="16"/>
        <v>-8.1144932271562809</v>
      </c>
      <c r="E215" s="8">
        <f t="shared" si="17"/>
        <v>8.1144932271562809</v>
      </c>
      <c r="F215" s="8">
        <f t="shared" si="18"/>
        <v>65.845000333565153</v>
      </c>
      <c r="G215" s="5">
        <f t="shared" si="19"/>
        <v>0.2080639289014431</v>
      </c>
    </row>
    <row r="216" spans="1:7" ht="15.75" customHeight="1">
      <c r="A216" s="3">
        <v>21765</v>
      </c>
      <c r="B216" s="4">
        <v>41</v>
      </c>
      <c r="C216">
        <f t="shared" si="15"/>
        <v>41.434347968146881</v>
      </c>
      <c r="D216" s="8">
        <f t="shared" si="16"/>
        <v>-0.4343479681468807</v>
      </c>
      <c r="E216" s="8">
        <f t="shared" si="17"/>
        <v>0.4343479681468807</v>
      </c>
      <c r="F216" s="8">
        <f t="shared" si="18"/>
        <v>0.1886581574333237</v>
      </c>
      <c r="G216" s="5">
        <f t="shared" si="19"/>
        <v>1.0593852881631236E-2</v>
      </c>
    </row>
    <row r="217" spans="1:7" ht="15.75" customHeight="1">
      <c r="A217" s="3">
        <v>21766</v>
      </c>
      <c r="B217" s="4">
        <v>46</v>
      </c>
      <c r="C217">
        <f t="shared" si="15"/>
        <v>41.130304390444067</v>
      </c>
      <c r="D217" s="8">
        <f t="shared" si="16"/>
        <v>4.8696956095559329</v>
      </c>
      <c r="E217" s="8">
        <f t="shared" si="17"/>
        <v>4.8696956095559329</v>
      </c>
      <c r="F217" s="8">
        <f t="shared" si="18"/>
        <v>23.713935329728329</v>
      </c>
      <c r="G217" s="5">
        <f t="shared" si="19"/>
        <v>0.10586294803382464</v>
      </c>
    </row>
    <row r="218" spans="1:7" ht="15.75" customHeight="1">
      <c r="A218" s="3">
        <v>21767</v>
      </c>
      <c r="B218" s="4">
        <v>64</v>
      </c>
      <c r="C218">
        <f t="shared" si="15"/>
        <v>44.539091317133213</v>
      </c>
      <c r="D218" s="8">
        <f t="shared" si="16"/>
        <v>19.460908682866787</v>
      </c>
      <c r="E218" s="8">
        <f t="shared" si="17"/>
        <v>19.460908682866787</v>
      </c>
      <c r="F218" s="8">
        <f t="shared" si="18"/>
        <v>378.7269667628799</v>
      </c>
      <c r="G218" s="5">
        <f t="shared" si="19"/>
        <v>0.30407669816979355</v>
      </c>
    </row>
    <row r="219" spans="1:7" ht="15.75" customHeight="1">
      <c r="A219" s="3">
        <v>21768</v>
      </c>
      <c r="B219" s="4">
        <v>45</v>
      </c>
      <c r="C219">
        <f t="shared" si="15"/>
        <v>58.161727395139962</v>
      </c>
      <c r="D219" s="8">
        <f t="shared" si="16"/>
        <v>-13.161727395139962</v>
      </c>
      <c r="E219" s="8">
        <f t="shared" si="17"/>
        <v>13.161727395139962</v>
      </c>
      <c r="F219" s="8">
        <f t="shared" si="18"/>
        <v>173.23106802397777</v>
      </c>
      <c r="G219" s="5">
        <f t="shared" si="19"/>
        <v>0.29248283100311029</v>
      </c>
    </row>
    <row r="220" spans="1:7" ht="15.75" customHeight="1">
      <c r="A220" s="3">
        <v>21769</v>
      </c>
      <c r="B220" s="4">
        <v>34</v>
      </c>
      <c r="C220">
        <f t="shared" si="15"/>
        <v>48.948518218541984</v>
      </c>
      <c r="D220" s="8">
        <f t="shared" si="16"/>
        <v>-14.948518218541984</v>
      </c>
      <c r="E220" s="8">
        <f t="shared" si="17"/>
        <v>14.948518218541984</v>
      </c>
      <c r="F220" s="8">
        <f t="shared" si="18"/>
        <v>223.45819693008161</v>
      </c>
      <c r="G220" s="5">
        <f t="shared" si="19"/>
        <v>0.43966230054535249</v>
      </c>
    </row>
    <row r="221" spans="1:7" ht="15.75" customHeight="1">
      <c r="A221" s="3">
        <v>21770</v>
      </c>
      <c r="B221" s="4">
        <v>38</v>
      </c>
      <c r="C221">
        <f t="shared" si="15"/>
        <v>38.484555465562593</v>
      </c>
      <c r="D221" s="8">
        <f t="shared" si="16"/>
        <v>-0.48455546556259321</v>
      </c>
      <c r="E221" s="8">
        <f t="shared" si="17"/>
        <v>0.48455546556259321</v>
      </c>
      <c r="F221" s="8">
        <f t="shared" si="18"/>
        <v>0.23479399920658145</v>
      </c>
      <c r="G221" s="5">
        <f t="shared" si="19"/>
        <v>1.2751459620068243E-2</v>
      </c>
    </row>
    <row r="222" spans="1:7" ht="15.75" customHeight="1">
      <c r="A222" s="3">
        <v>21771</v>
      </c>
      <c r="B222" s="4">
        <v>44</v>
      </c>
      <c r="C222">
        <f t="shared" si="15"/>
        <v>38.145366639668779</v>
      </c>
      <c r="D222" s="8">
        <f t="shared" si="16"/>
        <v>5.8546333603312206</v>
      </c>
      <c r="E222" s="8">
        <f t="shared" si="17"/>
        <v>5.8546333603312206</v>
      </c>
      <c r="F222" s="8">
        <f t="shared" si="18"/>
        <v>34.276731783903237</v>
      </c>
      <c r="G222" s="5">
        <f t="shared" si="19"/>
        <v>0.13305984909843682</v>
      </c>
    </row>
    <row r="223" spans="1:7" ht="15.75" customHeight="1">
      <c r="A223" s="3">
        <v>21772</v>
      </c>
      <c r="B223" s="4">
        <v>48</v>
      </c>
      <c r="C223">
        <f t="shared" si="15"/>
        <v>42.243609991900627</v>
      </c>
      <c r="D223" s="8">
        <f t="shared" si="16"/>
        <v>5.7563900080993733</v>
      </c>
      <c r="E223" s="8">
        <f t="shared" si="17"/>
        <v>5.7563900080993733</v>
      </c>
      <c r="F223" s="8">
        <f t="shared" si="18"/>
        <v>33.136025925346303</v>
      </c>
      <c r="G223" s="5">
        <f t="shared" si="19"/>
        <v>0.11992479183540361</v>
      </c>
    </row>
    <row r="224" spans="1:7" ht="15.75" customHeight="1">
      <c r="A224" s="3">
        <v>21773</v>
      </c>
      <c r="B224" s="4">
        <v>46</v>
      </c>
      <c r="C224">
        <f t="shared" si="15"/>
        <v>46.273082997570185</v>
      </c>
      <c r="D224" s="8">
        <f t="shared" si="16"/>
        <v>-0.27308299757018517</v>
      </c>
      <c r="E224" s="8">
        <f t="shared" si="17"/>
        <v>0.27308299757018517</v>
      </c>
      <c r="F224" s="8">
        <f t="shared" si="18"/>
        <v>7.457432356191776E-2</v>
      </c>
      <c r="G224" s="5">
        <f t="shared" si="19"/>
        <v>5.9365869036996774E-3</v>
      </c>
    </row>
    <row r="225" spans="1:7" ht="15.75" customHeight="1">
      <c r="A225" s="3">
        <v>21774</v>
      </c>
      <c r="B225" s="4">
        <v>44</v>
      </c>
      <c r="C225">
        <f t="shared" si="15"/>
        <v>46.081924899271051</v>
      </c>
      <c r="D225" s="8">
        <f t="shared" si="16"/>
        <v>-2.0819248992710513</v>
      </c>
      <c r="E225" s="8">
        <f t="shared" si="17"/>
        <v>2.0819248992710513</v>
      </c>
      <c r="F225" s="8">
        <f t="shared" si="18"/>
        <v>4.3344112862047774</v>
      </c>
      <c r="G225" s="5">
        <f t="shared" si="19"/>
        <v>4.7316474983432985E-2</v>
      </c>
    </row>
    <row r="226" spans="1:7" ht="15.75" customHeight="1">
      <c r="A226" s="3">
        <v>21775</v>
      </c>
      <c r="B226" s="4">
        <v>37</v>
      </c>
      <c r="C226">
        <f t="shared" si="15"/>
        <v>44.624577469781315</v>
      </c>
      <c r="D226" s="8">
        <f t="shared" si="16"/>
        <v>-7.6245774697813147</v>
      </c>
      <c r="E226" s="8">
        <f t="shared" si="17"/>
        <v>7.6245774697813147</v>
      </c>
      <c r="F226" s="8">
        <f t="shared" si="18"/>
        <v>58.134181592696834</v>
      </c>
      <c r="G226" s="5">
        <f t="shared" si="19"/>
        <v>0.20606966134544094</v>
      </c>
    </row>
    <row r="227" spans="1:7" ht="15.75" customHeight="1">
      <c r="A227" s="3">
        <v>21776</v>
      </c>
      <c r="B227" s="4">
        <v>39</v>
      </c>
      <c r="C227">
        <f t="shared" si="15"/>
        <v>39.287373240934393</v>
      </c>
      <c r="D227" s="8">
        <f t="shared" si="16"/>
        <v>-0.28737324093439298</v>
      </c>
      <c r="E227" s="8">
        <f t="shared" si="17"/>
        <v>0.28737324093439298</v>
      </c>
      <c r="F227" s="8">
        <f t="shared" si="18"/>
        <v>8.2583379605136675E-2</v>
      </c>
      <c r="G227" s="5">
        <f t="shared" si="19"/>
        <v>7.3685446393434101E-3</v>
      </c>
    </row>
    <row r="228" spans="1:7" ht="15.75" customHeight="1">
      <c r="A228" s="3">
        <v>21777</v>
      </c>
      <c r="B228" s="4">
        <v>44</v>
      </c>
      <c r="C228">
        <f t="shared" si="15"/>
        <v>39.086211972280317</v>
      </c>
      <c r="D228" s="8">
        <f t="shared" si="16"/>
        <v>4.9137880277196828</v>
      </c>
      <c r="E228" s="8">
        <f t="shared" si="17"/>
        <v>4.9137880277196828</v>
      </c>
      <c r="F228" s="8">
        <f t="shared" si="18"/>
        <v>24.145312781361291</v>
      </c>
      <c r="G228" s="5">
        <f t="shared" si="19"/>
        <v>0.11167700062999279</v>
      </c>
    </row>
    <row r="229" spans="1:7" ht="15.75" customHeight="1">
      <c r="A229" s="3">
        <v>21778</v>
      </c>
      <c r="B229" s="4">
        <v>45</v>
      </c>
      <c r="C229">
        <f t="shared" si="15"/>
        <v>42.525863591684093</v>
      </c>
      <c r="D229" s="8">
        <f t="shared" si="16"/>
        <v>2.474136408315907</v>
      </c>
      <c r="E229" s="8">
        <f t="shared" si="17"/>
        <v>2.474136408315907</v>
      </c>
      <c r="F229" s="8">
        <f t="shared" si="18"/>
        <v>6.1213509669543367</v>
      </c>
      <c r="G229" s="5">
        <f t="shared" si="19"/>
        <v>5.4980809073686819E-2</v>
      </c>
    </row>
    <row r="230" spans="1:7" ht="15.75" customHeight="1">
      <c r="A230" s="3">
        <v>21779</v>
      </c>
      <c r="B230" s="4">
        <v>33</v>
      </c>
      <c r="C230">
        <f t="shared" si="15"/>
        <v>44.257759077505227</v>
      </c>
      <c r="D230" s="8">
        <f t="shared" si="16"/>
        <v>-11.257759077505227</v>
      </c>
      <c r="E230" s="8">
        <f t="shared" si="17"/>
        <v>11.257759077505227</v>
      </c>
      <c r="F230" s="8">
        <f t="shared" si="18"/>
        <v>126.73713944715135</v>
      </c>
      <c r="G230" s="5">
        <f t="shared" si="19"/>
        <v>0.34114421446985538</v>
      </c>
    </row>
    <row r="231" spans="1:7" ht="15.75" customHeight="1">
      <c r="A231" s="3">
        <v>21780</v>
      </c>
      <c r="B231" s="4">
        <v>44</v>
      </c>
      <c r="C231">
        <f t="shared" si="15"/>
        <v>36.377327723251568</v>
      </c>
      <c r="D231" s="8">
        <f t="shared" si="16"/>
        <v>7.6226722767484318</v>
      </c>
      <c r="E231" s="8">
        <f t="shared" si="17"/>
        <v>7.6226722767484318</v>
      </c>
      <c r="F231" s="8">
        <f t="shared" si="18"/>
        <v>58.105132638709122</v>
      </c>
      <c r="G231" s="5">
        <f t="shared" si="19"/>
        <v>0.17324255174428255</v>
      </c>
    </row>
    <row r="232" spans="1:7" ht="15.75" customHeight="1">
      <c r="A232" s="3">
        <v>21781</v>
      </c>
      <c r="B232" s="4">
        <v>38</v>
      </c>
      <c r="C232">
        <f t="shared" si="15"/>
        <v>41.713198316975465</v>
      </c>
      <c r="D232" s="8">
        <f t="shared" si="16"/>
        <v>-3.7131983169754648</v>
      </c>
      <c r="E232" s="8">
        <f t="shared" si="17"/>
        <v>3.7131983169754648</v>
      </c>
      <c r="F232" s="8">
        <f t="shared" si="18"/>
        <v>13.787841741189425</v>
      </c>
      <c r="G232" s="5">
        <f t="shared" si="19"/>
        <v>9.7715745183564864E-2</v>
      </c>
    </row>
    <row r="233" spans="1:7" ht="15.75" customHeight="1">
      <c r="A233" s="3">
        <v>21782</v>
      </c>
      <c r="B233" s="4">
        <v>46</v>
      </c>
      <c r="C233">
        <f t="shared" si="15"/>
        <v>39.113959495092637</v>
      </c>
      <c r="D233" s="8">
        <f t="shared" si="16"/>
        <v>6.8860405049073634</v>
      </c>
      <c r="E233" s="8">
        <f t="shared" si="17"/>
        <v>6.8860405049073634</v>
      </c>
      <c r="F233" s="8">
        <f t="shared" si="18"/>
        <v>47.417553835224858</v>
      </c>
      <c r="G233" s="5">
        <f t="shared" si="19"/>
        <v>0.14969653271537747</v>
      </c>
    </row>
    <row r="234" spans="1:7" ht="15.75" customHeight="1">
      <c r="A234" s="3">
        <v>21783</v>
      </c>
      <c r="B234" s="4">
        <v>46</v>
      </c>
      <c r="C234">
        <f t="shared" si="15"/>
        <v>43.934187848527785</v>
      </c>
      <c r="D234" s="8">
        <f t="shared" si="16"/>
        <v>2.0658121514722154</v>
      </c>
      <c r="E234" s="8">
        <f t="shared" si="17"/>
        <v>2.0658121514722154</v>
      </c>
      <c r="F234" s="8">
        <f t="shared" si="18"/>
        <v>4.2675798451702631</v>
      </c>
      <c r="G234" s="5">
        <f t="shared" si="19"/>
        <v>4.4908959814613382E-2</v>
      </c>
    </row>
    <row r="235" spans="1:7" ht="15.75" customHeight="1">
      <c r="A235" s="3">
        <v>21784</v>
      </c>
      <c r="B235" s="4">
        <v>40</v>
      </c>
      <c r="C235">
        <f t="shared" si="15"/>
        <v>45.380256354558327</v>
      </c>
      <c r="D235" s="8">
        <f t="shared" si="16"/>
        <v>-5.3802563545583268</v>
      </c>
      <c r="E235" s="8">
        <f t="shared" si="17"/>
        <v>5.3802563545583268</v>
      </c>
      <c r="F235" s="8">
        <f t="shared" si="18"/>
        <v>28.947158440765257</v>
      </c>
      <c r="G235" s="5">
        <f t="shared" si="19"/>
        <v>0.13450640886395818</v>
      </c>
    </row>
    <row r="236" spans="1:7" ht="15.75" customHeight="1">
      <c r="A236" s="3">
        <v>21785</v>
      </c>
      <c r="B236" s="4">
        <v>39</v>
      </c>
      <c r="C236">
        <f t="shared" si="15"/>
        <v>41.614076906367501</v>
      </c>
      <c r="D236" s="8">
        <f t="shared" si="16"/>
        <v>-2.6140769063675009</v>
      </c>
      <c r="E236" s="8">
        <f t="shared" si="17"/>
        <v>2.6140769063675009</v>
      </c>
      <c r="F236" s="8">
        <f t="shared" si="18"/>
        <v>6.8333980724038836</v>
      </c>
      <c r="G236" s="5">
        <f t="shared" si="19"/>
        <v>6.702761298378207E-2</v>
      </c>
    </row>
    <row r="237" spans="1:7" ht="15.75" customHeight="1">
      <c r="A237" s="3">
        <v>21786</v>
      </c>
      <c r="B237" s="4">
        <v>44</v>
      </c>
      <c r="C237">
        <f t="shared" si="15"/>
        <v>39.784223071910247</v>
      </c>
      <c r="D237" s="8">
        <f t="shared" si="16"/>
        <v>4.2157769280897526</v>
      </c>
      <c r="E237" s="8">
        <f t="shared" si="17"/>
        <v>4.2157769280897526</v>
      </c>
      <c r="F237" s="8">
        <f t="shared" si="18"/>
        <v>17.772775107413871</v>
      </c>
      <c r="G237" s="5">
        <f t="shared" si="19"/>
        <v>9.5813112002039832E-2</v>
      </c>
    </row>
    <row r="238" spans="1:7" ht="15.75" customHeight="1">
      <c r="A238" s="3">
        <v>21787</v>
      </c>
      <c r="B238" s="4">
        <v>48</v>
      </c>
      <c r="C238">
        <f t="shared" si="15"/>
        <v>42.735266921573071</v>
      </c>
      <c r="D238" s="8">
        <f t="shared" si="16"/>
        <v>5.2647330784269286</v>
      </c>
      <c r="E238" s="8">
        <f t="shared" si="17"/>
        <v>5.2647330784269286</v>
      </c>
      <c r="F238" s="8">
        <f t="shared" si="18"/>
        <v>27.717414387082684</v>
      </c>
      <c r="G238" s="5">
        <f t="shared" si="19"/>
        <v>0.10968193913389435</v>
      </c>
    </row>
    <row r="239" spans="1:7" ht="15.75" customHeight="1">
      <c r="A239" s="3">
        <v>21788</v>
      </c>
      <c r="B239" s="4">
        <v>50</v>
      </c>
      <c r="C239">
        <f t="shared" si="15"/>
        <v>46.420580076471914</v>
      </c>
      <c r="D239" s="8">
        <f t="shared" si="16"/>
        <v>3.5794199235280857</v>
      </c>
      <c r="E239" s="8">
        <f t="shared" si="17"/>
        <v>3.5794199235280857</v>
      </c>
      <c r="F239" s="8">
        <f t="shared" si="18"/>
        <v>12.812246988949807</v>
      </c>
      <c r="G239" s="5">
        <f t="shared" si="19"/>
        <v>7.1588398470561712E-2</v>
      </c>
    </row>
    <row r="240" spans="1:7" ht="15.75" customHeight="1">
      <c r="A240" s="3">
        <v>21789</v>
      </c>
      <c r="B240" s="4">
        <v>41</v>
      </c>
      <c r="C240">
        <f t="shared" si="15"/>
        <v>48.926174022941574</v>
      </c>
      <c r="D240" s="8">
        <f t="shared" si="16"/>
        <v>-7.9261740229415736</v>
      </c>
      <c r="E240" s="8">
        <f t="shared" si="17"/>
        <v>7.9261740229415736</v>
      </c>
      <c r="F240" s="8">
        <f t="shared" si="18"/>
        <v>62.824234641953808</v>
      </c>
      <c r="G240" s="5">
        <f t="shared" si="19"/>
        <v>0.19332131763272131</v>
      </c>
    </row>
    <row r="241" spans="1:7" ht="15.75" customHeight="1">
      <c r="A241" s="3">
        <v>21790</v>
      </c>
      <c r="B241" s="4">
        <v>42</v>
      </c>
      <c r="C241">
        <f t="shared" si="15"/>
        <v>43.377852206882473</v>
      </c>
      <c r="D241" s="8">
        <f t="shared" si="16"/>
        <v>-1.3778522068824728</v>
      </c>
      <c r="E241" s="8">
        <f t="shared" si="17"/>
        <v>1.3778522068824728</v>
      </c>
      <c r="F241" s="8">
        <f t="shared" si="18"/>
        <v>1.8984767040109005</v>
      </c>
      <c r="G241" s="5">
        <f t="shared" si="19"/>
        <v>3.2806004925773159E-2</v>
      </c>
    </row>
    <row r="242" spans="1:7" ht="15.75" customHeight="1">
      <c r="A242" s="3">
        <v>21791</v>
      </c>
      <c r="B242" s="4">
        <v>51</v>
      </c>
      <c r="C242">
        <f t="shared" si="15"/>
        <v>42.413355662064738</v>
      </c>
      <c r="D242" s="8">
        <f t="shared" si="16"/>
        <v>8.5866443379352617</v>
      </c>
      <c r="E242" s="8">
        <f t="shared" si="17"/>
        <v>8.5866443379352617</v>
      </c>
      <c r="F242" s="8">
        <f t="shared" si="18"/>
        <v>73.730460986195695</v>
      </c>
      <c r="G242" s="5">
        <f t="shared" si="19"/>
        <v>0.16836557525363258</v>
      </c>
    </row>
    <row r="243" spans="1:7" ht="15.75" customHeight="1">
      <c r="A243" s="3">
        <v>21792</v>
      </c>
      <c r="B243" s="4">
        <v>41</v>
      </c>
      <c r="C243">
        <f t="shared" si="15"/>
        <v>48.424006698619415</v>
      </c>
      <c r="D243" s="8">
        <f t="shared" si="16"/>
        <v>-7.4240066986194151</v>
      </c>
      <c r="E243" s="8">
        <f t="shared" si="17"/>
        <v>7.4240066986194151</v>
      </c>
      <c r="F243" s="8">
        <f t="shared" si="18"/>
        <v>55.115875461145947</v>
      </c>
      <c r="G243" s="5">
        <f t="shared" si="19"/>
        <v>0.18107333411266865</v>
      </c>
    </row>
    <row r="244" spans="1:7" ht="15.75" customHeight="1">
      <c r="A244" s="3">
        <v>21793</v>
      </c>
      <c r="B244" s="4">
        <v>44</v>
      </c>
      <c r="C244">
        <f t="shared" si="15"/>
        <v>43.227202009585824</v>
      </c>
      <c r="D244" s="8">
        <f t="shared" si="16"/>
        <v>0.77279799041417618</v>
      </c>
      <c r="E244" s="8">
        <f t="shared" si="17"/>
        <v>0.77279799041417618</v>
      </c>
      <c r="F244" s="8">
        <f t="shared" si="18"/>
        <v>0.5972167339881892</v>
      </c>
      <c r="G244" s="5">
        <f t="shared" si="19"/>
        <v>1.7563590691231278E-2</v>
      </c>
    </row>
    <row r="245" spans="1:7" ht="15.75" customHeight="1">
      <c r="A245" s="3">
        <v>21794</v>
      </c>
      <c r="B245" s="4">
        <v>38</v>
      </c>
      <c r="C245">
        <f t="shared" si="15"/>
        <v>43.768160602875746</v>
      </c>
      <c r="D245" s="8">
        <f t="shared" si="16"/>
        <v>-5.7681606028757457</v>
      </c>
      <c r="E245" s="8">
        <f t="shared" si="17"/>
        <v>5.7681606028757457</v>
      </c>
      <c r="F245" s="8">
        <f t="shared" si="18"/>
        <v>33.271676740567884</v>
      </c>
      <c r="G245" s="5">
        <f t="shared" si="19"/>
        <v>0.15179370007567752</v>
      </c>
    </row>
    <row r="246" spans="1:7" ht="15.75" customHeight="1">
      <c r="A246" s="3">
        <v>21795</v>
      </c>
      <c r="B246" s="4">
        <v>68</v>
      </c>
      <c r="C246">
        <f t="shared" si="15"/>
        <v>39.730448180862723</v>
      </c>
      <c r="D246" s="8">
        <f t="shared" si="16"/>
        <v>28.269551819137277</v>
      </c>
      <c r="E246" s="8">
        <f t="shared" si="17"/>
        <v>28.269551819137277</v>
      </c>
      <c r="F246" s="8">
        <f t="shared" si="18"/>
        <v>799.16756005488776</v>
      </c>
      <c r="G246" s="5">
        <f t="shared" si="19"/>
        <v>0.41572870322260702</v>
      </c>
    </row>
    <row r="247" spans="1:7" ht="15.75" customHeight="1">
      <c r="A247" s="3">
        <v>21796</v>
      </c>
      <c r="B247" s="4">
        <v>40</v>
      </c>
      <c r="C247">
        <f t="shared" si="15"/>
        <v>59.519134454258811</v>
      </c>
      <c r="D247" s="8">
        <f t="shared" si="16"/>
        <v>-19.519134454258811</v>
      </c>
      <c r="E247" s="8">
        <f t="shared" si="17"/>
        <v>19.519134454258811</v>
      </c>
      <c r="F247" s="8">
        <f t="shared" si="18"/>
        <v>380.99660984343342</v>
      </c>
      <c r="G247" s="5">
        <f t="shared" si="19"/>
        <v>0.48797836135647027</v>
      </c>
    </row>
    <row r="248" spans="1:7" ht="15.75" customHeight="1">
      <c r="A248" s="3">
        <v>21797</v>
      </c>
      <c r="B248" s="4">
        <v>42</v>
      </c>
      <c r="C248">
        <f t="shared" si="15"/>
        <v>45.855740336277641</v>
      </c>
      <c r="D248" s="8">
        <f t="shared" si="16"/>
        <v>-3.8557403362776412</v>
      </c>
      <c r="E248" s="8">
        <f t="shared" si="17"/>
        <v>3.8557403362776412</v>
      </c>
      <c r="F248" s="8">
        <f t="shared" si="18"/>
        <v>14.866733540798418</v>
      </c>
      <c r="G248" s="5">
        <f t="shared" si="19"/>
        <v>9.1803341339943834E-2</v>
      </c>
    </row>
    <row r="249" spans="1:7" ht="15.75" customHeight="1">
      <c r="A249" s="3">
        <v>21798</v>
      </c>
      <c r="B249" s="4">
        <v>51</v>
      </c>
      <c r="C249">
        <f t="shared" si="15"/>
        <v>43.156722100883293</v>
      </c>
      <c r="D249" s="8">
        <f t="shared" si="16"/>
        <v>7.8432778991167069</v>
      </c>
      <c r="E249" s="8">
        <f t="shared" si="17"/>
        <v>7.8432778991167069</v>
      </c>
      <c r="F249" s="8">
        <f t="shared" si="18"/>
        <v>61.517008202772587</v>
      </c>
      <c r="G249" s="5">
        <f t="shared" si="19"/>
        <v>0.15378976272777856</v>
      </c>
    </row>
    <row r="250" spans="1:7" ht="15.75" customHeight="1">
      <c r="A250" s="3">
        <v>21799</v>
      </c>
      <c r="B250" s="4">
        <v>44</v>
      </c>
      <c r="C250">
        <f t="shared" si="15"/>
        <v>48.647016630264986</v>
      </c>
      <c r="D250" s="8">
        <f t="shared" si="16"/>
        <v>-4.6470166302649858</v>
      </c>
      <c r="E250" s="8">
        <f t="shared" si="17"/>
        <v>4.6470166302649858</v>
      </c>
      <c r="F250" s="8">
        <f t="shared" si="18"/>
        <v>21.594763561959343</v>
      </c>
      <c r="G250" s="5">
        <f t="shared" si="19"/>
        <v>0.10561401432420423</v>
      </c>
    </row>
    <row r="251" spans="1:7" ht="15.75" customHeight="1">
      <c r="A251" s="3">
        <v>21800</v>
      </c>
      <c r="B251" s="4">
        <v>45</v>
      </c>
      <c r="C251">
        <f t="shared" si="15"/>
        <v>45.394104989079494</v>
      </c>
      <c r="D251" s="8">
        <f t="shared" si="16"/>
        <v>-0.39410498907949432</v>
      </c>
      <c r="E251" s="8">
        <f t="shared" si="17"/>
        <v>0.39410498907949432</v>
      </c>
      <c r="F251" s="8">
        <f t="shared" si="18"/>
        <v>0.15531874241734833</v>
      </c>
      <c r="G251" s="5">
        <f t="shared" si="19"/>
        <v>8.7578886462109842E-3</v>
      </c>
    </row>
    <row r="252" spans="1:7" ht="15.75" customHeight="1">
      <c r="A252" s="3">
        <v>21801</v>
      </c>
      <c r="B252" s="4">
        <v>36</v>
      </c>
      <c r="C252">
        <f t="shared" si="15"/>
        <v>45.118231496723844</v>
      </c>
      <c r="D252" s="8">
        <f t="shared" si="16"/>
        <v>-9.118231496723844</v>
      </c>
      <c r="E252" s="8">
        <f t="shared" si="17"/>
        <v>9.118231496723844</v>
      </c>
      <c r="F252" s="8">
        <f t="shared" si="18"/>
        <v>83.142145627846759</v>
      </c>
      <c r="G252" s="5">
        <f t="shared" si="19"/>
        <v>0.253284208242329</v>
      </c>
    </row>
    <row r="253" spans="1:7" ht="15.75" customHeight="1">
      <c r="A253" s="3">
        <v>21802</v>
      </c>
      <c r="B253" s="4">
        <v>57</v>
      </c>
      <c r="C253">
        <f t="shared" si="15"/>
        <v>38.735469449017152</v>
      </c>
      <c r="D253" s="8">
        <f t="shared" si="16"/>
        <v>18.264530550982848</v>
      </c>
      <c r="E253" s="8">
        <f t="shared" si="17"/>
        <v>18.264530550982848</v>
      </c>
      <c r="F253" s="8">
        <f t="shared" si="18"/>
        <v>333.5930762477858</v>
      </c>
      <c r="G253" s="5">
        <f t="shared" si="19"/>
        <v>0.32043036054355872</v>
      </c>
    </row>
    <row r="254" spans="1:7" ht="15.75" customHeight="1">
      <c r="A254" s="3">
        <v>21803</v>
      </c>
      <c r="B254" s="4">
        <v>44</v>
      </c>
      <c r="C254">
        <f t="shared" si="15"/>
        <v>51.520640834705148</v>
      </c>
      <c r="D254" s="8">
        <f t="shared" si="16"/>
        <v>-7.5206408347051479</v>
      </c>
      <c r="E254" s="8">
        <f t="shared" si="17"/>
        <v>7.5206408347051479</v>
      </c>
      <c r="F254" s="8">
        <f t="shared" si="18"/>
        <v>56.560038564634546</v>
      </c>
      <c r="G254" s="5">
        <f t="shared" si="19"/>
        <v>0.17092365533420792</v>
      </c>
    </row>
    <row r="255" spans="1:7" ht="15.75" customHeight="1">
      <c r="A255" s="3">
        <v>21804</v>
      </c>
      <c r="B255" s="4">
        <v>42</v>
      </c>
      <c r="C255">
        <f t="shared" si="15"/>
        <v>46.256192250411544</v>
      </c>
      <c r="D255" s="8">
        <f t="shared" si="16"/>
        <v>-4.2561922504115444</v>
      </c>
      <c r="E255" s="8">
        <f t="shared" si="17"/>
        <v>4.2561922504115444</v>
      </c>
      <c r="F255" s="8">
        <f t="shared" si="18"/>
        <v>18.115172472463286</v>
      </c>
      <c r="G255" s="5">
        <f t="shared" si="19"/>
        <v>0.10133791072408439</v>
      </c>
    </row>
    <row r="256" spans="1:7" ht="15.75" customHeight="1">
      <c r="A256" s="3">
        <v>21805</v>
      </c>
      <c r="B256" s="4">
        <v>53</v>
      </c>
      <c r="C256">
        <f t="shared" si="15"/>
        <v>43.276857675123459</v>
      </c>
      <c r="D256" s="8">
        <f t="shared" si="16"/>
        <v>9.723142324876541</v>
      </c>
      <c r="E256" s="8">
        <f t="shared" si="17"/>
        <v>9.723142324876541</v>
      </c>
      <c r="F256" s="8">
        <f t="shared" si="18"/>
        <v>94.539496669805587</v>
      </c>
      <c r="G256" s="5">
        <f t="shared" si="19"/>
        <v>0.18345551556370832</v>
      </c>
    </row>
    <row r="257" spans="1:7" ht="15.75" customHeight="1">
      <c r="A257" s="3">
        <v>21806</v>
      </c>
      <c r="B257" s="4">
        <v>42</v>
      </c>
      <c r="C257">
        <f t="shared" si="15"/>
        <v>50.083057302537028</v>
      </c>
      <c r="D257" s="8">
        <f t="shared" si="16"/>
        <v>-8.0830573025370285</v>
      </c>
      <c r="E257" s="8">
        <f t="shared" si="17"/>
        <v>8.0830573025370285</v>
      </c>
      <c r="F257" s="8">
        <f t="shared" si="18"/>
        <v>65.335815356097186</v>
      </c>
      <c r="G257" s="5">
        <f t="shared" si="19"/>
        <v>0.19245374529850068</v>
      </c>
    </row>
    <row r="258" spans="1:7" ht="15.75" customHeight="1">
      <c r="A258" s="3">
        <v>21807</v>
      </c>
      <c r="B258" s="4">
        <v>34</v>
      </c>
      <c r="C258">
        <f t="shared" si="15"/>
        <v>44.424917190761107</v>
      </c>
      <c r="D258" s="8">
        <f t="shared" si="16"/>
        <v>-10.424917190761107</v>
      </c>
      <c r="E258" s="8">
        <f t="shared" si="17"/>
        <v>10.424917190761107</v>
      </c>
      <c r="F258" s="8">
        <f t="shared" si="18"/>
        <v>108.67889843422645</v>
      </c>
      <c r="G258" s="5">
        <f t="shared" si="19"/>
        <v>0.30661521149297372</v>
      </c>
    </row>
    <row r="259" spans="1:7" ht="15.75" customHeight="1">
      <c r="A259" s="3">
        <v>21808</v>
      </c>
      <c r="B259" s="4">
        <v>40</v>
      </c>
      <c r="C259">
        <f t="shared" si="15"/>
        <v>37.127475157228332</v>
      </c>
      <c r="D259" s="8">
        <f t="shared" si="16"/>
        <v>2.8725248427716679</v>
      </c>
      <c r="E259" s="8">
        <f t="shared" si="17"/>
        <v>2.8725248427716679</v>
      </c>
      <c r="F259" s="8">
        <f t="shared" si="18"/>
        <v>8.2513989723403949</v>
      </c>
      <c r="G259" s="5">
        <f t="shared" si="19"/>
        <v>7.1813121069291691E-2</v>
      </c>
    </row>
    <row r="260" spans="1:7" ht="15.75" customHeight="1">
      <c r="A260" s="3">
        <v>21809</v>
      </c>
      <c r="B260" s="4">
        <v>56</v>
      </c>
      <c r="C260">
        <f t="shared" ref="C260:C323" si="20">0.7*B259+0.3*C259</f>
        <v>39.138242547168502</v>
      </c>
      <c r="D260" s="8">
        <f t="shared" ref="D260:D323" si="21">B260-C260</f>
        <v>16.861757452831498</v>
      </c>
      <c r="E260" s="8">
        <f t="shared" ref="E260:E323" si="22">ABS(D260)</f>
        <v>16.861757452831498</v>
      </c>
      <c r="F260" s="8">
        <f t="shared" ref="F260:F323" si="23">E260^2</f>
        <v>284.31886439811854</v>
      </c>
      <c r="G260" s="5">
        <f t="shared" ref="G260:G323" si="24">E260/B260</f>
        <v>0.3011028116577053</v>
      </c>
    </row>
    <row r="261" spans="1:7" ht="15.75" customHeight="1">
      <c r="A261" s="3">
        <v>21810</v>
      </c>
      <c r="B261" s="4">
        <v>44</v>
      </c>
      <c r="C261">
        <f t="shared" si="20"/>
        <v>50.941472764150546</v>
      </c>
      <c r="D261" s="8">
        <f t="shared" si="21"/>
        <v>-6.9414727641505465</v>
      </c>
      <c r="E261" s="8">
        <f t="shared" si="22"/>
        <v>6.9414727641505465</v>
      </c>
      <c r="F261" s="8">
        <f t="shared" si="23"/>
        <v>48.184044135443827</v>
      </c>
      <c r="G261" s="5">
        <f t="shared" si="24"/>
        <v>0.15776074463978515</v>
      </c>
    </row>
    <row r="262" spans="1:7" ht="15.75" customHeight="1">
      <c r="A262" s="3">
        <v>21811</v>
      </c>
      <c r="B262" s="4">
        <v>53</v>
      </c>
      <c r="C262">
        <f t="shared" si="20"/>
        <v>46.082441829245163</v>
      </c>
      <c r="D262" s="8">
        <f t="shared" si="21"/>
        <v>6.9175581707548375</v>
      </c>
      <c r="E262" s="8">
        <f t="shared" si="22"/>
        <v>6.9175581707548375</v>
      </c>
      <c r="F262" s="8">
        <f t="shared" si="23"/>
        <v>47.85261104577701</v>
      </c>
      <c r="G262" s="5">
        <f t="shared" si="24"/>
        <v>0.13051996548594033</v>
      </c>
    </row>
    <row r="263" spans="1:7" ht="15.75" customHeight="1">
      <c r="A263" s="3">
        <v>21812</v>
      </c>
      <c r="B263" s="4">
        <v>55</v>
      </c>
      <c r="C263">
        <f t="shared" si="20"/>
        <v>50.924732548773541</v>
      </c>
      <c r="D263" s="8">
        <f t="shared" si="21"/>
        <v>4.0752674512264591</v>
      </c>
      <c r="E263" s="8">
        <f t="shared" si="22"/>
        <v>4.0752674512264591</v>
      </c>
      <c r="F263" s="8">
        <f t="shared" si="23"/>
        <v>16.6078047990258</v>
      </c>
      <c r="G263" s="5">
        <f t="shared" si="24"/>
        <v>7.4095771840481078E-2</v>
      </c>
    </row>
    <row r="264" spans="1:7" ht="15.75" customHeight="1">
      <c r="A264" s="3">
        <v>21813</v>
      </c>
      <c r="B264" s="4">
        <v>39</v>
      </c>
      <c r="C264">
        <f t="shared" si="20"/>
        <v>53.777419764632057</v>
      </c>
      <c r="D264" s="8">
        <f t="shared" si="21"/>
        <v>-14.777419764632057</v>
      </c>
      <c r="E264" s="8">
        <f t="shared" si="22"/>
        <v>14.777419764632057</v>
      </c>
      <c r="F264" s="8">
        <f t="shared" si="23"/>
        <v>218.37213490013818</v>
      </c>
      <c r="G264" s="5">
        <f t="shared" si="24"/>
        <v>0.37890819909312967</v>
      </c>
    </row>
    <row r="265" spans="1:7" ht="15.75" customHeight="1">
      <c r="A265" s="3">
        <v>21814</v>
      </c>
      <c r="B265" s="4">
        <v>59</v>
      </c>
      <c r="C265">
        <f t="shared" si="20"/>
        <v>43.433225929389614</v>
      </c>
      <c r="D265" s="8">
        <f t="shared" si="21"/>
        <v>15.566774070610386</v>
      </c>
      <c r="E265" s="8">
        <f t="shared" si="22"/>
        <v>15.566774070610386</v>
      </c>
      <c r="F265" s="8">
        <f t="shared" si="23"/>
        <v>242.32445496542783</v>
      </c>
      <c r="G265" s="5">
        <f t="shared" si="24"/>
        <v>0.26384362831543029</v>
      </c>
    </row>
    <row r="266" spans="1:7" ht="15.75" customHeight="1">
      <c r="A266" s="3">
        <v>21815</v>
      </c>
      <c r="B266" s="4">
        <v>55</v>
      </c>
      <c r="C266">
        <f t="shared" si="20"/>
        <v>54.329967778816879</v>
      </c>
      <c r="D266" s="8">
        <f t="shared" si="21"/>
        <v>0.67003222118312067</v>
      </c>
      <c r="E266" s="8">
        <f t="shared" si="22"/>
        <v>0.67003222118312067</v>
      </c>
      <c r="F266" s="8">
        <f t="shared" si="23"/>
        <v>0.44894317742358636</v>
      </c>
      <c r="G266" s="5">
        <f t="shared" si="24"/>
        <v>1.2182404021511285E-2</v>
      </c>
    </row>
    <row r="267" spans="1:7" ht="15.75" customHeight="1">
      <c r="A267" s="3">
        <v>21816</v>
      </c>
      <c r="B267" s="4">
        <v>73</v>
      </c>
      <c r="C267">
        <f t="shared" si="20"/>
        <v>54.798990333645065</v>
      </c>
      <c r="D267" s="8">
        <f t="shared" si="21"/>
        <v>18.201009666354935</v>
      </c>
      <c r="E267" s="8">
        <f t="shared" si="22"/>
        <v>18.201009666354935</v>
      </c>
      <c r="F267" s="8">
        <f t="shared" si="23"/>
        <v>331.2767528747458</v>
      </c>
      <c r="G267" s="5">
        <f t="shared" si="24"/>
        <v>0.24932889953910869</v>
      </c>
    </row>
    <row r="268" spans="1:7" ht="15.75" customHeight="1">
      <c r="A268" s="3">
        <v>21817</v>
      </c>
      <c r="B268" s="4">
        <v>55</v>
      </c>
      <c r="C268">
        <f t="shared" si="20"/>
        <v>67.53969710009352</v>
      </c>
      <c r="D268" s="8">
        <f t="shared" si="21"/>
        <v>-12.53969710009352</v>
      </c>
      <c r="E268" s="8">
        <f t="shared" si="22"/>
        <v>12.53969710009352</v>
      </c>
      <c r="F268" s="8">
        <f t="shared" si="23"/>
        <v>157.24400336209382</v>
      </c>
      <c r="G268" s="5">
        <f t="shared" si="24"/>
        <v>0.22799449272897307</v>
      </c>
    </row>
    <row r="269" spans="1:7" ht="15.75" customHeight="1">
      <c r="A269" s="3">
        <v>21818</v>
      </c>
      <c r="B269" s="4">
        <v>44</v>
      </c>
      <c r="C269">
        <f t="shared" si="20"/>
        <v>58.761909130028059</v>
      </c>
      <c r="D269" s="8">
        <f t="shared" si="21"/>
        <v>-14.761909130028059</v>
      </c>
      <c r="E269" s="8">
        <f t="shared" si="22"/>
        <v>14.761909130028059</v>
      </c>
      <c r="F269" s="8">
        <f t="shared" si="23"/>
        <v>217.91396116320576</v>
      </c>
      <c r="G269" s="5">
        <f t="shared" si="24"/>
        <v>0.33549793477336498</v>
      </c>
    </row>
    <row r="270" spans="1:7" ht="15.75" customHeight="1">
      <c r="A270" s="3">
        <v>21819</v>
      </c>
      <c r="B270" s="4">
        <v>43</v>
      </c>
      <c r="C270">
        <f t="shared" si="20"/>
        <v>48.428572739008416</v>
      </c>
      <c r="D270" s="8">
        <f t="shared" si="21"/>
        <v>-5.4285727390084162</v>
      </c>
      <c r="E270" s="8">
        <f t="shared" si="22"/>
        <v>5.4285727390084162</v>
      </c>
      <c r="F270" s="8">
        <f t="shared" si="23"/>
        <v>29.469401982705339</v>
      </c>
      <c r="G270" s="5">
        <f t="shared" si="24"/>
        <v>0.12624587765135853</v>
      </c>
    </row>
    <row r="271" spans="1:7" ht="15.75" customHeight="1">
      <c r="A271" s="3">
        <v>21820</v>
      </c>
      <c r="B271" s="4">
        <v>40</v>
      </c>
      <c r="C271">
        <f t="shared" si="20"/>
        <v>44.628571821702522</v>
      </c>
      <c r="D271" s="8">
        <f t="shared" si="21"/>
        <v>-4.628571821702522</v>
      </c>
      <c r="E271" s="8">
        <f t="shared" si="22"/>
        <v>4.628571821702522</v>
      </c>
      <c r="F271" s="8">
        <f t="shared" si="23"/>
        <v>21.423677108658602</v>
      </c>
      <c r="G271" s="5">
        <f t="shared" si="24"/>
        <v>0.11571429554256304</v>
      </c>
    </row>
    <row r="272" spans="1:7" ht="15.75" customHeight="1">
      <c r="A272" s="3">
        <v>21821</v>
      </c>
      <c r="B272" s="4">
        <v>47</v>
      </c>
      <c r="C272">
        <f t="shared" si="20"/>
        <v>41.388571546510754</v>
      </c>
      <c r="D272" s="8">
        <f t="shared" si="21"/>
        <v>5.6114284534892462</v>
      </c>
      <c r="E272" s="8">
        <f t="shared" si="22"/>
        <v>5.6114284534892462</v>
      </c>
      <c r="F272" s="8">
        <f t="shared" si="23"/>
        <v>31.488129288628713</v>
      </c>
      <c r="G272" s="5">
        <f t="shared" si="24"/>
        <v>0.11939209475509034</v>
      </c>
    </row>
    <row r="273" spans="1:7" ht="15.75" customHeight="1">
      <c r="A273" s="3">
        <v>21822</v>
      </c>
      <c r="B273" s="4">
        <v>51</v>
      </c>
      <c r="C273">
        <f t="shared" si="20"/>
        <v>45.316571463953224</v>
      </c>
      <c r="D273" s="8">
        <f t="shared" si="21"/>
        <v>5.683428536046776</v>
      </c>
      <c r="E273" s="8">
        <f t="shared" si="22"/>
        <v>5.683428536046776</v>
      </c>
      <c r="F273" s="8">
        <f t="shared" si="23"/>
        <v>32.301359924350798</v>
      </c>
      <c r="G273" s="5">
        <f t="shared" si="24"/>
        <v>0.11143977521660345</v>
      </c>
    </row>
    <row r="274" spans="1:7" ht="15.75" customHeight="1">
      <c r="A274" s="3">
        <v>21823</v>
      </c>
      <c r="B274" s="4">
        <v>56</v>
      </c>
      <c r="C274">
        <f t="shared" si="20"/>
        <v>49.294971439185964</v>
      </c>
      <c r="D274" s="8">
        <f t="shared" si="21"/>
        <v>6.7050285608140356</v>
      </c>
      <c r="E274" s="8">
        <f t="shared" si="22"/>
        <v>6.7050285608140356</v>
      </c>
      <c r="F274" s="8">
        <f t="shared" si="23"/>
        <v>44.957408001331935</v>
      </c>
      <c r="G274" s="5">
        <f t="shared" si="24"/>
        <v>0.11973265287167921</v>
      </c>
    </row>
    <row r="275" spans="1:7" ht="15.75" customHeight="1">
      <c r="A275" s="3">
        <v>21824</v>
      </c>
      <c r="B275" s="4">
        <v>49</v>
      </c>
      <c r="C275">
        <f t="shared" si="20"/>
        <v>53.988491431755783</v>
      </c>
      <c r="D275" s="8">
        <f t="shared" si="21"/>
        <v>-4.9884914317557829</v>
      </c>
      <c r="E275" s="8">
        <f t="shared" si="22"/>
        <v>4.9884914317557829</v>
      </c>
      <c r="F275" s="8">
        <f t="shared" si="23"/>
        <v>24.88504676470086</v>
      </c>
      <c r="G275" s="5">
        <f t="shared" si="24"/>
        <v>0.10180594758685271</v>
      </c>
    </row>
    <row r="276" spans="1:7" ht="15.75" customHeight="1">
      <c r="A276" s="3">
        <v>21825</v>
      </c>
      <c r="B276" s="4">
        <v>54</v>
      </c>
      <c r="C276">
        <f t="shared" si="20"/>
        <v>50.496547429526728</v>
      </c>
      <c r="D276" s="8">
        <f t="shared" si="21"/>
        <v>3.5034525704732715</v>
      </c>
      <c r="E276" s="8">
        <f t="shared" si="22"/>
        <v>3.5034525704732715</v>
      </c>
      <c r="F276" s="8">
        <f t="shared" si="23"/>
        <v>12.274179913555773</v>
      </c>
      <c r="G276" s="5">
        <f t="shared" si="24"/>
        <v>6.4878751305060586E-2</v>
      </c>
    </row>
    <row r="277" spans="1:7" ht="15.75" customHeight="1">
      <c r="A277" s="3">
        <v>21826</v>
      </c>
      <c r="B277" s="4">
        <v>56</v>
      </c>
      <c r="C277">
        <f t="shared" si="20"/>
        <v>52.948964228858017</v>
      </c>
      <c r="D277" s="8">
        <f t="shared" si="21"/>
        <v>3.0510357711419829</v>
      </c>
      <c r="E277" s="8">
        <f t="shared" si="22"/>
        <v>3.0510357711419829</v>
      </c>
      <c r="F277" s="8">
        <f t="shared" si="23"/>
        <v>9.3088192767879541</v>
      </c>
      <c r="G277" s="5">
        <f t="shared" si="24"/>
        <v>5.4482781627535407E-2</v>
      </c>
    </row>
    <row r="278" spans="1:7" ht="15.75" customHeight="1">
      <c r="A278" s="3">
        <v>21827</v>
      </c>
      <c r="B278" s="4">
        <v>47</v>
      </c>
      <c r="C278">
        <f t="shared" si="20"/>
        <v>55.084689268657399</v>
      </c>
      <c r="D278" s="8">
        <f t="shared" si="21"/>
        <v>-8.0846892686573995</v>
      </c>
      <c r="E278" s="8">
        <f t="shared" si="22"/>
        <v>8.0846892686573995</v>
      </c>
      <c r="F278" s="8">
        <f t="shared" si="23"/>
        <v>65.362200570744122</v>
      </c>
      <c r="G278" s="5">
        <f t="shared" si="24"/>
        <v>0.17201466529058296</v>
      </c>
    </row>
    <row r="279" spans="1:7" ht="15.75" customHeight="1">
      <c r="A279" s="3">
        <v>21828</v>
      </c>
      <c r="B279" s="4">
        <v>44</v>
      </c>
      <c r="C279">
        <f t="shared" si="20"/>
        <v>49.425406780597214</v>
      </c>
      <c r="D279" s="8">
        <f t="shared" si="21"/>
        <v>-5.4254067805972142</v>
      </c>
      <c r="E279" s="8">
        <f t="shared" si="22"/>
        <v>5.4254067805972142</v>
      </c>
      <c r="F279" s="8">
        <f t="shared" si="23"/>
        <v>29.435038734950229</v>
      </c>
      <c r="G279" s="5">
        <f t="shared" si="24"/>
        <v>0.12330469955902759</v>
      </c>
    </row>
    <row r="280" spans="1:7" ht="15.75" customHeight="1">
      <c r="A280" s="3">
        <v>21829</v>
      </c>
      <c r="B280" s="4">
        <v>43</v>
      </c>
      <c r="C280">
        <f t="shared" si="20"/>
        <v>45.627622034179161</v>
      </c>
      <c r="D280" s="8">
        <f t="shared" si="21"/>
        <v>-2.6276220341791614</v>
      </c>
      <c r="E280" s="8">
        <f t="shared" si="22"/>
        <v>2.6276220341791614</v>
      </c>
      <c r="F280" s="8">
        <f t="shared" si="23"/>
        <v>6.9043975545038343</v>
      </c>
      <c r="G280" s="5">
        <f t="shared" si="24"/>
        <v>6.1107489166957241E-2</v>
      </c>
    </row>
    <row r="281" spans="1:7" ht="15.75" customHeight="1">
      <c r="A281" s="3">
        <v>21830</v>
      </c>
      <c r="B281" s="4">
        <v>42</v>
      </c>
      <c r="C281">
        <f t="shared" si="20"/>
        <v>43.788286610253749</v>
      </c>
      <c r="D281" s="8">
        <f t="shared" si="21"/>
        <v>-1.7882866102537491</v>
      </c>
      <c r="E281" s="8">
        <f t="shared" si="22"/>
        <v>1.7882866102537491</v>
      </c>
      <c r="F281" s="8">
        <f t="shared" si="23"/>
        <v>3.1979690004128445</v>
      </c>
      <c r="G281" s="5">
        <f t="shared" si="24"/>
        <v>4.2578252625089262E-2</v>
      </c>
    </row>
    <row r="282" spans="1:7" ht="15.75" customHeight="1">
      <c r="A282" s="3">
        <v>21831</v>
      </c>
      <c r="B282" s="4">
        <v>45</v>
      </c>
      <c r="C282">
        <f t="shared" si="20"/>
        <v>42.536485983076119</v>
      </c>
      <c r="D282" s="8">
        <f t="shared" si="21"/>
        <v>2.4635140169238809</v>
      </c>
      <c r="E282" s="8">
        <f t="shared" si="22"/>
        <v>2.4635140169238809</v>
      </c>
      <c r="F282" s="8">
        <f t="shared" si="23"/>
        <v>6.0689013115804356</v>
      </c>
      <c r="G282" s="5">
        <f t="shared" si="24"/>
        <v>5.4744755931641798E-2</v>
      </c>
    </row>
    <row r="283" spans="1:7" ht="15.75" customHeight="1">
      <c r="A283" s="3">
        <v>21832</v>
      </c>
      <c r="B283" s="4">
        <v>50</v>
      </c>
      <c r="C283">
        <f t="shared" si="20"/>
        <v>44.260945794922833</v>
      </c>
      <c r="D283" s="8">
        <f t="shared" si="21"/>
        <v>5.7390542050771671</v>
      </c>
      <c r="E283" s="8">
        <f t="shared" si="22"/>
        <v>5.7390542050771671</v>
      </c>
      <c r="F283" s="8">
        <f t="shared" si="23"/>
        <v>32.936743168813912</v>
      </c>
      <c r="G283" s="5">
        <f t="shared" si="24"/>
        <v>0.11478108410154335</v>
      </c>
    </row>
    <row r="284" spans="1:7" ht="15.75" customHeight="1">
      <c r="A284" s="3">
        <v>21833</v>
      </c>
      <c r="B284" s="4">
        <v>48</v>
      </c>
      <c r="C284">
        <f t="shared" si="20"/>
        <v>48.278283738476851</v>
      </c>
      <c r="D284" s="8">
        <f t="shared" si="21"/>
        <v>-0.27828373847685128</v>
      </c>
      <c r="E284" s="8">
        <f t="shared" si="22"/>
        <v>0.27828373847685128</v>
      </c>
      <c r="F284" s="8">
        <f t="shared" si="23"/>
        <v>7.7441839100652554E-2</v>
      </c>
      <c r="G284" s="5">
        <f t="shared" si="24"/>
        <v>5.7975778849344017E-3</v>
      </c>
    </row>
    <row r="285" spans="1:7" ht="15.75" customHeight="1">
      <c r="A285" s="3">
        <v>21834</v>
      </c>
      <c r="B285" s="4">
        <v>43</v>
      </c>
      <c r="C285">
        <f t="shared" si="20"/>
        <v>48.083485121543049</v>
      </c>
      <c r="D285" s="8">
        <f t="shared" si="21"/>
        <v>-5.083485121543049</v>
      </c>
      <c r="E285" s="8">
        <f t="shared" si="22"/>
        <v>5.083485121543049</v>
      </c>
      <c r="F285" s="8">
        <f t="shared" si="23"/>
        <v>25.841820980949546</v>
      </c>
      <c r="G285" s="5">
        <f t="shared" si="24"/>
        <v>0.11822058422193137</v>
      </c>
    </row>
    <row r="286" spans="1:7" ht="15.75" customHeight="1">
      <c r="A286" s="3">
        <v>21835</v>
      </c>
      <c r="B286" s="4">
        <v>40</v>
      </c>
      <c r="C286">
        <f t="shared" si="20"/>
        <v>44.525045536462912</v>
      </c>
      <c r="D286" s="8">
        <f t="shared" si="21"/>
        <v>-4.5250455364629119</v>
      </c>
      <c r="E286" s="8">
        <f t="shared" si="22"/>
        <v>4.5250455364629119</v>
      </c>
      <c r="F286" s="8">
        <f t="shared" si="23"/>
        <v>20.476037107062922</v>
      </c>
      <c r="G286" s="5">
        <f t="shared" si="24"/>
        <v>0.11312613841157279</v>
      </c>
    </row>
    <row r="287" spans="1:7" ht="15.75" customHeight="1">
      <c r="A287" s="3">
        <v>21836</v>
      </c>
      <c r="B287" s="4">
        <v>59</v>
      </c>
      <c r="C287">
        <f t="shared" si="20"/>
        <v>41.357513660938871</v>
      </c>
      <c r="D287" s="8">
        <f t="shared" si="21"/>
        <v>17.642486339061129</v>
      </c>
      <c r="E287" s="8">
        <f t="shared" si="22"/>
        <v>17.642486339061129</v>
      </c>
      <c r="F287" s="8">
        <f t="shared" si="23"/>
        <v>311.25732422395856</v>
      </c>
      <c r="G287" s="5">
        <f t="shared" si="24"/>
        <v>0.29902519218747675</v>
      </c>
    </row>
    <row r="288" spans="1:7" ht="15.75" customHeight="1">
      <c r="A288" s="3">
        <v>21837</v>
      </c>
      <c r="B288" s="4">
        <v>41</v>
      </c>
      <c r="C288">
        <f t="shared" si="20"/>
        <v>53.707254098281659</v>
      </c>
      <c r="D288" s="8">
        <f t="shared" si="21"/>
        <v>-12.707254098281659</v>
      </c>
      <c r="E288" s="8">
        <f t="shared" si="22"/>
        <v>12.707254098281659</v>
      </c>
      <c r="F288" s="8">
        <f t="shared" si="23"/>
        <v>161.47430671829602</v>
      </c>
      <c r="G288" s="5">
        <f t="shared" si="24"/>
        <v>0.30993302678735751</v>
      </c>
    </row>
    <row r="289" spans="1:7" ht="15.75" customHeight="1">
      <c r="A289" s="3">
        <v>21838</v>
      </c>
      <c r="B289" s="4">
        <v>42</v>
      </c>
      <c r="C289">
        <f t="shared" si="20"/>
        <v>44.812176229484493</v>
      </c>
      <c r="D289" s="8">
        <f t="shared" si="21"/>
        <v>-2.8121762294844928</v>
      </c>
      <c r="E289" s="8">
        <f t="shared" si="22"/>
        <v>2.8121762294844928</v>
      </c>
      <c r="F289" s="8">
        <f t="shared" si="23"/>
        <v>7.9083351456776185</v>
      </c>
      <c r="G289" s="5">
        <f t="shared" si="24"/>
        <v>6.6956576892487921E-2</v>
      </c>
    </row>
    <row r="290" spans="1:7" ht="15.75" customHeight="1">
      <c r="A290" s="3">
        <v>21839</v>
      </c>
      <c r="B290" s="4">
        <v>51</v>
      </c>
      <c r="C290">
        <f t="shared" si="20"/>
        <v>42.843652868845346</v>
      </c>
      <c r="D290" s="8">
        <f t="shared" si="21"/>
        <v>8.1563471311546536</v>
      </c>
      <c r="E290" s="8">
        <f t="shared" si="22"/>
        <v>8.1563471311546536</v>
      </c>
      <c r="F290" s="8">
        <f t="shared" si="23"/>
        <v>66.525998523894742</v>
      </c>
      <c r="G290" s="5">
        <f t="shared" si="24"/>
        <v>0.15992837512067948</v>
      </c>
    </row>
    <row r="291" spans="1:7" ht="15.75" customHeight="1">
      <c r="A291" s="3">
        <v>21840</v>
      </c>
      <c r="B291" s="4">
        <v>49</v>
      </c>
      <c r="C291">
        <f t="shared" si="20"/>
        <v>48.553095860653599</v>
      </c>
      <c r="D291" s="8">
        <f t="shared" si="21"/>
        <v>0.44690413934640105</v>
      </c>
      <c r="E291" s="8">
        <f t="shared" si="22"/>
        <v>0.44690413934640105</v>
      </c>
      <c r="F291" s="8">
        <f t="shared" si="23"/>
        <v>0.19972330976494745</v>
      </c>
      <c r="G291" s="5">
        <f t="shared" si="24"/>
        <v>9.1204926397224703E-3</v>
      </c>
    </row>
    <row r="292" spans="1:7" ht="15.75" customHeight="1">
      <c r="A292" s="3">
        <v>21841</v>
      </c>
      <c r="B292" s="4">
        <v>45</v>
      </c>
      <c r="C292">
        <f t="shared" si="20"/>
        <v>48.865928758196077</v>
      </c>
      <c r="D292" s="8">
        <f t="shared" si="21"/>
        <v>-3.8659287581960768</v>
      </c>
      <c r="E292" s="8">
        <f t="shared" si="22"/>
        <v>3.8659287581960768</v>
      </c>
      <c r="F292" s="8">
        <f t="shared" si="23"/>
        <v>14.945405163447461</v>
      </c>
      <c r="G292" s="5">
        <f t="shared" si="24"/>
        <v>8.5909527959912815E-2</v>
      </c>
    </row>
    <row r="293" spans="1:7" ht="15.75" customHeight="1">
      <c r="A293" s="3">
        <v>21842</v>
      </c>
      <c r="B293" s="4">
        <v>43</v>
      </c>
      <c r="C293">
        <f t="shared" si="20"/>
        <v>46.15977862745882</v>
      </c>
      <c r="D293" s="8">
        <f t="shared" si="21"/>
        <v>-3.1597786274588202</v>
      </c>
      <c r="E293" s="8">
        <f t="shared" si="22"/>
        <v>3.1597786274588202</v>
      </c>
      <c r="F293" s="8">
        <f t="shared" si="23"/>
        <v>9.984200974545546</v>
      </c>
      <c r="G293" s="5">
        <f t="shared" si="24"/>
        <v>7.3483223894391173E-2</v>
      </c>
    </row>
    <row r="294" spans="1:7" ht="15.75" customHeight="1">
      <c r="A294" s="3">
        <v>21843</v>
      </c>
      <c r="B294" s="4">
        <v>42</v>
      </c>
      <c r="C294">
        <f t="shared" si="20"/>
        <v>43.947933588237646</v>
      </c>
      <c r="D294" s="8">
        <f t="shared" si="21"/>
        <v>-1.9479335882376461</v>
      </c>
      <c r="E294" s="8">
        <f t="shared" si="22"/>
        <v>1.9479335882376461</v>
      </c>
      <c r="F294" s="8">
        <f t="shared" si="23"/>
        <v>3.7944452641843913</v>
      </c>
      <c r="G294" s="5">
        <f t="shared" si="24"/>
        <v>4.6379371148515383E-2</v>
      </c>
    </row>
    <row r="295" spans="1:7" ht="15.75" customHeight="1">
      <c r="A295" s="3">
        <v>21844</v>
      </c>
      <c r="B295" s="4">
        <v>38</v>
      </c>
      <c r="C295">
        <f t="shared" si="20"/>
        <v>42.584380076471291</v>
      </c>
      <c r="D295" s="8">
        <f t="shared" si="21"/>
        <v>-4.584380076471291</v>
      </c>
      <c r="E295" s="8">
        <f t="shared" si="22"/>
        <v>4.584380076471291</v>
      </c>
      <c r="F295" s="8">
        <f t="shared" si="23"/>
        <v>21.016540685546921</v>
      </c>
      <c r="G295" s="5">
        <f t="shared" si="24"/>
        <v>0.12064158095977082</v>
      </c>
    </row>
    <row r="296" spans="1:7" ht="15.75" customHeight="1">
      <c r="A296" s="3">
        <v>21845</v>
      </c>
      <c r="B296" s="4">
        <v>47</v>
      </c>
      <c r="C296">
        <f t="shared" si="20"/>
        <v>39.375314022941382</v>
      </c>
      <c r="D296" s="8">
        <f t="shared" si="21"/>
        <v>7.6246859770586184</v>
      </c>
      <c r="E296" s="8">
        <f t="shared" si="22"/>
        <v>7.6246859770586184</v>
      </c>
      <c r="F296" s="8">
        <f t="shared" si="23"/>
        <v>58.135836248754337</v>
      </c>
      <c r="G296" s="5">
        <f t="shared" si="24"/>
        <v>0.16222736121401315</v>
      </c>
    </row>
    <row r="297" spans="1:7" ht="15.75" customHeight="1">
      <c r="A297" s="3">
        <v>21846</v>
      </c>
      <c r="B297" s="4">
        <v>38</v>
      </c>
      <c r="C297">
        <f t="shared" si="20"/>
        <v>44.712594206882414</v>
      </c>
      <c r="D297" s="8">
        <f t="shared" si="21"/>
        <v>-6.7125942068824145</v>
      </c>
      <c r="E297" s="8">
        <f t="shared" si="22"/>
        <v>6.7125942068824145</v>
      </c>
      <c r="F297" s="8">
        <f t="shared" si="23"/>
        <v>45.058920986271353</v>
      </c>
      <c r="G297" s="5">
        <f t="shared" si="24"/>
        <v>0.17664721597058985</v>
      </c>
    </row>
    <row r="298" spans="1:7" ht="15.75" customHeight="1">
      <c r="A298" s="3">
        <v>21847</v>
      </c>
      <c r="B298" s="4">
        <v>36</v>
      </c>
      <c r="C298">
        <f t="shared" si="20"/>
        <v>40.013778262064719</v>
      </c>
      <c r="D298" s="8">
        <f t="shared" si="21"/>
        <v>-4.0137782620647187</v>
      </c>
      <c r="E298" s="8">
        <f t="shared" si="22"/>
        <v>4.0137782620647187</v>
      </c>
      <c r="F298" s="8">
        <f t="shared" si="23"/>
        <v>16.110415937023273</v>
      </c>
      <c r="G298" s="5">
        <f t="shared" si="24"/>
        <v>0.11149384061290885</v>
      </c>
    </row>
    <row r="299" spans="1:7" ht="15.75" customHeight="1">
      <c r="A299" s="3">
        <v>21848</v>
      </c>
      <c r="B299" s="4">
        <v>42</v>
      </c>
      <c r="C299">
        <f t="shared" si="20"/>
        <v>37.204133478619411</v>
      </c>
      <c r="D299" s="8">
        <f t="shared" si="21"/>
        <v>4.7958665213805887</v>
      </c>
      <c r="E299" s="8">
        <f t="shared" si="22"/>
        <v>4.7958665213805887</v>
      </c>
      <c r="F299" s="8">
        <f t="shared" si="23"/>
        <v>23.000335690899149</v>
      </c>
      <c r="G299" s="5">
        <f t="shared" si="24"/>
        <v>0.11418729812810925</v>
      </c>
    </row>
    <row r="300" spans="1:7" ht="15.75" customHeight="1">
      <c r="A300" s="3">
        <v>21849</v>
      </c>
      <c r="B300" s="4">
        <v>35</v>
      </c>
      <c r="C300">
        <f t="shared" si="20"/>
        <v>40.561240043585819</v>
      </c>
      <c r="D300" s="8">
        <f t="shared" si="21"/>
        <v>-5.5612400435858191</v>
      </c>
      <c r="E300" s="8">
        <f t="shared" si="22"/>
        <v>5.5612400435858191</v>
      </c>
      <c r="F300" s="8">
        <f t="shared" si="23"/>
        <v>30.927390822382403</v>
      </c>
      <c r="G300" s="5">
        <f t="shared" si="24"/>
        <v>0.15889257267388054</v>
      </c>
    </row>
    <row r="301" spans="1:7" ht="15.75" customHeight="1">
      <c r="A301" s="3">
        <v>21850</v>
      </c>
      <c r="B301" s="4">
        <v>28</v>
      </c>
      <c r="C301">
        <f t="shared" si="20"/>
        <v>36.668372013075746</v>
      </c>
      <c r="D301" s="8">
        <f t="shared" si="21"/>
        <v>-8.6683720130757465</v>
      </c>
      <c r="E301" s="8">
        <f t="shared" si="22"/>
        <v>8.6683720130757465</v>
      </c>
      <c r="F301" s="8">
        <f t="shared" si="23"/>
        <v>75.140673357074874</v>
      </c>
      <c r="G301" s="5">
        <f t="shared" si="24"/>
        <v>0.30958471475270521</v>
      </c>
    </row>
    <row r="302" spans="1:7" ht="15.75" customHeight="1">
      <c r="A302" s="3">
        <v>21851</v>
      </c>
      <c r="B302" s="4">
        <v>44</v>
      </c>
      <c r="C302">
        <f t="shared" si="20"/>
        <v>30.600511603922719</v>
      </c>
      <c r="D302" s="8">
        <f t="shared" si="21"/>
        <v>13.399488396077281</v>
      </c>
      <c r="E302" s="8">
        <f t="shared" si="22"/>
        <v>13.399488396077281</v>
      </c>
      <c r="F302" s="8">
        <f t="shared" si="23"/>
        <v>179.54628927660971</v>
      </c>
      <c r="G302" s="5">
        <f t="shared" si="24"/>
        <v>0.30453382718357458</v>
      </c>
    </row>
    <row r="303" spans="1:7" ht="15.75" customHeight="1">
      <c r="A303" s="3">
        <v>21852</v>
      </c>
      <c r="B303" s="4">
        <v>36</v>
      </c>
      <c r="C303">
        <f t="shared" si="20"/>
        <v>39.980153481176814</v>
      </c>
      <c r="D303" s="8">
        <f t="shared" si="21"/>
        <v>-3.9801534811768136</v>
      </c>
      <c r="E303" s="8">
        <f t="shared" si="22"/>
        <v>3.9801534811768136</v>
      </c>
      <c r="F303" s="8">
        <f t="shared" si="23"/>
        <v>15.841621733723908</v>
      </c>
      <c r="G303" s="5">
        <f t="shared" si="24"/>
        <v>0.11055981892157815</v>
      </c>
    </row>
    <row r="304" spans="1:7" ht="15.75" customHeight="1">
      <c r="A304" s="3">
        <v>21853</v>
      </c>
      <c r="B304" s="4">
        <v>45</v>
      </c>
      <c r="C304">
        <f t="shared" si="20"/>
        <v>37.194046044353044</v>
      </c>
      <c r="D304" s="8">
        <f t="shared" si="21"/>
        <v>7.8059539556469559</v>
      </c>
      <c r="E304" s="8">
        <f t="shared" si="22"/>
        <v>7.8059539556469559</v>
      </c>
      <c r="F304" s="8">
        <f t="shared" si="23"/>
        <v>60.932917157680357</v>
      </c>
      <c r="G304" s="5">
        <f t="shared" si="24"/>
        <v>0.17346564345882123</v>
      </c>
    </row>
    <row r="305" spans="1:7" ht="15.75" customHeight="1">
      <c r="A305" s="3">
        <v>21854</v>
      </c>
      <c r="B305" s="4">
        <v>46</v>
      </c>
      <c r="C305">
        <f t="shared" si="20"/>
        <v>42.658213813305906</v>
      </c>
      <c r="D305" s="8">
        <f t="shared" si="21"/>
        <v>3.3417861866940939</v>
      </c>
      <c r="E305" s="8">
        <f t="shared" si="22"/>
        <v>3.3417861866940939</v>
      </c>
      <c r="F305" s="8">
        <f t="shared" si="23"/>
        <v>11.167534917579454</v>
      </c>
      <c r="G305" s="5">
        <f t="shared" si="24"/>
        <v>7.264752579769769E-2</v>
      </c>
    </row>
    <row r="306" spans="1:7" ht="15.75" customHeight="1">
      <c r="A306" s="3">
        <v>21855</v>
      </c>
      <c r="B306" s="4">
        <v>48</v>
      </c>
      <c r="C306">
        <f t="shared" si="20"/>
        <v>44.997464143991763</v>
      </c>
      <c r="D306" s="8">
        <f t="shared" si="21"/>
        <v>3.0025358560082367</v>
      </c>
      <c r="E306" s="8">
        <f t="shared" si="22"/>
        <v>3.0025358560082367</v>
      </c>
      <c r="F306" s="8">
        <f t="shared" si="23"/>
        <v>9.0152215666151143</v>
      </c>
      <c r="G306" s="5">
        <f t="shared" si="24"/>
        <v>6.2552830333504936E-2</v>
      </c>
    </row>
    <row r="307" spans="1:7" ht="15.75" customHeight="1">
      <c r="A307" s="3">
        <v>21856</v>
      </c>
      <c r="B307" s="4">
        <v>49</v>
      </c>
      <c r="C307">
        <f t="shared" si="20"/>
        <v>47.099239243197523</v>
      </c>
      <c r="D307" s="8">
        <f t="shared" si="21"/>
        <v>1.9007607568024767</v>
      </c>
      <c r="E307" s="8">
        <f t="shared" si="22"/>
        <v>1.9007607568024767</v>
      </c>
      <c r="F307" s="8">
        <f t="shared" si="23"/>
        <v>3.6128914546003239</v>
      </c>
      <c r="G307" s="5">
        <f t="shared" si="24"/>
        <v>3.879103585311177E-2</v>
      </c>
    </row>
    <row r="308" spans="1:7" ht="15.75" customHeight="1">
      <c r="A308" s="3">
        <v>21857</v>
      </c>
      <c r="B308" s="4">
        <v>43</v>
      </c>
      <c r="C308">
        <f t="shared" si="20"/>
        <v>48.429771772959256</v>
      </c>
      <c r="D308" s="8">
        <f t="shared" si="21"/>
        <v>-5.4297717729592563</v>
      </c>
      <c r="E308" s="8">
        <f t="shared" si="22"/>
        <v>5.4297717729592563</v>
      </c>
      <c r="F308" s="8">
        <f t="shared" si="23"/>
        <v>29.482421506425105</v>
      </c>
      <c r="G308" s="5">
        <f t="shared" si="24"/>
        <v>0.12627376216184316</v>
      </c>
    </row>
    <row r="309" spans="1:7" ht="15.75" customHeight="1">
      <c r="A309" s="3">
        <v>21858</v>
      </c>
      <c r="B309" s="4">
        <v>42</v>
      </c>
      <c r="C309">
        <f t="shared" si="20"/>
        <v>44.628931531887773</v>
      </c>
      <c r="D309" s="8">
        <f t="shared" si="21"/>
        <v>-2.6289315318877726</v>
      </c>
      <c r="E309" s="8">
        <f t="shared" si="22"/>
        <v>2.6289315318877726</v>
      </c>
      <c r="F309" s="8">
        <f t="shared" si="23"/>
        <v>6.9112809993537905</v>
      </c>
      <c r="G309" s="5">
        <f t="shared" si="24"/>
        <v>6.2593607902089829E-2</v>
      </c>
    </row>
    <row r="310" spans="1:7" ht="15.75" customHeight="1">
      <c r="A310" s="3">
        <v>21859</v>
      </c>
      <c r="B310" s="4">
        <v>59</v>
      </c>
      <c r="C310">
        <f t="shared" si="20"/>
        <v>42.788679459566332</v>
      </c>
      <c r="D310" s="8">
        <f t="shared" si="21"/>
        <v>16.211320540433668</v>
      </c>
      <c r="E310" s="8">
        <f t="shared" si="22"/>
        <v>16.211320540433668</v>
      </c>
      <c r="F310" s="8">
        <f t="shared" si="23"/>
        <v>262.80691366468653</v>
      </c>
      <c r="G310" s="5">
        <f t="shared" si="24"/>
        <v>0.27476814475311301</v>
      </c>
    </row>
    <row r="311" spans="1:7" ht="15.75" customHeight="1">
      <c r="A311" s="3">
        <v>21860</v>
      </c>
      <c r="B311" s="4">
        <v>45</v>
      </c>
      <c r="C311">
        <f t="shared" si="20"/>
        <v>54.136603837869899</v>
      </c>
      <c r="D311" s="8">
        <f t="shared" si="21"/>
        <v>-9.1366038378698988</v>
      </c>
      <c r="E311" s="8">
        <f t="shared" si="22"/>
        <v>9.1366038378698988</v>
      </c>
      <c r="F311" s="8">
        <f t="shared" si="23"/>
        <v>83.477529690178969</v>
      </c>
      <c r="G311" s="5">
        <f t="shared" si="24"/>
        <v>0.20303564084155332</v>
      </c>
    </row>
    <row r="312" spans="1:7" ht="15.75" customHeight="1">
      <c r="A312" s="3">
        <v>21861</v>
      </c>
      <c r="B312" s="4">
        <v>52</v>
      </c>
      <c r="C312">
        <f t="shared" si="20"/>
        <v>47.74098115136097</v>
      </c>
      <c r="D312" s="8">
        <f t="shared" si="21"/>
        <v>4.2590188486390304</v>
      </c>
      <c r="E312" s="8">
        <f t="shared" si="22"/>
        <v>4.2590188486390304</v>
      </c>
      <c r="F312" s="8">
        <f t="shared" si="23"/>
        <v>18.139241553062533</v>
      </c>
      <c r="G312" s="5">
        <f t="shared" si="24"/>
        <v>8.1904208627673655E-2</v>
      </c>
    </row>
    <row r="313" spans="1:7" ht="15.75" customHeight="1">
      <c r="A313" s="3">
        <v>21862</v>
      </c>
      <c r="B313" s="4">
        <v>46</v>
      </c>
      <c r="C313">
        <f t="shared" si="20"/>
        <v>50.722294345408287</v>
      </c>
      <c r="D313" s="8">
        <f t="shared" si="21"/>
        <v>-4.7222943454082866</v>
      </c>
      <c r="E313" s="8">
        <f t="shared" si="22"/>
        <v>4.7222943454082866</v>
      </c>
      <c r="F313" s="8">
        <f t="shared" si="23"/>
        <v>22.30006388467508</v>
      </c>
      <c r="G313" s="5">
        <f t="shared" si="24"/>
        <v>0.10265857272626711</v>
      </c>
    </row>
    <row r="314" spans="1:7" ht="15.75" customHeight="1">
      <c r="A314" s="3">
        <v>21863</v>
      </c>
      <c r="B314" s="4">
        <v>42</v>
      </c>
      <c r="C314">
        <f t="shared" si="20"/>
        <v>47.416688303622479</v>
      </c>
      <c r="D314" s="8">
        <f t="shared" si="21"/>
        <v>-5.4166883036224789</v>
      </c>
      <c r="E314" s="8">
        <f t="shared" si="22"/>
        <v>5.4166883036224789</v>
      </c>
      <c r="F314" s="8">
        <f t="shared" si="23"/>
        <v>29.340512178600569</v>
      </c>
      <c r="G314" s="5">
        <f t="shared" si="24"/>
        <v>0.12896876913386854</v>
      </c>
    </row>
    <row r="315" spans="1:7" ht="15.75" customHeight="1">
      <c r="A315" s="3">
        <v>21864</v>
      </c>
      <c r="B315" s="4">
        <v>40</v>
      </c>
      <c r="C315">
        <f t="shared" si="20"/>
        <v>43.625006491086744</v>
      </c>
      <c r="D315" s="8">
        <f t="shared" si="21"/>
        <v>-3.6250064910867437</v>
      </c>
      <c r="E315" s="8">
        <f t="shared" si="22"/>
        <v>3.6250064910867437</v>
      </c>
      <c r="F315" s="8">
        <f t="shared" si="23"/>
        <v>13.140672060421025</v>
      </c>
      <c r="G315" s="5">
        <f t="shared" si="24"/>
        <v>9.0625162277168589E-2</v>
      </c>
    </row>
    <row r="316" spans="1:7" ht="15.75" customHeight="1">
      <c r="A316" s="3">
        <v>21865</v>
      </c>
      <c r="B316" s="4">
        <v>40</v>
      </c>
      <c r="C316">
        <f t="shared" si="20"/>
        <v>41.087501947326025</v>
      </c>
      <c r="D316" s="8">
        <f t="shared" si="21"/>
        <v>-1.0875019473260252</v>
      </c>
      <c r="E316" s="8">
        <f t="shared" si="22"/>
        <v>1.0875019473260252</v>
      </c>
      <c r="F316" s="8">
        <f t="shared" si="23"/>
        <v>1.182660485437897</v>
      </c>
      <c r="G316" s="5">
        <f t="shared" si="24"/>
        <v>2.7187548683150632E-2</v>
      </c>
    </row>
    <row r="317" spans="1:7" ht="15.75" customHeight="1">
      <c r="A317" s="3">
        <v>21866</v>
      </c>
      <c r="B317" s="4">
        <v>45</v>
      </c>
      <c r="C317">
        <f t="shared" si="20"/>
        <v>40.326250584197808</v>
      </c>
      <c r="D317" s="8">
        <f t="shared" si="21"/>
        <v>4.6737494158021917</v>
      </c>
      <c r="E317" s="8">
        <f t="shared" si="22"/>
        <v>4.6737494158021917</v>
      </c>
      <c r="F317" s="8">
        <f t="shared" si="23"/>
        <v>21.843933601711328</v>
      </c>
      <c r="G317" s="5">
        <f t="shared" si="24"/>
        <v>0.1038610981289376</v>
      </c>
    </row>
    <row r="318" spans="1:7" ht="15.75" customHeight="1">
      <c r="A318" s="3">
        <v>21867</v>
      </c>
      <c r="B318" s="4">
        <v>35</v>
      </c>
      <c r="C318">
        <f t="shared" si="20"/>
        <v>43.59787517525934</v>
      </c>
      <c r="D318" s="8">
        <f t="shared" si="21"/>
        <v>-8.5978751752593396</v>
      </c>
      <c r="E318" s="8">
        <f t="shared" si="22"/>
        <v>8.5978751752593396</v>
      </c>
      <c r="F318" s="8">
        <f t="shared" si="23"/>
        <v>73.923457529340823</v>
      </c>
      <c r="G318" s="5">
        <f t="shared" si="24"/>
        <v>0.24565357643598112</v>
      </c>
    </row>
    <row r="319" spans="1:7" ht="15.75" customHeight="1">
      <c r="A319" s="3">
        <v>21868</v>
      </c>
      <c r="B319" s="4">
        <v>35</v>
      </c>
      <c r="C319">
        <f t="shared" si="20"/>
        <v>37.579362552577805</v>
      </c>
      <c r="D319" s="8">
        <f t="shared" si="21"/>
        <v>-2.5793625525778054</v>
      </c>
      <c r="E319" s="8">
        <f t="shared" si="22"/>
        <v>2.5793625525778054</v>
      </c>
      <c r="F319" s="8">
        <f t="shared" si="23"/>
        <v>6.6531111776406924</v>
      </c>
      <c r="G319" s="5">
        <f t="shared" si="24"/>
        <v>7.3696072930794443E-2</v>
      </c>
    </row>
    <row r="320" spans="1:7" ht="15.75" customHeight="1">
      <c r="A320" s="3">
        <v>21869</v>
      </c>
      <c r="B320" s="4">
        <v>40</v>
      </c>
      <c r="C320">
        <f t="shared" si="20"/>
        <v>35.773808765773339</v>
      </c>
      <c r="D320" s="8">
        <f t="shared" si="21"/>
        <v>4.2261912342266612</v>
      </c>
      <c r="E320" s="8">
        <f t="shared" si="22"/>
        <v>4.2261912342266612</v>
      </c>
      <c r="F320" s="8">
        <f t="shared" si="23"/>
        <v>17.860692348254268</v>
      </c>
      <c r="G320" s="5">
        <f t="shared" si="24"/>
        <v>0.10565478085566653</v>
      </c>
    </row>
    <row r="321" spans="1:7" ht="15.75" customHeight="1">
      <c r="A321" s="3">
        <v>21870</v>
      </c>
      <c r="B321" s="4">
        <v>39</v>
      </c>
      <c r="C321">
        <f t="shared" si="20"/>
        <v>38.732142629732003</v>
      </c>
      <c r="D321" s="8">
        <f t="shared" si="21"/>
        <v>0.26785737026799694</v>
      </c>
      <c r="E321" s="8">
        <f t="shared" si="22"/>
        <v>0.26785737026799694</v>
      </c>
      <c r="F321" s="8">
        <f t="shared" si="23"/>
        <v>7.1747570806886818E-2</v>
      </c>
      <c r="G321" s="5">
        <f t="shared" si="24"/>
        <v>6.8681376991794087E-3</v>
      </c>
    </row>
    <row r="322" spans="1:7" ht="15.75" customHeight="1">
      <c r="A322" s="3">
        <v>21871</v>
      </c>
      <c r="B322" s="4">
        <v>33</v>
      </c>
      <c r="C322">
        <f t="shared" si="20"/>
        <v>38.919642788919596</v>
      </c>
      <c r="D322" s="8">
        <f t="shared" si="21"/>
        <v>-5.9196427889195959</v>
      </c>
      <c r="E322" s="8">
        <f t="shared" si="22"/>
        <v>5.9196427889195959</v>
      </c>
      <c r="F322" s="8">
        <f t="shared" si="23"/>
        <v>35.04217074840777</v>
      </c>
      <c r="G322" s="5">
        <f t="shared" si="24"/>
        <v>0.17938311481574534</v>
      </c>
    </row>
    <row r="323" spans="1:7" ht="15.75" customHeight="1">
      <c r="A323" s="3">
        <v>21872</v>
      </c>
      <c r="B323" s="4">
        <v>42</v>
      </c>
      <c r="C323">
        <f t="shared" si="20"/>
        <v>34.775892836675879</v>
      </c>
      <c r="D323" s="8">
        <f t="shared" si="21"/>
        <v>7.2241071633241205</v>
      </c>
      <c r="E323" s="8">
        <f t="shared" si="22"/>
        <v>7.2241071633241205</v>
      </c>
      <c r="F323" s="8">
        <f t="shared" si="23"/>
        <v>52.187724307190869</v>
      </c>
      <c r="G323" s="5">
        <f t="shared" si="24"/>
        <v>0.17200255150771715</v>
      </c>
    </row>
    <row r="324" spans="1:7" ht="15.75" customHeight="1">
      <c r="A324" s="3">
        <v>21873</v>
      </c>
      <c r="B324" s="4">
        <v>47</v>
      </c>
      <c r="C324">
        <f t="shared" ref="C324:C366" si="25">0.7*B323+0.3*C323</f>
        <v>39.832767851002764</v>
      </c>
      <c r="D324" s="8">
        <f t="shared" ref="D324:D366" si="26">B324-C324</f>
        <v>7.1672321489972362</v>
      </c>
      <c r="E324" s="8">
        <f t="shared" ref="E324:E366" si="27">ABS(D324)</f>
        <v>7.1672321489972362</v>
      </c>
      <c r="F324" s="8">
        <f t="shared" ref="F324:F366" si="28">E324^2</f>
        <v>51.369216677619541</v>
      </c>
      <c r="G324" s="5">
        <f t="shared" ref="G324:G366" si="29">E324/B324</f>
        <v>0.1524943010424944</v>
      </c>
    </row>
    <row r="325" spans="1:7" ht="15.75" customHeight="1">
      <c r="A325" s="3">
        <v>21874</v>
      </c>
      <c r="B325" s="4">
        <v>51</v>
      </c>
      <c r="C325">
        <f t="shared" si="25"/>
        <v>44.849830355300824</v>
      </c>
      <c r="D325" s="8">
        <f t="shared" si="26"/>
        <v>6.1501696446991758</v>
      </c>
      <c r="E325" s="8">
        <f t="shared" si="27"/>
        <v>6.1501696446991758</v>
      </c>
      <c r="F325" s="8">
        <f t="shared" si="28"/>
        <v>37.824586658579186</v>
      </c>
      <c r="G325" s="5">
        <f t="shared" si="29"/>
        <v>0.12059156166076815</v>
      </c>
    </row>
    <row r="326" spans="1:7" ht="15.75" customHeight="1">
      <c r="A326" s="3">
        <v>21875</v>
      </c>
      <c r="B326" s="4">
        <v>44</v>
      </c>
      <c r="C326">
        <f t="shared" si="25"/>
        <v>49.154949106590244</v>
      </c>
      <c r="D326" s="8">
        <f t="shared" si="26"/>
        <v>-5.1549491065902444</v>
      </c>
      <c r="E326" s="8">
        <f t="shared" si="27"/>
        <v>5.1549491065902444</v>
      </c>
      <c r="F326" s="8">
        <f t="shared" si="28"/>
        <v>26.573500291535559</v>
      </c>
      <c r="G326" s="5">
        <f t="shared" si="29"/>
        <v>0.11715793424068738</v>
      </c>
    </row>
    <row r="327" spans="1:7" ht="15.75" customHeight="1">
      <c r="A327" s="3">
        <v>21876</v>
      </c>
      <c r="B327" s="4">
        <v>40</v>
      </c>
      <c r="C327">
        <f t="shared" si="25"/>
        <v>45.546484731977074</v>
      </c>
      <c r="D327" s="8">
        <f t="shared" si="26"/>
        <v>-5.546484731977074</v>
      </c>
      <c r="E327" s="8">
        <f t="shared" si="27"/>
        <v>5.546484731977074</v>
      </c>
      <c r="F327" s="8">
        <f t="shared" si="28"/>
        <v>30.763492882054795</v>
      </c>
      <c r="G327" s="5">
        <f t="shared" si="29"/>
        <v>0.13866211829942685</v>
      </c>
    </row>
    <row r="328" spans="1:7" ht="15.75" customHeight="1">
      <c r="A328" s="3">
        <v>21877</v>
      </c>
      <c r="B328" s="4">
        <v>57</v>
      </c>
      <c r="C328">
        <f t="shared" si="25"/>
        <v>41.663945419593119</v>
      </c>
      <c r="D328" s="8">
        <f t="shared" si="26"/>
        <v>15.336054580406881</v>
      </c>
      <c r="E328" s="8">
        <f t="shared" si="27"/>
        <v>15.336054580406881</v>
      </c>
      <c r="F328" s="8">
        <f t="shared" si="28"/>
        <v>235.19457009321886</v>
      </c>
      <c r="G328" s="5">
        <f t="shared" si="29"/>
        <v>0.26905358912994526</v>
      </c>
    </row>
    <row r="329" spans="1:7" ht="15.75" customHeight="1">
      <c r="A329" s="3">
        <v>21878</v>
      </c>
      <c r="B329" s="4">
        <v>49</v>
      </c>
      <c r="C329">
        <f t="shared" si="25"/>
        <v>52.399183625877932</v>
      </c>
      <c r="D329" s="8">
        <f t="shared" si="26"/>
        <v>-3.3991836258779315</v>
      </c>
      <c r="E329" s="8">
        <f t="shared" si="27"/>
        <v>3.3991836258779315</v>
      </c>
      <c r="F329" s="8">
        <f t="shared" si="28"/>
        <v>11.554449322436641</v>
      </c>
      <c r="G329" s="5">
        <f t="shared" si="29"/>
        <v>6.9371094405672074E-2</v>
      </c>
    </row>
    <row r="330" spans="1:7" ht="15.75" customHeight="1">
      <c r="A330" s="3">
        <v>21879</v>
      </c>
      <c r="B330" s="4">
        <v>45</v>
      </c>
      <c r="C330">
        <f t="shared" si="25"/>
        <v>50.019755087763372</v>
      </c>
      <c r="D330" s="8">
        <f t="shared" si="26"/>
        <v>-5.0197550877633716</v>
      </c>
      <c r="E330" s="8">
        <f t="shared" si="27"/>
        <v>5.0197550877633716</v>
      </c>
      <c r="F330" s="8">
        <f t="shared" si="28"/>
        <v>25.197941141126254</v>
      </c>
      <c r="G330" s="5">
        <f t="shared" si="29"/>
        <v>0.11155011306140826</v>
      </c>
    </row>
    <row r="331" spans="1:7" ht="15.75" customHeight="1">
      <c r="A331" s="3">
        <v>21880</v>
      </c>
      <c r="B331" s="4">
        <v>49</v>
      </c>
      <c r="C331">
        <f t="shared" si="25"/>
        <v>46.505926526329006</v>
      </c>
      <c r="D331" s="8">
        <f t="shared" si="26"/>
        <v>2.4940734736709942</v>
      </c>
      <c r="E331" s="8">
        <f t="shared" si="27"/>
        <v>2.4940734736709942</v>
      </c>
      <c r="F331" s="8">
        <f t="shared" si="28"/>
        <v>6.2204024920692991</v>
      </c>
      <c r="G331" s="5">
        <f t="shared" si="29"/>
        <v>5.0899458646346818E-2</v>
      </c>
    </row>
    <row r="332" spans="1:7" ht="15.75" customHeight="1">
      <c r="A332" s="3">
        <v>21881</v>
      </c>
      <c r="B332" s="4">
        <v>51</v>
      </c>
      <c r="C332">
        <f t="shared" si="25"/>
        <v>48.251777957898696</v>
      </c>
      <c r="D332" s="8">
        <f t="shared" si="26"/>
        <v>2.7482220421013039</v>
      </c>
      <c r="E332" s="8">
        <f t="shared" si="27"/>
        <v>2.7482220421013039</v>
      </c>
      <c r="F332" s="8">
        <f t="shared" si="28"/>
        <v>7.5527243926914611</v>
      </c>
      <c r="G332" s="5">
        <f t="shared" si="29"/>
        <v>5.3886706707868708E-2</v>
      </c>
    </row>
    <row r="333" spans="1:7" ht="15.75" customHeight="1">
      <c r="A333" s="3">
        <v>21882</v>
      </c>
      <c r="B333" s="4">
        <v>46</v>
      </c>
      <c r="C333">
        <f t="shared" si="25"/>
        <v>50.175533387369605</v>
      </c>
      <c r="D333" s="8">
        <f t="shared" si="26"/>
        <v>-4.1755333873696046</v>
      </c>
      <c r="E333" s="8">
        <f t="shared" si="27"/>
        <v>4.1755333873696046</v>
      </c>
      <c r="F333" s="8">
        <f t="shared" si="28"/>
        <v>17.435079069038284</v>
      </c>
      <c r="G333" s="5">
        <f t="shared" si="29"/>
        <v>9.0772464942817488E-2</v>
      </c>
    </row>
    <row r="334" spans="1:7" ht="15.75" customHeight="1">
      <c r="A334" s="3">
        <v>21883</v>
      </c>
      <c r="B334" s="4">
        <v>44</v>
      </c>
      <c r="C334">
        <f t="shared" si="25"/>
        <v>47.252660016210875</v>
      </c>
      <c r="D334" s="8">
        <f t="shared" si="26"/>
        <v>-3.252660016210875</v>
      </c>
      <c r="E334" s="8">
        <f t="shared" si="27"/>
        <v>3.252660016210875</v>
      </c>
      <c r="F334" s="8">
        <f t="shared" si="28"/>
        <v>10.579797181056929</v>
      </c>
      <c r="G334" s="5">
        <f t="shared" si="29"/>
        <v>7.3924091277519879E-2</v>
      </c>
    </row>
    <row r="335" spans="1:7" ht="15.75" customHeight="1">
      <c r="A335" s="3">
        <v>21884</v>
      </c>
      <c r="B335" s="4">
        <v>52</v>
      </c>
      <c r="C335">
        <f t="shared" si="25"/>
        <v>44.975798004863258</v>
      </c>
      <c r="D335" s="8">
        <f t="shared" si="26"/>
        <v>7.0242019951367425</v>
      </c>
      <c r="E335" s="8">
        <f t="shared" si="27"/>
        <v>7.0242019951367425</v>
      </c>
      <c r="F335" s="8">
        <f t="shared" si="28"/>
        <v>49.33941366848299</v>
      </c>
      <c r="G335" s="5">
        <f t="shared" si="29"/>
        <v>0.13508080759878352</v>
      </c>
    </row>
    <row r="336" spans="1:7" ht="15.75" customHeight="1">
      <c r="A336" s="3">
        <v>21885</v>
      </c>
      <c r="B336" s="4">
        <v>45</v>
      </c>
      <c r="C336">
        <f t="shared" si="25"/>
        <v>49.892739401458975</v>
      </c>
      <c r="D336" s="8">
        <f t="shared" si="26"/>
        <v>-4.8927394014589751</v>
      </c>
      <c r="E336" s="8">
        <f t="shared" si="27"/>
        <v>4.8927394014589751</v>
      </c>
      <c r="F336" s="8">
        <f t="shared" si="28"/>
        <v>23.93889885058913</v>
      </c>
      <c r="G336" s="5">
        <f t="shared" si="29"/>
        <v>0.10872754225464389</v>
      </c>
    </row>
    <row r="337" spans="1:7" ht="15.75" customHeight="1">
      <c r="A337" s="3">
        <v>21886</v>
      </c>
      <c r="B337" s="4">
        <v>32</v>
      </c>
      <c r="C337">
        <f t="shared" si="25"/>
        <v>46.467821820437692</v>
      </c>
      <c r="D337" s="8">
        <f t="shared" si="26"/>
        <v>-14.467821820437692</v>
      </c>
      <c r="E337" s="8">
        <f t="shared" si="27"/>
        <v>14.467821820437692</v>
      </c>
      <c r="F337" s="8">
        <f t="shared" si="28"/>
        <v>209.31786822793302</v>
      </c>
      <c r="G337" s="5">
        <f t="shared" si="29"/>
        <v>0.45211943188867787</v>
      </c>
    </row>
    <row r="338" spans="1:7" ht="15.75" customHeight="1">
      <c r="A338" s="3">
        <v>21887</v>
      </c>
      <c r="B338" s="4">
        <v>46</v>
      </c>
      <c r="C338">
        <f t="shared" si="25"/>
        <v>36.340346546131308</v>
      </c>
      <c r="D338" s="8">
        <f t="shared" si="26"/>
        <v>9.6596534538686925</v>
      </c>
      <c r="E338" s="8">
        <f t="shared" si="27"/>
        <v>9.6596534538686925</v>
      </c>
      <c r="F338" s="8">
        <f t="shared" si="28"/>
        <v>93.308904848837358</v>
      </c>
      <c r="G338" s="5">
        <f t="shared" si="29"/>
        <v>0.20999246638844984</v>
      </c>
    </row>
    <row r="339" spans="1:7" ht="15.75" customHeight="1">
      <c r="A339" s="3">
        <v>21888</v>
      </c>
      <c r="B339" s="4">
        <v>41</v>
      </c>
      <c r="C339">
        <f t="shared" si="25"/>
        <v>43.10210396383939</v>
      </c>
      <c r="D339" s="8">
        <f t="shared" si="26"/>
        <v>-2.1021039638393901</v>
      </c>
      <c r="E339" s="8">
        <f t="shared" si="27"/>
        <v>2.1021039638393901</v>
      </c>
      <c r="F339" s="8">
        <f t="shared" si="28"/>
        <v>4.4188410747892757</v>
      </c>
      <c r="G339" s="5">
        <f t="shared" si="29"/>
        <v>5.1270828386326586E-2</v>
      </c>
    </row>
    <row r="340" spans="1:7" ht="15.75" customHeight="1">
      <c r="A340" s="3">
        <v>21889</v>
      </c>
      <c r="B340" s="4">
        <v>34</v>
      </c>
      <c r="C340">
        <f t="shared" si="25"/>
        <v>41.630631189151813</v>
      </c>
      <c r="D340" s="8">
        <f t="shared" si="26"/>
        <v>-7.6306311891518135</v>
      </c>
      <c r="E340" s="8">
        <f t="shared" si="27"/>
        <v>7.6306311891518135</v>
      </c>
      <c r="F340" s="8">
        <f t="shared" si="28"/>
        <v>58.226532344856416</v>
      </c>
      <c r="G340" s="5">
        <f t="shared" si="29"/>
        <v>0.22443032909270039</v>
      </c>
    </row>
    <row r="341" spans="1:7" ht="15.75" customHeight="1">
      <c r="A341" s="3">
        <v>21890</v>
      </c>
      <c r="B341" s="4">
        <v>33</v>
      </c>
      <c r="C341">
        <f t="shared" si="25"/>
        <v>36.289189356745538</v>
      </c>
      <c r="D341" s="8">
        <f t="shared" si="26"/>
        <v>-3.2891893567455384</v>
      </c>
      <c r="E341" s="8">
        <f t="shared" si="27"/>
        <v>3.2891893567455384</v>
      </c>
      <c r="F341" s="8">
        <f t="shared" si="28"/>
        <v>10.818766624528129</v>
      </c>
      <c r="G341" s="5">
        <f t="shared" si="29"/>
        <v>9.9672404749864801E-2</v>
      </c>
    </row>
    <row r="342" spans="1:7" ht="15.75" customHeight="1">
      <c r="A342" s="3">
        <v>21891</v>
      </c>
      <c r="B342" s="4">
        <v>36</v>
      </c>
      <c r="C342">
        <f t="shared" si="25"/>
        <v>33.98675680702366</v>
      </c>
      <c r="D342" s="8">
        <f t="shared" si="26"/>
        <v>2.0132431929763399</v>
      </c>
      <c r="E342" s="8">
        <f t="shared" si="27"/>
        <v>2.0132431929763399</v>
      </c>
      <c r="F342" s="8">
        <f t="shared" si="28"/>
        <v>4.0531481540655685</v>
      </c>
      <c r="G342" s="5">
        <f t="shared" si="29"/>
        <v>5.5923422027120556E-2</v>
      </c>
    </row>
    <row r="343" spans="1:7" ht="15.75" customHeight="1">
      <c r="A343" s="3">
        <v>21892</v>
      </c>
      <c r="B343" s="4">
        <v>49</v>
      </c>
      <c r="C343">
        <f t="shared" si="25"/>
        <v>35.396027042107093</v>
      </c>
      <c r="D343" s="8">
        <f t="shared" si="26"/>
        <v>13.603972957892907</v>
      </c>
      <c r="E343" s="8">
        <f t="shared" si="27"/>
        <v>13.603972957892907</v>
      </c>
      <c r="F343" s="8">
        <f t="shared" si="28"/>
        <v>185.0680802390815</v>
      </c>
      <c r="G343" s="5">
        <f t="shared" si="29"/>
        <v>0.2776321011814879</v>
      </c>
    </row>
    <row r="344" spans="1:7" ht="15.75" customHeight="1">
      <c r="A344" s="3">
        <v>21893</v>
      </c>
      <c r="B344" s="4">
        <v>43</v>
      </c>
      <c r="C344">
        <f t="shared" si="25"/>
        <v>44.918808112632121</v>
      </c>
      <c r="D344" s="8">
        <f t="shared" si="26"/>
        <v>-1.9188081126321208</v>
      </c>
      <c r="E344" s="8">
        <f t="shared" si="27"/>
        <v>1.9188081126321208</v>
      </c>
      <c r="F344" s="8">
        <f t="shared" si="28"/>
        <v>3.6818245731028418</v>
      </c>
      <c r="G344" s="5">
        <f t="shared" si="29"/>
        <v>4.4623444479816761E-2</v>
      </c>
    </row>
    <row r="345" spans="1:7" ht="15.75" customHeight="1">
      <c r="A345" s="3">
        <v>21894</v>
      </c>
      <c r="B345" s="4">
        <v>43</v>
      </c>
      <c r="C345">
        <f t="shared" si="25"/>
        <v>43.575642433789632</v>
      </c>
      <c r="D345" s="8">
        <f t="shared" si="26"/>
        <v>-0.57564243378963198</v>
      </c>
      <c r="E345" s="8">
        <f t="shared" si="27"/>
        <v>0.57564243378963198</v>
      </c>
      <c r="F345" s="8">
        <f t="shared" si="28"/>
        <v>0.33136421157925083</v>
      </c>
      <c r="G345" s="5">
        <f t="shared" si="29"/>
        <v>1.3387033343944929E-2</v>
      </c>
    </row>
    <row r="346" spans="1:7" ht="15.75" customHeight="1">
      <c r="A346" s="3">
        <v>21895</v>
      </c>
      <c r="B346" s="4">
        <v>34</v>
      </c>
      <c r="C346">
        <f t="shared" si="25"/>
        <v>43.172692730136887</v>
      </c>
      <c r="D346" s="8">
        <f t="shared" si="26"/>
        <v>-9.1726927301368875</v>
      </c>
      <c r="E346" s="8">
        <f t="shared" si="27"/>
        <v>9.1726927301368875</v>
      </c>
      <c r="F346" s="8">
        <f t="shared" si="28"/>
        <v>84.138291921506109</v>
      </c>
      <c r="G346" s="5">
        <f t="shared" si="29"/>
        <v>0.26978508029814374</v>
      </c>
    </row>
    <row r="347" spans="1:7" ht="15.75" customHeight="1">
      <c r="A347" s="3">
        <v>21896</v>
      </c>
      <c r="B347" s="4">
        <v>39</v>
      </c>
      <c r="C347">
        <f t="shared" si="25"/>
        <v>36.751807819041062</v>
      </c>
      <c r="D347" s="8">
        <f t="shared" si="26"/>
        <v>2.248192180958938</v>
      </c>
      <c r="E347" s="8">
        <f t="shared" si="27"/>
        <v>2.248192180958938</v>
      </c>
      <c r="F347" s="8">
        <f t="shared" si="28"/>
        <v>5.0543680825249062</v>
      </c>
      <c r="G347" s="5">
        <f t="shared" si="29"/>
        <v>5.7645953357921491E-2</v>
      </c>
    </row>
    <row r="348" spans="1:7" ht="15.75" customHeight="1">
      <c r="A348" s="3">
        <v>21897</v>
      </c>
      <c r="B348" s="4">
        <v>35</v>
      </c>
      <c r="C348">
        <f t="shared" si="25"/>
        <v>38.325542345712314</v>
      </c>
      <c r="D348" s="8">
        <f t="shared" si="26"/>
        <v>-3.3255423457123143</v>
      </c>
      <c r="E348" s="8">
        <f t="shared" si="27"/>
        <v>3.3255423457123143</v>
      </c>
      <c r="F348" s="8">
        <f t="shared" si="28"/>
        <v>11.059231893125762</v>
      </c>
      <c r="G348" s="5">
        <f t="shared" si="29"/>
        <v>9.5015495591780408E-2</v>
      </c>
    </row>
    <row r="349" spans="1:7" ht="15.75" customHeight="1">
      <c r="A349" s="3">
        <v>21898</v>
      </c>
      <c r="B349" s="4">
        <v>52</v>
      </c>
      <c r="C349">
        <f t="shared" si="25"/>
        <v>35.997662703713694</v>
      </c>
      <c r="D349" s="8">
        <f t="shared" si="26"/>
        <v>16.002337296286306</v>
      </c>
      <c r="E349" s="8">
        <f t="shared" si="27"/>
        <v>16.002337296286306</v>
      </c>
      <c r="F349" s="8">
        <f t="shared" si="28"/>
        <v>256.07479894411574</v>
      </c>
      <c r="G349" s="5">
        <f t="shared" si="29"/>
        <v>0.30773725569781357</v>
      </c>
    </row>
    <row r="350" spans="1:7" ht="15.75" customHeight="1">
      <c r="A350" s="3">
        <v>21899</v>
      </c>
      <c r="B350" s="4">
        <v>47</v>
      </c>
      <c r="C350">
        <f t="shared" si="25"/>
        <v>47.199298811114105</v>
      </c>
      <c r="D350" s="8">
        <f t="shared" si="26"/>
        <v>-0.19929881111410452</v>
      </c>
      <c r="E350" s="8">
        <f t="shared" si="27"/>
        <v>0.19929881111410452</v>
      </c>
      <c r="F350" s="8">
        <f t="shared" si="28"/>
        <v>3.9720016111495511E-2</v>
      </c>
      <c r="G350" s="5">
        <f t="shared" si="29"/>
        <v>4.2404002364703087E-3</v>
      </c>
    </row>
    <row r="351" spans="1:7" ht="15.75" customHeight="1">
      <c r="A351" s="3">
        <v>21900</v>
      </c>
      <c r="B351" s="4">
        <v>52</v>
      </c>
      <c r="C351">
        <f t="shared" si="25"/>
        <v>47.059789643334227</v>
      </c>
      <c r="D351" s="8">
        <f t="shared" si="26"/>
        <v>4.9402103566657729</v>
      </c>
      <c r="E351" s="8">
        <f t="shared" si="27"/>
        <v>4.9402103566657729</v>
      </c>
      <c r="F351" s="8">
        <f t="shared" si="28"/>
        <v>24.405678368107765</v>
      </c>
      <c r="G351" s="5">
        <f t="shared" si="29"/>
        <v>9.5004045320495639E-2</v>
      </c>
    </row>
    <row r="352" spans="1:7" ht="15.75" customHeight="1">
      <c r="A352" s="3">
        <v>21901</v>
      </c>
      <c r="B352" s="4">
        <v>39</v>
      </c>
      <c r="C352">
        <f t="shared" si="25"/>
        <v>50.517936893000268</v>
      </c>
      <c r="D352" s="8">
        <f t="shared" si="26"/>
        <v>-11.517936893000268</v>
      </c>
      <c r="E352" s="8">
        <f t="shared" si="27"/>
        <v>11.517936893000268</v>
      </c>
      <c r="F352" s="8">
        <f t="shared" si="28"/>
        <v>132.66287027113668</v>
      </c>
      <c r="G352" s="5">
        <f t="shared" si="29"/>
        <v>0.29533171520513507</v>
      </c>
    </row>
    <row r="353" spans="1:7" ht="15.75" customHeight="1">
      <c r="A353" s="3">
        <v>21902</v>
      </c>
      <c r="B353" s="4">
        <v>40</v>
      </c>
      <c r="C353">
        <f t="shared" si="25"/>
        <v>42.455381067900078</v>
      </c>
      <c r="D353" s="8">
        <f t="shared" si="26"/>
        <v>-2.4553810679000776</v>
      </c>
      <c r="E353" s="8">
        <f t="shared" si="27"/>
        <v>2.4553810679000776</v>
      </c>
      <c r="F353" s="8">
        <f t="shared" si="28"/>
        <v>6.0288961886021255</v>
      </c>
      <c r="G353" s="5">
        <f t="shared" si="29"/>
        <v>6.138452669750194E-2</v>
      </c>
    </row>
    <row r="354" spans="1:7" ht="15.75" customHeight="1">
      <c r="A354" s="3">
        <v>21903</v>
      </c>
      <c r="B354" s="4">
        <v>42</v>
      </c>
      <c r="C354">
        <f t="shared" si="25"/>
        <v>40.736614320370023</v>
      </c>
      <c r="D354" s="8">
        <f t="shared" si="26"/>
        <v>1.2633856796299767</v>
      </c>
      <c r="E354" s="8">
        <f t="shared" si="27"/>
        <v>1.2633856796299767</v>
      </c>
      <c r="F354" s="8">
        <f t="shared" si="28"/>
        <v>1.5961433754940981</v>
      </c>
      <c r="G354" s="5">
        <f t="shared" si="29"/>
        <v>3.0080611419761351E-2</v>
      </c>
    </row>
    <row r="355" spans="1:7" ht="15.75" customHeight="1">
      <c r="A355" s="3">
        <v>21904</v>
      </c>
      <c r="B355" s="4">
        <v>42</v>
      </c>
      <c r="C355">
        <f t="shared" si="25"/>
        <v>41.620984296111004</v>
      </c>
      <c r="D355" s="8">
        <f t="shared" si="26"/>
        <v>0.37901570388899586</v>
      </c>
      <c r="E355" s="8">
        <f t="shared" si="27"/>
        <v>0.37901570388899586</v>
      </c>
      <c r="F355" s="8">
        <f t="shared" si="28"/>
        <v>0.14365290379447099</v>
      </c>
      <c r="G355" s="5">
        <f t="shared" si="29"/>
        <v>9.0241834259284729E-3</v>
      </c>
    </row>
    <row r="356" spans="1:7" ht="15.75" customHeight="1">
      <c r="A356" s="3">
        <v>21905</v>
      </c>
      <c r="B356" s="4">
        <v>53</v>
      </c>
      <c r="C356">
        <f t="shared" si="25"/>
        <v>41.886295288833296</v>
      </c>
      <c r="D356" s="8">
        <f t="shared" si="26"/>
        <v>11.113704711166704</v>
      </c>
      <c r="E356" s="8">
        <f t="shared" si="27"/>
        <v>11.113704711166704</v>
      </c>
      <c r="F356" s="8">
        <f t="shared" si="28"/>
        <v>123.514432407009</v>
      </c>
      <c r="G356" s="5">
        <f t="shared" si="29"/>
        <v>0.2096925417201265</v>
      </c>
    </row>
    <row r="357" spans="1:7" ht="15.75" customHeight="1">
      <c r="A357" s="3">
        <v>21906</v>
      </c>
      <c r="B357" s="4">
        <v>39</v>
      </c>
      <c r="C357">
        <f t="shared" si="25"/>
        <v>49.665888586649984</v>
      </c>
      <c r="D357" s="8">
        <f t="shared" si="26"/>
        <v>-10.665888586649984</v>
      </c>
      <c r="E357" s="8">
        <f t="shared" si="27"/>
        <v>10.665888586649984</v>
      </c>
      <c r="F357" s="8">
        <f t="shared" si="28"/>
        <v>113.7611793428304</v>
      </c>
      <c r="G357" s="5">
        <f t="shared" si="29"/>
        <v>0.27348432273461498</v>
      </c>
    </row>
    <row r="358" spans="1:7" ht="15.75" customHeight="1">
      <c r="A358" s="3">
        <v>21907</v>
      </c>
      <c r="B358" s="4">
        <v>40</v>
      </c>
      <c r="C358">
        <f t="shared" si="25"/>
        <v>42.199766575994992</v>
      </c>
      <c r="D358" s="8">
        <f t="shared" si="26"/>
        <v>-2.1997665759949925</v>
      </c>
      <c r="E358" s="8">
        <f t="shared" si="27"/>
        <v>2.1997665759949925</v>
      </c>
      <c r="F358" s="8">
        <f t="shared" si="28"/>
        <v>4.8389729888647333</v>
      </c>
      <c r="G358" s="5">
        <f t="shared" si="29"/>
        <v>5.4994164399874812E-2</v>
      </c>
    </row>
    <row r="359" spans="1:7" ht="15.75" customHeight="1">
      <c r="A359" s="3">
        <v>21908</v>
      </c>
      <c r="B359" s="4">
        <v>38</v>
      </c>
      <c r="C359">
        <f t="shared" si="25"/>
        <v>40.659929972798494</v>
      </c>
      <c r="D359" s="8">
        <f t="shared" si="26"/>
        <v>-2.6599299727984942</v>
      </c>
      <c r="E359" s="8">
        <f t="shared" si="27"/>
        <v>2.6599299727984942</v>
      </c>
      <c r="F359" s="8">
        <f t="shared" si="28"/>
        <v>7.0752274601917984</v>
      </c>
      <c r="G359" s="5">
        <f t="shared" si="29"/>
        <v>6.9998157178907741E-2</v>
      </c>
    </row>
    <row r="360" spans="1:7" ht="15.75" customHeight="1">
      <c r="A360" s="3">
        <v>21909</v>
      </c>
      <c r="B360" s="4">
        <v>44</v>
      </c>
      <c r="C360">
        <f t="shared" si="25"/>
        <v>38.797978991839543</v>
      </c>
      <c r="D360" s="8">
        <f t="shared" si="26"/>
        <v>5.2020210081604574</v>
      </c>
      <c r="E360" s="8">
        <f t="shared" si="27"/>
        <v>5.2020210081604574</v>
      </c>
      <c r="F360" s="8">
        <f t="shared" si="28"/>
        <v>27.061022569342743</v>
      </c>
      <c r="G360" s="5">
        <f t="shared" si="29"/>
        <v>0.11822775018546494</v>
      </c>
    </row>
    <row r="361" spans="1:7" ht="15.75" customHeight="1">
      <c r="A361" s="3">
        <v>21910</v>
      </c>
      <c r="B361" s="4">
        <v>34</v>
      </c>
      <c r="C361">
        <f t="shared" si="25"/>
        <v>42.439393697551857</v>
      </c>
      <c r="D361" s="8">
        <f t="shared" si="26"/>
        <v>-8.4393936975518571</v>
      </c>
      <c r="E361" s="8">
        <f t="shared" si="27"/>
        <v>8.4393936975518571</v>
      </c>
      <c r="F361" s="8">
        <f t="shared" si="28"/>
        <v>71.223365982278011</v>
      </c>
      <c r="G361" s="5">
        <f t="shared" si="29"/>
        <v>0.24821746169270167</v>
      </c>
    </row>
    <row r="362" spans="1:7" ht="15.75" customHeight="1">
      <c r="A362" s="3">
        <v>21911</v>
      </c>
      <c r="B362" s="4">
        <v>37</v>
      </c>
      <c r="C362">
        <f t="shared" si="25"/>
        <v>36.531818109265558</v>
      </c>
      <c r="D362" s="8">
        <f t="shared" si="26"/>
        <v>0.46818189073444216</v>
      </c>
      <c r="E362" s="8">
        <f t="shared" si="27"/>
        <v>0.46818189073444216</v>
      </c>
      <c r="F362" s="8">
        <f t="shared" si="28"/>
        <v>0.21919428281167713</v>
      </c>
      <c r="G362" s="5">
        <f t="shared" si="29"/>
        <v>1.2653564614444383E-2</v>
      </c>
    </row>
    <row r="363" spans="1:7" ht="15.75" customHeight="1">
      <c r="A363" s="3">
        <v>21912</v>
      </c>
      <c r="B363" s="4">
        <v>52</v>
      </c>
      <c r="C363">
        <f t="shared" si="25"/>
        <v>36.859545432779669</v>
      </c>
      <c r="D363" s="8">
        <f t="shared" si="26"/>
        <v>15.140454567220331</v>
      </c>
      <c r="E363" s="8">
        <f t="shared" si="27"/>
        <v>15.140454567220331</v>
      </c>
      <c r="F363" s="8">
        <f t="shared" si="28"/>
        <v>229.23336450206298</v>
      </c>
      <c r="G363" s="5">
        <f t="shared" si="29"/>
        <v>0.29116258783116022</v>
      </c>
    </row>
    <row r="364" spans="1:7" ht="15.75" customHeight="1">
      <c r="A364" s="3">
        <v>21913</v>
      </c>
      <c r="B364" s="4">
        <v>48</v>
      </c>
      <c r="C364">
        <f t="shared" si="25"/>
        <v>47.457863629833895</v>
      </c>
      <c r="D364" s="8">
        <f t="shared" si="26"/>
        <v>0.54213637016610505</v>
      </c>
      <c r="E364" s="8">
        <f t="shared" si="27"/>
        <v>0.54213637016610505</v>
      </c>
      <c r="F364" s="8">
        <f t="shared" si="28"/>
        <v>0.29391184385688007</v>
      </c>
      <c r="G364" s="5">
        <f t="shared" si="29"/>
        <v>1.1294507711793855E-2</v>
      </c>
    </row>
    <row r="365" spans="1:7" ht="15.75" customHeight="1">
      <c r="A365" s="3">
        <v>21914</v>
      </c>
      <c r="B365" s="4">
        <v>55</v>
      </c>
      <c r="C365">
        <f t="shared" si="25"/>
        <v>47.837359088950166</v>
      </c>
      <c r="D365" s="8">
        <f t="shared" si="26"/>
        <v>7.1626409110498344</v>
      </c>
      <c r="E365" s="8">
        <f t="shared" si="27"/>
        <v>7.1626409110498344</v>
      </c>
      <c r="F365" s="8">
        <f t="shared" si="28"/>
        <v>51.3034248206448</v>
      </c>
      <c r="G365" s="5">
        <f t="shared" si="29"/>
        <v>0.13022983474636063</v>
      </c>
    </row>
    <row r="366" spans="1:7" ht="15.75" customHeight="1">
      <c r="A366" s="3">
        <v>21915</v>
      </c>
      <c r="B366" s="4">
        <v>50</v>
      </c>
      <c r="C366">
        <f t="shared" si="25"/>
        <v>52.851207726685047</v>
      </c>
      <c r="D366" s="8">
        <f t="shared" si="26"/>
        <v>-2.8512077266850469</v>
      </c>
      <c r="E366" s="8">
        <f t="shared" si="27"/>
        <v>2.8512077266850469</v>
      </c>
      <c r="F366" s="8">
        <f t="shared" si="28"/>
        <v>8.1293855007085121</v>
      </c>
      <c r="G366" s="5">
        <f t="shared" si="29"/>
        <v>5.7024154533700938E-2</v>
      </c>
    </row>
    <row r="367" spans="1:7" ht="15.75" customHeight="1"/>
    <row r="368" spans="1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E75D-6CDA-444E-9C44-EC2EAFC8C56C}">
  <dimension ref="A1:E458"/>
  <sheetViews>
    <sheetView workbookViewId="0"/>
  </sheetViews>
  <sheetFormatPr defaultRowHeight="15.75"/>
  <cols>
    <col min="1" max="1" width="10.375" bestFit="1" customWidth="1"/>
    <col min="2" max="2" width="11.5" customWidth="1"/>
    <col min="3" max="3" width="19.875" customWidth="1"/>
    <col min="4" max="5" width="34.125" customWidth="1"/>
  </cols>
  <sheetData>
    <row r="1" spans="1:5">
      <c r="A1" t="s">
        <v>0</v>
      </c>
      <c r="B1" t="s">
        <v>1</v>
      </c>
      <c r="C1" t="s">
        <v>52</v>
      </c>
      <c r="D1" t="s">
        <v>53</v>
      </c>
      <c r="E1" t="s">
        <v>54</v>
      </c>
    </row>
    <row r="2" spans="1:5">
      <c r="A2" s="31">
        <v>21551</v>
      </c>
      <c r="B2">
        <v>35</v>
      </c>
    </row>
    <row r="3" spans="1:5">
      <c r="A3" s="31">
        <v>21552</v>
      </c>
      <c r="B3">
        <v>32</v>
      </c>
    </row>
    <row r="4" spans="1:5">
      <c r="A4" s="31">
        <v>21553</v>
      </c>
      <c r="B4">
        <v>30</v>
      </c>
    </row>
    <row r="5" spans="1:5">
      <c r="A5" s="31">
        <v>21554</v>
      </c>
      <c r="B5">
        <v>31</v>
      </c>
    </row>
    <row r="6" spans="1:5">
      <c r="A6" s="31">
        <v>21555</v>
      </c>
      <c r="B6">
        <v>44</v>
      </c>
    </row>
    <row r="7" spans="1:5">
      <c r="A7" s="31">
        <v>21556</v>
      </c>
      <c r="B7">
        <v>29</v>
      </c>
    </row>
    <row r="8" spans="1:5">
      <c r="A8" s="31">
        <v>21557</v>
      </c>
      <c r="B8">
        <v>45</v>
      </c>
    </row>
    <row r="9" spans="1:5">
      <c r="A9" s="31">
        <v>21558</v>
      </c>
      <c r="B9">
        <v>43</v>
      </c>
    </row>
    <row r="10" spans="1:5">
      <c r="A10" s="31">
        <v>21559</v>
      </c>
      <c r="B10">
        <v>38</v>
      </c>
    </row>
    <row r="11" spans="1:5">
      <c r="A11" s="31">
        <v>21560</v>
      </c>
      <c r="B11">
        <v>27</v>
      </c>
    </row>
    <row r="12" spans="1:5">
      <c r="A12" s="31">
        <v>21561</v>
      </c>
      <c r="B12">
        <v>38</v>
      </c>
    </row>
    <row r="13" spans="1:5">
      <c r="A13" s="31">
        <v>21562</v>
      </c>
      <c r="B13">
        <v>33</v>
      </c>
    </row>
    <row r="14" spans="1:5">
      <c r="A14" s="31">
        <v>21563</v>
      </c>
      <c r="B14">
        <v>55</v>
      </c>
    </row>
    <row r="15" spans="1:5">
      <c r="A15" s="31">
        <v>21564</v>
      </c>
      <c r="B15">
        <v>47</v>
      </c>
    </row>
    <row r="16" spans="1:5">
      <c r="A16" s="31">
        <v>21565</v>
      </c>
      <c r="B16">
        <v>45</v>
      </c>
    </row>
    <row r="17" spans="1:2">
      <c r="A17" s="31">
        <v>21566</v>
      </c>
      <c r="B17">
        <v>37</v>
      </c>
    </row>
    <row r="18" spans="1:2">
      <c r="A18" s="31">
        <v>21567</v>
      </c>
      <c r="B18">
        <v>50</v>
      </c>
    </row>
    <row r="19" spans="1:2">
      <c r="A19" s="31">
        <v>21568</v>
      </c>
      <c r="B19">
        <v>43</v>
      </c>
    </row>
    <row r="20" spans="1:2">
      <c r="A20" s="31">
        <v>21569</v>
      </c>
      <c r="B20">
        <v>41</v>
      </c>
    </row>
    <row r="21" spans="1:2">
      <c r="A21" s="31">
        <v>21570</v>
      </c>
      <c r="B21">
        <v>52</v>
      </c>
    </row>
    <row r="22" spans="1:2">
      <c r="A22" s="31">
        <v>21571</v>
      </c>
      <c r="B22">
        <v>34</v>
      </c>
    </row>
    <row r="23" spans="1:2">
      <c r="A23" s="31">
        <v>21572</v>
      </c>
      <c r="B23">
        <v>53</v>
      </c>
    </row>
    <row r="24" spans="1:2">
      <c r="A24" s="31">
        <v>21573</v>
      </c>
      <c r="B24">
        <v>39</v>
      </c>
    </row>
    <row r="25" spans="1:2">
      <c r="A25" s="31">
        <v>21574</v>
      </c>
      <c r="B25">
        <v>32</v>
      </c>
    </row>
    <row r="26" spans="1:2">
      <c r="A26" s="31">
        <v>21575</v>
      </c>
      <c r="B26">
        <v>37</v>
      </c>
    </row>
    <row r="27" spans="1:2">
      <c r="A27" s="31">
        <v>21576</v>
      </c>
      <c r="B27">
        <v>43</v>
      </c>
    </row>
    <row r="28" spans="1:2">
      <c r="A28" s="31">
        <v>21577</v>
      </c>
      <c r="B28">
        <v>39</v>
      </c>
    </row>
    <row r="29" spans="1:2">
      <c r="A29" s="31">
        <v>21578</v>
      </c>
      <c r="B29">
        <v>35</v>
      </c>
    </row>
    <row r="30" spans="1:2">
      <c r="A30" s="31">
        <v>21579</v>
      </c>
      <c r="B30">
        <v>44</v>
      </c>
    </row>
    <row r="31" spans="1:2">
      <c r="A31" s="31">
        <v>21580</v>
      </c>
      <c r="B31">
        <v>38</v>
      </c>
    </row>
    <row r="32" spans="1:2">
      <c r="A32" s="31">
        <v>21581</v>
      </c>
      <c r="B32">
        <v>24</v>
      </c>
    </row>
    <row r="33" spans="1:2">
      <c r="A33" s="31">
        <v>21582</v>
      </c>
      <c r="B33">
        <v>23</v>
      </c>
    </row>
    <row r="34" spans="1:2">
      <c r="A34" s="31">
        <v>21583</v>
      </c>
      <c r="B34">
        <v>31</v>
      </c>
    </row>
    <row r="35" spans="1:2">
      <c r="A35" s="31">
        <v>21584</v>
      </c>
      <c r="B35">
        <v>44</v>
      </c>
    </row>
    <row r="36" spans="1:2">
      <c r="A36" s="31">
        <v>21585</v>
      </c>
      <c r="B36">
        <v>38</v>
      </c>
    </row>
    <row r="37" spans="1:2">
      <c r="A37" s="31">
        <v>21586</v>
      </c>
      <c r="B37">
        <v>50</v>
      </c>
    </row>
    <row r="38" spans="1:2">
      <c r="A38" s="31">
        <v>21587</v>
      </c>
      <c r="B38">
        <v>38</v>
      </c>
    </row>
    <row r="39" spans="1:2">
      <c r="A39" s="31">
        <v>21588</v>
      </c>
      <c r="B39">
        <v>51</v>
      </c>
    </row>
    <row r="40" spans="1:2">
      <c r="A40" s="31">
        <v>21589</v>
      </c>
      <c r="B40">
        <v>31</v>
      </c>
    </row>
    <row r="41" spans="1:2">
      <c r="A41" s="31">
        <v>21590</v>
      </c>
      <c r="B41">
        <v>31</v>
      </c>
    </row>
    <row r="42" spans="1:2">
      <c r="A42" s="31">
        <v>21591</v>
      </c>
      <c r="B42">
        <v>51</v>
      </c>
    </row>
    <row r="43" spans="1:2">
      <c r="A43" s="31">
        <v>21592</v>
      </c>
      <c r="B43">
        <v>36</v>
      </c>
    </row>
    <row r="44" spans="1:2">
      <c r="A44" s="31">
        <v>21593</v>
      </c>
      <c r="B44">
        <v>45</v>
      </c>
    </row>
    <row r="45" spans="1:2">
      <c r="A45" s="31">
        <v>21594</v>
      </c>
      <c r="B45">
        <v>51</v>
      </c>
    </row>
    <row r="46" spans="1:2">
      <c r="A46" s="31">
        <v>21595</v>
      </c>
      <c r="B46">
        <v>34</v>
      </c>
    </row>
    <row r="47" spans="1:2">
      <c r="A47" s="31">
        <v>21596</v>
      </c>
      <c r="B47">
        <v>52</v>
      </c>
    </row>
    <row r="48" spans="1:2">
      <c r="A48" s="31">
        <v>21597</v>
      </c>
      <c r="B48">
        <v>47</v>
      </c>
    </row>
    <row r="49" spans="1:2">
      <c r="A49" s="31">
        <v>21598</v>
      </c>
      <c r="B49">
        <v>45</v>
      </c>
    </row>
    <row r="50" spans="1:2">
      <c r="A50" s="31">
        <v>21599</v>
      </c>
      <c r="B50">
        <v>46</v>
      </c>
    </row>
    <row r="51" spans="1:2">
      <c r="A51" s="31">
        <v>21600</v>
      </c>
      <c r="B51">
        <v>39</v>
      </c>
    </row>
    <row r="52" spans="1:2">
      <c r="A52" s="31">
        <v>21601</v>
      </c>
      <c r="B52">
        <v>48</v>
      </c>
    </row>
    <row r="53" spans="1:2">
      <c r="A53" s="31">
        <v>21602</v>
      </c>
      <c r="B53">
        <v>37</v>
      </c>
    </row>
    <row r="54" spans="1:2">
      <c r="A54" s="31">
        <v>21603</v>
      </c>
      <c r="B54">
        <v>35</v>
      </c>
    </row>
    <row r="55" spans="1:2">
      <c r="A55" s="31">
        <v>21604</v>
      </c>
      <c r="B55">
        <v>52</v>
      </c>
    </row>
    <row r="56" spans="1:2">
      <c r="A56" s="31">
        <v>21605</v>
      </c>
      <c r="B56">
        <v>42</v>
      </c>
    </row>
    <row r="57" spans="1:2">
      <c r="A57" s="31">
        <v>21606</v>
      </c>
      <c r="B57">
        <v>45</v>
      </c>
    </row>
    <row r="58" spans="1:2">
      <c r="A58" s="31">
        <v>21607</v>
      </c>
      <c r="B58">
        <v>39</v>
      </c>
    </row>
    <row r="59" spans="1:2">
      <c r="A59" s="31">
        <v>21608</v>
      </c>
      <c r="B59">
        <v>37</v>
      </c>
    </row>
    <row r="60" spans="1:2">
      <c r="A60" s="31">
        <v>21609</v>
      </c>
      <c r="B60">
        <v>30</v>
      </c>
    </row>
    <row r="61" spans="1:2">
      <c r="A61" s="31">
        <v>21610</v>
      </c>
      <c r="B61">
        <v>35</v>
      </c>
    </row>
    <row r="62" spans="1:2">
      <c r="A62" s="31">
        <v>21611</v>
      </c>
      <c r="B62">
        <v>28</v>
      </c>
    </row>
    <row r="63" spans="1:2">
      <c r="A63" s="31">
        <v>21612</v>
      </c>
      <c r="B63">
        <v>45</v>
      </c>
    </row>
    <row r="64" spans="1:2">
      <c r="A64" s="31">
        <v>21613</v>
      </c>
      <c r="B64">
        <v>34</v>
      </c>
    </row>
    <row r="65" spans="1:2">
      <c r="A65" s="31">
        <v>21614</v>
      </c>
      <c r="B65">
        <v>36</v>
      </c>
    </row>
    <row r="66" spans="1:2">
      <c r="A66" s="31">
        <v>21615</v>
      </c>
      <c r="B66">
        <v>50</v>
      </c>
    </row>
    <row r="67" spans="1:2">
      <c r="A67" s="31">
        <v>21616</v>
      </c>
      <c r="B67">
        <v>44</v>
      </c>
    </row>
    <row r="68" spans="1:2">
      <c r="A68" s="31">
        <v>21617</v>
      </c>
      <c r="B68">
        <v>39</v>
      </c>
    </row>
    <row r="69" spans="1:2">
      <c r="A69" s="31">
        <v>21618</v>
      </c>
      <c r="B69">
        <v>32</v>
      </c>
    </row>
    <row r="70" spans="1:2">
      <c r="A70" s="31">
        <v>21619</v>
      </c>
      <c r="B70">
        <v>39</v>
      </c>
    </row>
    <row r="71" spans="1:2">
      <c r="A71" s="31">
        <v>21620</v>
      </c>
      <c r="B71">
        <v>45</v>
      </c>
    </row>
    <row r="72" spans="1:2">
      <c r="A72" s="31">
        <v>21621</v>
      </c>
      <c r="B72">
        <v>43</v>
      </c>
    </row>
    <row r="73" spans="1:2">
      <c r="A73" s="31">
        <v>21622</v>
      </c>
      <c r="B73">
        <v>39</v>
      </c>
    </row>
    <row r="74" spans="1:2">
      <c r="A74" s="31">
        <v>21623</v>
      </c>
      <c r="B74">
        <v>31</v>
      </c>
    </row>
    <row r="75" spans="1:2">
      <c r="A75" s="31">
        <v>21624</v>
      </c>
      <c r="B75">
        <v>27</v>
      </c>
    </row>
    <row r="76" spans="1:2">
      <c r="A76" s="31">
        <v>21625</v>
      </c>
      <c r="B76">
        <v>30</v>
      </c>
    </row>
    <row r="77" spans="1:2">
      <c r="A77" s="31">
        <v>21626</v>
      </c>
      <c r="B77">
        <v>42</v>
      </c>
    </row>
    <row r="78" spans="1:2">
      <c r="A78" s="31">
        <v>21627</v>
      </c>
      <c r="B78">
        <v>46</v>
      </c>
    </row>
    <row r="79" spans="1:2">
      <c r="A79" s="31">
        <v>21628</v>
      </c>
      <c r="B79">
        <v>41</v>
      </c>
    </row>
    <row r="80" spans="1:2">
      <c r="A80" s="31">
        <v>21629</v>
      </c>
      <c r="B80">
        <v>36</v>
      </c>
    </row>
    <row r="81" spans="1:2">
      <c r="A81" s="31">
        <v>21630</v>
      </c>
      <c r="B81">
        <v>45</v>
      </c>
    </row>
    <row r="82" spans="1:2">
      <c r="A82" s="31">
        <v>21631</v>
      </c>
      <c r="B82">
        <v>46</v>
      </c>
    </row>
    <row r="83" spans="1:2">
      <c r="A83" s="31">
        <v>21632</v>
      </c>
      <c r="B83">
        <v>43</v>
      </c>
    </row>
    <row r="84" spans="1:2">
      <c r="A84" s="31">
        <v>21633</v>
      </c>
      <c r="B84">
        <v>38</v>
      </c>
    </row>
    <row r="85" spans="1:2">
      <c r="A85" s="31">
        <v>21634</v>
      </c>
      <c r="B85">
        <v>34</v>
      </c>
    </row>
    <row r="86" spans="1:2">
      <c r="A86" s="31">
        <v>21635</v>
      </c>
      <c r="B86">
        <v>35</v>
      </c>
    </row>
    <row r="87" spans="1:2">
      <c r="A87" s="31">
        <v>21636</v>
      </c>
      <c r="B87">
        <v>56</v>
      </c>
    </row>
    <row r="88" spans="1:2">
      <c r="A88" s="31">
        <v>21637</v>
      </c>
      <c r="B88">
        <v>36</v>
      </c>
    </row>
    <row r="89" spans="1:2">
      <c r="A89" s="31">
        <v>21638</v>
      </c>
      <c r="B89">
        <v>32</v>
      </c>
    </row>
    <row r="90" spans="1:2">
      <c r="A90" s="31">
        <v>21639</v>
      </c>
      <c r="B90">
        <v>50</v>
      </c>
    </row>
    <row r="91" spans="1:2">
      <c r="A91" s="31">
        <v>21640</v>
      </c>
      <c r="B91">
        <v>41</v>
      </c>
    </row>
    <row r="92" spans="1:2">
      <c r="A92" s="31">
        <v>21641</v>
      </c>
      <c r="B92">
        <v>39</v>
      </c>
    </row>
    <row r="93" spans="1:2">
      <c r="A93" s="31">
        <v>21642</v>
      </c>
      <c r="B93">
        <v>41</v>
      </c>
    </row>
    <row r="94" spans="1:2">
      <c r="A94" s="31">
        <v>21643</v>
      </c>
      <c r="B94">
        <v>47</v>
      </c>
    </row>
    <row r="95" spans="1:2">
      <c r="A95" s="31">
        <v>21644</v>
      </c>
      <c r="B95">
        <v>34</v>
      </c>
    </row>
    <row r="96" spans="1:2">
      <c r="A96" s="31">
        <v>21645</v>
      </c>
      <c r="B96">
        <v>36</v>
      </c>
    </row>
    <row r="97" spans="1:2">
      <c r="A97" s="31">
        <v>21646</v>
      </c>
      <c r="B97">
        <v>33</v>
      </c>
    </row>
    <row r="98" spans="1:2">
      <c r="A98" s="31">
        <v>21647</v>
      </c>
      <c r="B98">
        <v>35</v>
      </c>
    </row>
    <row r="99" spans="1:2">
      <c r="A99" s="31">
        <v>21648</v>
      </c>
      <c r="B99">
        <v>38</v>
      </c>
    </row>
    <row r="100" spans="1:2">
      <c r="A100" s="31">
        <v>21649</v>
      </c>
      <c r="B100">
        <v>38</v>
      </c>
    </row>
    <row r="101" spans="1:2">
      <c r="A101" s="31">
        <v>21650</v>
      </c>
      <c r="B101">
        <v>34</v>
      </c>
    </row>
    <row r="102" spans="1:2">
      <c r="A102" s="31">
        <v>21651</v>
      </c>
      <c r="B102">
        <v>53</v>
      </c>
    </row>
    <row r="103" spans="1:2">
      <c r="A103" s="31">
        <v>21652</v>
      </c>
      <c r="B103">
        <v>34</v>
      </c>
    </row>
    <row r="104" spans="1:2">
      <c r="A104" s="31">
        <v>21653</v>
      </c>
      <c r="B104">
        <v>34</v>
      </c>
    </row>
    <row r="105" spans="1:2">
      <c r="A105" s="31">
        <v>21654</v>
      </c>
      <c r="B105">
        <v>38</v>
      </c>
    </row>
    <row r="106" spans="1:2">
      <c r="A106" s="31">
        <v>21655</v>
      </c>
      <c r="B106">
        <v>35</v>
      </c>
    </row>
    <row r="107" spans="1:2">
      <c r="A107" s="31">
        <v>21656</v>
      </c>
      <c r="B107">
        <v>32</v>
      </c>
    </row>
    <row r="108" spans="1:2">
      <c r="A108" s="31">
        <v>21657</v>
      </c>
      <c r="B108">
        <v>42</v>
      </c>
    </row>
    <row r="109" spans="1:2">
      <c r="A109" s="31">
        <v>21658</v>
      </c>
      <c r="B109">
        <v>34</v>
      </c>
    </row>
    <row r="110" spans="1:2">
      <c r="A110" s="31">
        <v>21659</v>
      </c>
      <c r="B110">
        <v>46</v>
      </c>
    </row>
    <row r="111" spans="1:2">
      <c r="A111" s="31">
        <v>21660</v>
      </c>
      <c r="B111">
        <v>30</v>
      </c>
    </row>
    <row r="112" spans="1:2">
      <c r="A112" s="31">
        <v>21661</v>
      </c>
      <c r="B112">
        <v>46</v>
      </c>
    </row>
    <row r="113" spans="1:2">
      <c r="A113" s="31">
        <v>21662</v>
      </c>
      <c r="B113">
        <v>45</v>
      </c>
    </row>
    <row r="114" spans="1:2">
      <c r="A114" s="31">
        <v>21663</v>
      </c>
      <c r="B114">
        <v>54</v>
      </c>
    </row>
    <row r="115" spans="1:2">
      <c r="A115" s="31">
        <v>21664</v>
      </c>
      <c r="B115">
        <v>34</v>
      </c>
    </row>
    <row r="116" spans="1:2">
      <c r="A116" s="31">
        <v>21665</v>
      </c>
      <c r="B116">
        <v>37</v>
      </c>
    </row>
    <row r="117" spans="1:2">
      <c r="A117" s="31">
        <v>21666</v>
      </c>
      <c r="B117">
        <v>35</v>
      </c>
    </row>
    <row r="118" spans="1:2">
      <c r="A118" s="31">
        <v>21667</v>
      </c>
      <c r="B118">
        <v>40</v>
      </c>
    </row>
    <row r="119" spans="1:2">
      <c r="A119" s="31">
        <v>21668</v>
      </c>
      <c r="B119">
        <v>42</v>
      </c>
    </row>
    <row r="120" spans="1:2">
      <c r="A120" s="31">
        <v>21669</v>
      </c>
      <c r="B120">
        <v>58</v>
      </c>
    </row>
    <row r="121" spans="1:2">
      <c r="A121" s="31">
        <v>21670</v>
      </c>
      <c r="B121">
        <v>51</v>
      </c>
    </row>
    <row r="122" spans="1:2">
      <c r="A122" s="31">
        <v>21671</v>
      </c>
      <c r="B122">
        <v>32</v>
      </c>
    </row>
    <row r="123" spans="1:2">
      <c r="A123" s="31">
        <v>21672</v>
      </c>
      <c r="B123">
        <v>35</v>
      </c>
    </row>
    <row r="124" spans="1:2">
      <c r="A124" s="31">
        <v>21673</v>
      </c>
      <c r="B124">
        <v>38</v>
      </c>
    </row>
    <row r="125" spans="1:2">
      <c r="A125" s="31">
        <v>21674</v>
      </c>
      <c r="B125">
        <v>33</v>
      </c>
    </row>
    <row r="126" spans="1:2">
      <c r="A126" s="31">
        <v>21675</v>
      </c>
      <c r="B126">
        <v>39</v>
      </c>
    </row>
    <row r="127" spans="1:2">
      <c r="A127" s="31">
        <v>21676</v>
      </c>
      <c r="B127">
        <v>47</v>
      </c>
    </row>
    <row r="128" spans="1:2">
      <c r="A128" s="31">
        <v>21677</v>
      </c>
      <c r="B128">
        <v>38</v>
      </c>
    </row>
    <row r="129" spans="1:2">
      <c r="A129" s="31">
        <v>21678</v>
      </c>
      <c r="B129">
        <v>52</v>
      </c>
    </row>
    <row r="130" spans="1:2">
      <c r="A130" s="31">
        <v>21679</v>
      </c>
      <c r="B130">
        <v>30</v>
      </c>
    </row>
    <row r="131" spans="1:2">
      <c r="A131" s="31">
        <v>21680</v>
      </c>
      <c r="B131">
        <v>34</v>
      </c>
    </row>
    <row r="132" spans="1:2">
      <c r="A132" s="31">
        <v>21681</v>
      </c>
      <c r="B132">
        <v>40</v>
      </c>
    </row>
    <row r="133" spans="1:2">
      <c r="A133" s="31">
        <v>21682</v>
      </c>
      <c r="B133">
        <v>35</v>
      </c>
    </row>
    <row r="134" spans="1:2">
      <c r="A134" s="31">
        <v>21683</v>
      </c>
      <c r="B134">
        <v>42</v>
      </c>
    </row>
    <row r="135" spans="1:2">
      <c r="A135" s="31">
        <v>21684</v>
      </c>
      <c r="B135">
        <v>41</v>
      </c>
    </row>
    <row r="136" spans="1:2">
      <c r="A136" s="31">
        <v>21685</v>
      </c>
      <c r="B136">
        <v>42</v>
      </c>
    </row>
    <row r="137" spans="1:2">
      <c r="A137" s="31">
        <v>21686</v>
      </c>
      <c r="B137">
        <v>38</v>
      </c>
    </row>
    <row r="138" spans="1:2">
      <c r="A138" s="31">
        <v>21687</v>
      </c>
      <c r="B138">
        <v>24</v>
      </c>
    </row>
    <row r="139" spans="1:2">
      <c r="A139" s="31">
        <v>21688</v>
      </c>
      <c r="B139">
        <v>34</v>
      </c>
    </row>
    <row r="140" spans="1:2">
      <c r="A140" s="31">
        <v>21689</v>
      </c>
      <c r="B140">
        <v>43</v>
      </c>
    </row>
    <row r="141" spans="1:2">
      <c r="A141" s="31">
        <v>21690</v>
      </c>
      <c r="B141">
        <v>36</v>
      </c>
    </row>
    <row r="142" spans="1:2">
      <c r="A142" s="31">
        <v>21691</v>
      </c>
      <c r="B142">
        <v>55</v>
      </c>
    </row>
    <row r="143" spans="1:2">
      <c r="A143" s="31">
        <v>21692</v>
      </c>
      <c r="B143">
        <v>41</v>
      </c>
    </row>
    <row r="144" spans="1:2">
      <c r="A144" s="31">
        <v>21693</v>
      </c>
      <c r="B144">
        <v>45</v>
      </c>
    </row>
    <row r="145" spans="1:2">
      <c r="A145" s="31">
        <v>21694</v>
      </c>
      <c r="B145">
        <v>41</v>
      </c>
    </row>
    <row r="146" spans="1:2">
      <c r="A146" s="31">
        <v>21695</v>
      </c>
      <c r="B146">
        <v>37</v>
      </c>
    </row>
    <row r="147" spans="1:2">
      <c r="A147" s="31">
        <v>21696</v>
      </c>
      <c r="B147">
        <v>43</v>
      </c>
    </row>
    <row r="148" spans="1:2">
      <c r="A148" s="31">
        <v>21697</v>
      </c>
      <c r="B148">
        <v>39</v>
      </c>
    </row>
    <row r="149" spans="1:2">
      <c r="A149" s="31">
        <v>21698</v>
      </c>
      <c r="B149">
        <v>33</v>
      </c>
    </row>
    <row r="150" spans="1:2">
      <c r="A150" s="31">
        <v>21699</v>
      </c>
      <c r="B150">
        <v>43</v>
      </c>
    </row>
    <row r="151" spans="1:2">
      <c r="A151" s="31">
        <v>21700</v>
      </c>
      <c r="B151">
        <v>40</v>
      </c>
    </row>
    <row r="152" spans="1:2">
      <c r="A152" s="31">
        <v>21701</v>
      </c>
      <c r="B152">
        <v>38</v>
      </c>
    </row>
    <row r="153" spans="1:2">
      <c r="A153" s="31">
        <v>21702</v>
      </c>
      <c r="B153">
        <v>45</v>
      </c>
    </row>
    <row r="154" spans="1:2">
      <c r="A154" s="31">
        <v>21703</v>
      </c>
      <c r="B154">
        <v>46</v>
      </c>
    </row>
    <row r="155" spans="1:2">
      <c r="A155" s="31">
        <v>21704</v>
      </c>
      <c r="B155">
        <v>34</v>
      </c>
    </row>
    <row r="156" spans="1:2">
      <c r="A156" s="31">
        <v>21705</v>
      </c>
      <c r="B156">
        <v>35</v>
      </c>
    </row>
    <row r="157" spans="1:2">
      <c r="A157" s="31">
        <v>21706</v>
      </c>
      <c r="B157">
        <v>48</v>
      </c>
    </row>
    <row r="158" spans="1:2">
      <c r="A158" s="31">
        <v>21707</v>
      </c>
      <c r="B158">
        <v>51</v>
      </c>
    </row>
    <row r="159" spans="1:2">
      <c r="A159" s="31">
        <v>21708</v>
      </c>
      <c r="B159">
        <v>36</v>
      </c>
    </row>
    <row r="160" spans="1:2">
      <c r="A160" s="31">
        <v>21709</v>
      </c>
      <c r="B160">
        <v>33</v>
      </c>
    </row>
    <row r="161" spans="1:2">
      <c r="A161" s="31">
        <v>21710</v>
      </c>
      <c r="B161">
        <v>46</v>
      </c>
    </row>
    <row r="162" spans="1:2">
      <c r="A162" s="31">
        <v>21711</v>
      </c>
      <c r="B162">
        <v>42</v>
      </c>
    </row>
    <row r="163" spans="1:2">
      <c r="A163" s="31">
        <v>21712</v>
      </c>
      <c r="B163">
        <v>48</v>
      </c>
    </row>
    <row r="164" spans="1:2">
      <c r="A164" s="31">
        <v>21713</v>
      </c>
      <c r="B164">
        <v>34</v>
      </c>
    </row>
    <row r="165" spans="1:2">
      <c r="A165" s="31">
        <v>21714</v>
      </c>
      <c r="B165">
        <v>41</v>
      </c>
    </row>
    <row r="166" spans="1:2">
      <c r="A166" s="31">
        <v>21715</v>
      </c>
      <c r="B166">
        <v>35</v>
      </c>
    </row>
    <row r="167" spans="1:2">
      <c r="A167" s="31">
        <v>21716</v>
      </c>
      <c r="B167">
        <v>40</v>
      </c>
    </row>
    <row r="168" spans="1:2">
      <c r="A168" s="31">
        <v>21717</v>
      </c>
      <c r="B168">
        <v>34</v>
      </c>
    </row>
    <row r="169" spans="1:2">
      <c r="A169" s="31">
        <v>21718</v>
      </c>
      <c r="B169">
        <v>30</v>
      </c>
    </row>
    <row r="170" spans="1:2">
      <c r="A170" s="31">
        <v>21719</v>
      </c>
      <c r="B170">
        <v>36</v>
      </c>
    </row>
    <row r="171" spans="1:2">
      <c r="A171" s="31">
        <v>21720</v>
      </c>
      <c r="B171">
        <v>40</v>
      </c>
    </row>
    <row r="172" spans="1:2">
      <c r="A172" s="31">
        <v>21721</v>
      </c>
      <c r="B172">
        <v>39</v>
      </c>
    </row>
    <row r="173" spans="1:2">
      <c r="A173" s="31">
        <v>21722</v>
      </c>
      <c r="B173">
        <v>45</v>
      </c>
    </row>
    <row r="174" spans="1:2">
      <c r="A174" s="31">
        <v>21723</v>
      </c>
      <c r="B174">
        <v>38</v>
      </c>
    </row>
    <row r="175" spans="1:2">
      <c r="A175" s="31">
        <v>21724</v>
      </c>
      <c r="B175">
        <v>47</v>
      </c>
    </row>
    <row r="176" spans="1:2">
      <c r="A176" s="31">
        <v>21725</v>
      </c>
      <c r="B176">
        <v>33</v>
      </c>
    </row>
    <row r="177" spans="1:2">
      <c r="A177" s="31">
        <v>21726</v>
      </c>
      <c r="B177">
        <v>30</v>
      </c>
    </row>
    <row r="178" spans="1:2">
      <c r="A178" s="31">
        <v>21727</v>
      </c>
      <c r="B178">
        <v>42</v>
      </c>
    </row>
    <row r="179" spans="1:2">
      <c r="A179" s="31">
        <v>21728</v>
      </c>
      <c r="B179">
        <v>43</v>
      </c>
    </row>
    <row r="180" spans="1:2">
      <c r="A180" s="31">
        <v>21729</v>
      </c>
      <c r="B180">
        <v>41</v>
      </c>
    </row>
    <row r="181" spans="1:2">
      <c r="A181" s="31">
        <v>21730</v>
      </c>
      <c r="B181">
        <v>41</v>
      </c>
    </row>
    <row r="182" spans="1:2">
      <c r="A182" s="31">
        <v>21731</v>
      </c>
      <c r="B182">
        <v>59</v>
      </c>
    </row>
    <row r="183" spans="1:2">
      <c r="A183" s="31">
        <v>21732</v>
      </c>
      <c r="B183">
        <v>43</v>
      </c>
    </row>
    <row r="184" spans="1:2">
      <c r="A184" s="31">
        <v>21733</v>
      </c>
      <c r="B184">
        <v>45</v>
      </c>
    </row>
    <row r="185" spans="1:2">
      <c r="A185" s="31">
        <v>21734</v>
      </c>
      <c r="B185">
        <v>38</v>
      </c>
    </row>
    <row r="186" spans="1:2">
      <c r="A186" s="31">
        <v>21735</v>
      </c>
      <c r="B186">
        <v>37</v>
      </c>
    </row>
    <row r="187" spans="1:2">
      <c r="A187" s="31">
        <v>21736</v>
      </c>
      <c r="B187">
        <v>45</v>
      </c>
    </row>
    <row r="188" spans="1:2">
      <c r="A188" s="31">
        <v>21737</v>
      </c>
      <c r="B188">
        <v>42</v>
      </c>
    </row>
    <row r="189" spans="1:2">
      <c r="A189" s="31">
        <v>21738</v>
      </c>
      <c r="B189">
        <v>57</v>
      </c>
    </row>
    <row r="190" spans="1:2">
      <c r="A190" s="31">
        <v>21739</v>
      </c>
      <c r="B190">
        <v>46</v>
      </c>
    </row>
    <row r="191" spans="1:2">
      <c r="A191" s="31">
        <v>21740</v>
      </c>
      <c r="B191">
        <v>51</v>
      </c>
    </row>
    <row r="192" spans="1:2">
      <c r="A192" s="31">
        <v>21741</v>
      </c>
      <c r="B192">
        <v>41</v>
      </c>
    </row>
    <row r="193" spans="1:2">
      <c r="A193" s="31">
        <v>21742</v>
      </c>
      <c r="B193">
        <v>47</v>
      </c>
    </row>
    <row r="194" spans="1:2">
      <c r="A194" s="31">
        <v>21743</v>
      </c>
      <c r="B194">
        <v>26</v>
      </c>
    </row>
    <row r="195" spans="1:2">
      <c r="A195" s="31">
        <v>21744</v>
      </c>
      <c r="B195">
        <v>35</v>
      </c>
    </row>
    <row r="196" spans="1:2">
      <c r="A196" s="31">
        <v>21745</v>
      </c>
      <c r="B196">
        <v>44</v>
      </c>
    </row>
    <row r="197" spans="1:2">
      <c r="A197" s="31">
        <v>21746</v>
      </c>
      <c r="B197">
        <v>41</v>
      </c>
    </row>
    <row r="198" spans="1:2">
      <c r="A198" s="31">
        <v>21747</v>
      </c>
      <c r="B198">
        <v>42</v>
      </c>
    </row>
    <row r="199" spans="1:2">
      <c r="A199" s="31">
        <v>21748</v>
      </c>
      <c r="B199">
        <v>36</v>
      </c>
    </row>
    <row r="200" spans="1:2">
      <c r="A200" s="31">
        <v>21749</v>
      </c>
      <c r="B200">
        <v>45</v>
      </c>
    </row>
    <row r="201" spans="1:2">
      <c r="A201" s="31">
        <v>21750</v>
      </c>
      <c r="B201">
        <v>45</v>
      </c>
    </row>
    <row r="202" spans="1:2">
      <c r="A202" s="31">
        <v>21751</v>
      </c>
      <c r="B202">
        <v>45</v>
      </c>
    </row>
    <row r="203" spans="1:2">
      <c r="A203" s="31">
        <v>21752</v>
      </c>
      <c r="B203">
        <v>47</v>
      </c>
    </row>
    <row r="204" spans="1:2">
      <c r="A204" s="31">
        <v>21753</v>
      </c>
      <c r="B204">
        <v>38</v>
      </c>
    </row>
    <row r="205" spans="1:2">
      <c r="A205" s="31">
        <v>21754</v>
      </c>
      <c r="B205">
        <v>42</v>
      </c>
    </row>
    <row r="206" spans="1:2">
      <c r="A206" s="31">
        <v>21755</v>
      </c>
      <c r="B206">
        <v>35</v>
      </c>
    </row>
    <row r="207" spans="1:2">
      <c r="A207" s="31">
        <v>21756</v>
      </c>
      <c r="B207">
        <v>36</v>
      </c>
    </row>
    <row r="208" spans="1:2">
      <c r="A208" s="31">
        <v>21757</v>
      </c>
      <c r="B208">
        <v>39</v>
      </c>
    </row>
    <row r="209" spans="1:2">
      <c r="A209" s="31">
        <v>21758</v>
      </c>
      <c r="B209">
        <v>45</v>
      </c>
    </row>
    <row r="210" spans="1:2">
      <c r="A210" s="31">
        <v>21759</v>
      </c>
      <c r="B210">
        <v>43</v>
      </c>
    </row>
    <row r="211" spans="1:2">
      <c r="A211" s="31">
        <v>21760</v>
      </c>
      <c r="B211">
        <v>47</v>
      </c>
    </row>
    <row r="212" spans="1:2">
      <c r="A212" s="31">
        <v>21761</v>
      </c>
      <c r="B212">
        <v>36</v>
      </c>
    </row>
    <row r="213" spans="1:2">
      <c r="A213" s="31">
        <v>21762</v>
      </c>
      <c r="B213">
        <v>41</v>
      </c>
    </row>
    <row r="214" spans="1:2">
      <c r="A214" s="31">
        <v>21763</v>
      </c>
      <c r="B214">
        <v>50</v>
      </c>
    </row>
    <row r="215" spans="1:2">
      <c r="A215" s="31">
        <v>21764</v>
      </c>
      <c r="B215">
        <v>39</v>
      </c>
    </row>
    <row r="216" spans="1:2">
      <c r="A216" s="31">
        <v>21765</v>
      </c>
      <c r="B216">
        <v>41</v>
      </c>
    </row>
    <row r="217" spans="1:2">
      <c r="A217" s="31">
        <v>21766</v>
      </c>
      <c r="B217">
        <v>46</v>
      </c>
    </row>
    <row r="218" spans="1:2">
      <c r="A218" s="31">
        <v>21767</v>
      </c>
      <c r="B218">
        <v>64</v>
      </c>
    </row>
    <row r="219" spans="1:2">
      <c r="A219" s="31">
        <v>21768</v>
      </c>
      <c r="B219">
        <v>45</v>
      </c>
    </row>
    <row r="220" spans="1:2">
      <c r="A220" s="31">
        <v>21769</v>
      </c>
      <c r="B220">
        <v>34</v>
      </c>
    </row>
    <row r="221" spans="1:2">
      <c r="A221" s="31">
        <v>21770</v>
      </c>
      <c r="B221">
        <v>38</v>
      </c>
    </row>
    <row r="222" spans="1:2">
      <c r="A222" s="31">
        <v>21771</v>
      </c>
      <c r="B222">
        <v>44</v>
      </c>
    </row>
    <row r="223" spans="1:2">
      <c r="A223" s="31">
        <v>21772</v>
      </c>
      <c r="B223">
        <v>48</v>
      </c>
    </row>
    <row r="224" spans="1:2">
      <c r="A224" s="31">
        <v>21773</v>
      </c>
      <c r="B224">
        <v>46</v>
      </c>
    </row>
    <row r="225" spans="1:2">
      <c r="A225" s="31">
        <v>21774</v>
      </c>
      <c r="B225">
        <v>44</v>
      </c>
    </row>
    <row r="226" spans="1:2">
      <c r="A226" s="31">
        <v>21775</v>
      </c>
      <c r="B226">
        <v>37</v>
      </c>
    </row>
    <row r="227" spans="1:2">
      <c r="A227" s="31">
        <v>21776</v>
      </c>
      <c r="B227">
        <v>39</v>
      </c>
    </row>
    <row r="228" spans="1:2">
      <c r="A228" s="31">
        <v>21777</v>
      </c>
      <c r="B228">
        <v>44</v>
      </c>
    </row>
    <row r="229" spans="1:2">
      <c r="A229" s="31">
        <v>21778</v>
      </c>
      <c r="B229">
        <v>45</v>
      </c>
    </row>
    <row r="230" spans="1:2">
      <c r="A230" s="31">
        <v>21779</v>
      </c>
      <c r="B230">
        <v>33</v>
      </c>
    </row>
    <row r="231" spans="1:2">
      <c r="A231" s="31">
        <v>21780</v>
      </c>
      <c r="B231">
        <v>44</v>
      </c>
    </row>
    <row r="232" spans="1:2">
      <c r="A232" s="31">
        <v>21781</v>
      </c>
      <c r="B232">
        <v>38</v>
      </c>
    </row>
    <row r="233" spans="1:2">
      <c r="A233" s="31">
        <v>21782</v>
      </c>
      <c r="B233">
        <v>46</v>
      </c>
    </row>
    <row r="234" spans="1:2">
      <c r="A234" s="31">
        <v>21783</v>
      </c>
      <c r="B234">
        <v>46</v>
      </c>
    </row>
    <row r="235" spans="1:2">
      <c r="A235" s="31">
        <v>21784</v>
      </c>
      <c r="B235">
        <v>40</v>
      </c>
    </row>
    <row r="236" spans="1:2">
      <c r="A236" s="31">
        <v>21785</v>
      </c>
      <c r="B236">
        <v>39</v>
      </c>
    </row>
    <row r="237" spans="1:2">
      <c r="A237" s="31">
        <v>21786</v>
      </c>
      <c r="B237">
        <v>44</v>
      </c>
    </row>
    <row r="238" spans="1:2">
      <c r="A238" s="31">
        <v>21787</v>
      </c>
      <c r="B238">
        <v>48</v>
      </c>
    </row>
    <row r="239" spans="1:2">
      <c r="A239" s="31">
        <v>21788</v>
      </c>
      <c r="B239">
        <v>50</v>
      </c>
    </row>
    <row r="240" spans="1:2">
      <c r="A240" s="31">
        <v>21789</v>
      </c>
      <c r="B240">
        <v>41</v>
      </c>
    </row>
    <row r="241" spans="1:2">
      <c r="A241" s="31">
        <v>21790</v>
      </c>
      <c r="B241">
        <v>42</v>
      </c>
    </row>
    <row r="242" spans="1:2">
      <c r="A242" s="31">
        <v>21791</v>
      </c>
      <c r="B242">
        <v>51</v>
      </c>
    </row>
    <row r="243" spans="1:2">
      <c r="A243" s="31">
        <v>21792</v>
      </c>
      <c r="B243">
        <v>41</v>
      </c>
    </row>
    <row r="244" spans="1:2">
      <c r="A244" s="31">
        <v>21793</v>
      </c>
      <c r="B244">
        <v>44</v>
      </c>
    </row>
    <row r="245" spans="1:2">
      <c r="A245" s="31">
        <v>21794</v>
      </c>
      <c r="B245">
        <v>38</v>
      </c>
    </row>
    <row r="246" spans="1:2">
      <c r="A246" s="31">
        <v>21795</v>
      </c>
      <c r="B246">
        <v>68</v>
      </c>
    </row>
    <row r="247" spans="1:2">
      <c r="A247" s="31">
        <v>21796</v>
      </c>
      <c r="B247">
        <v>40</v>
      </c>
    </row>
    <row r="248" spans="1:2">
      <c r="A248" s="31">
        <v>21797</v>
      </c>
      <c r="B248">
        <v>42</v>
      </c>
    </row>
    <row r="249" spans="1:2">
      <c r="A249" s="31">
        <v>21798</v>
      </c>
      <c r="B249">
        <v>51</v>
      </c>
    </row>
    <row r="250" spans="1:2">
      <c r="A250" s="31">
        <v>21799</v>
      </c>
      <c r="B250">
        <v>44</v>
      </c>
    </row>
    <row r="251" spans="1:2">
      <c r="A251" s="31">
        <v>21800</v>
      </c>
      <c r="B251">
        <v>45</v>
      </c>
    </row>
    <row r="252" spans="1:2">
      <c r="A252" s="31">
        <v>21801</v>
      </c>
      <c r="B252">
        <v>36</v>
      </c>
    </row>
    <row r="253" spans="1:2">
      <c r="A253" s="31">
        <v>21802</v>
      </c>
      <c r="B253">
        <v>57</v>
      </c>
    </row>
    <row r="254" spans="1:2">
      <c r="A254" s="31">
        <v>21803</v>
      </c>
      <c r="B254">
        <v>44</v>
      </c>
    </row>
    <row r="255" spans="1:2">
      <c r="A255" s="31">
        <v>21804</v>
      </c>
      <c r="B255">
        <v>42</v>
      </c>
    </row>
    <row r="256" spans="1:2">
      <c r="A256" s="31">
        <v>21805</v>
      </c>
      <c r="B256">
        <v>53</v>
      </c>
    </row>
    <row r="257" spans="1:2">
      <c r="A257" s="31">
        <v>21806</v>
      </c>
      <c r="B257">
        <v>42</v>
      </c>
    </row>
    <row r="258" spans="1:2">
      <c r="A258" s="31">
        <v>21807</v>
      </c>
      <c r="B258">
        <v>34</v>
      </c>
    </row>
    <row r="259" spans="1:2">
      <c r="A259" s="31">
        <v>21808</v>
      </c>
      <c r="B259">
        <v>40</v>
      </c>
    </row>
    <row r="260" spans="1:2">
      <c r="A260" s="31">
        <v>21809</v>
      </c>
      <c r="B260">
        <v>56</v>
      </c>
    </row>
    <row r="261" spans="1:2">
      <c r="A261" s="31">
        <v>21810</v>
      </c>
      <c r="B261">
        <v>44</v>
      </c>
    </row>
    <row r="262" spans="1:2">
      <c r="A262" s="31">
        <v>21811</v>
      </c>
      <c r="B262">
        <v>53</v>
      </c>
    </row>
    <row r="263" spans="1:2">
      <c r="A263" s="31">
        <v>21812</v>
      </c>
      <c r="B263">
        <v>55</v>
      </c>
    </row>
    <row r="264" spans="1:2">
      <c r="A264" s="31">
        <v>21813</v>
      </c>
      <c r="B264">
        <v>39</v>
      </c>
    </row>
    <row r="265" spans="1:2">
      <c r="A265" s="31">
        <v>21814</v>
      </c>
      <c r="B265">
        <v>59</v>
      </c>
    </row>
    <row r="266" spans="1:2">
      <c r="A266" s="31">
        <v>21815</v>
      </c>
      <c r="B266">
        <v>55</v>
      </c>
    </row>
    <row r="267" spans="1:2">
      <c r="A267" s="31">
        <v>21816</v>
      </c>
      <c r="B267">
        <v>73</v>
      </c>
    </row>
    <row r="268" spans="1:2">
      <c r="A268" s="31">
        <v>21817</v>
      </c>
      <c r="B268">
        <v>55</v>
      </c>
    </row>
    <row r="269" spans="1:2">
      <c r="A269" s="31">
        <v>21818</v>
      </c>
      <c r="B269">
        <v>44</v>
      </c>
    </row>
    <row r="270" spans="1:2">
      <c r="A270" s="31">
        <v>21819</v>
      </c>
      <c r="B270">
        <v>43</v>
      </c>
    </row>
    <row r="271" spans="1:2">
      <c r="A271" s="31">
        <v>21820</v>
      </c>
      <c r="B271">
        <v>40</v>
      </c>
    </row>
    <row r="272" spans="1:2">
      <c r="A272" s="31">
        <v>21821</v>
      </c>
      <c r="B272">
        <v>47</v>
      </c>
    </row>
    <row r="273" spans="1:2">
      <c r="A273" s="31">
        <v>21822</v>
      </c>
      <c r="B273">
        <v>51</v>
      </c>
    </row>
    <row r="274" spans="1:2">
      <c r="A274" s="31">
        <v>21823</v>
      </c>
      <c r="B274">
        <v>56</v>
      </c>
    </row>
    <row r="275" spans="1:2">
      <c r="A275" s="31">
        <v>21824</v>
      </c>
      <c r="B275">
        <v>49</v>
      </c>
    </row>
    <row r="276" spans="1:2">
      <c r="A276" s="31">
        <v>21825</v>
      </c>
      <c r="B276">
        <v>54</v>
      </c>
    </row>
    <row r="277" spans="1:2">
      <c r="A277" s="31">
        <v>21826</v>
      </c>
      <c r="B277">
        <v>56</v>
      </c>
    </row>
    <row r="278" spans="1:2">
      <c r="A278" s="31">
        <v>21827</v>
      </c>
      <c r="B278">
        <v>47</v>
      </c>
    </row>
    <row r="279" spans="1:2">
      <c r="A279" s="31">
        <v>21828</v>
      </c>
      <c r="B279">
        <v>44</v>
      </c>
    </row>
    <row r="280" spans="1:2">
      <c r="A280" s="31">
        <v>21829</v>
      </c>
      <c r="B280">
        <v>43</v>
      </c>
    </row>
    <row r="281" spans="1:2">
      <c r="A281" s="31">
        <v>21830</v>
      </c>
      <c r="B281">
        <v>42</v>
      </c>
    </row>
    <row r="282" spans="1:2">
      <c r="A282" s="31">
        <v>21831</v>
      </c>
      <c r="B282">
        <v>45</v>
      </c>
    </row>
    <row r="283" spans="1:2">
      <c r="A283" s="31">
        <v>21832</v>
      </c>
      <c r="B283">
        <v>50</v>
      </c>
    </row>
    <row r="284" spans="1:2">
      <c r="A284" s="31">
        <v>21833</v>
      </c>
      <c r="B284">
        <v>48</v>
      </c>
    </row>
    <row r="285" spans="1:2">
      <c r="A285" s="31">
        <v>21834</v>
      </c>
      <c r="B285">
        <v>43</v>
      </c>
    </row>
    <row r="286" spans="1:2">
      <c r="A286" s="31">
        <v>21835</v>
      </c>
      <c r="B286">
        <v>40</v>
      </c>
    </row>
    <row r="287" spans="1:2">
      <c r="A287" s="31">
        <v>21836</v>
      </c>
      <c r="B287">
        <v>59</v>
      </c>
    </row>
    <row r="288" spans="1:2">
      <c r="A288" s="31">
        <v>21837</v>
      </c>
      <c r="B288">
        <v>41</v>
      </c>
    </row>
    <row r="289" spans="1:2">
      <c r="A289" s="31">
        <v>21838</v>
      </c>
      <c r="B289">
        <v>42</v>
      </c>
    </row>
    <row r="290" spans="1:2">
      <c r="A290" s="31">
        <v>21839</v>
      </c>
      <c r="B290">
        <v>51</v>
      </c>
    </row>
    <row r="291" spans="1:2">
      <c r="A291" s="31">
        <v>21840</v>
      </c>
      <c r="B291">
        <v>49</v>
      </c>
    </row>
    <row r="292" spans="1:2">
      <c r="A292" s="31">
        <v>21841</v>
      </c>
      <c r="B292">
        <v>45</v>
      </c>
    </row>
    <row r="293" spans="1:2">
      <c r="A293" s="31">
        <v>21842</v>
      </c>
      <c r="B293">
        <v>43</v>
      </c>
    </row>
    <row r="294" spans="1:2">
      <c r="A294" s="31">
        <v>21843</v>
      </c>
      <c r="B294">
        <v>42</v>
      </c>
    </row>
    <row r="295" spans="1:2">
      <c r="A295" s="31">
        <v>21844</v>
      </c>
      <c r="B295">
        <v>38</v>
      </c>
    </row>
    <row r="296" spans="1:2">
      <c r="A296" s="31">
        <v>21845</v>
      </c>
      <c r="B296">
        <v>47</v>
      </c>
    </row>
    <row r="297" spans="1:2">
      <c r="A297" s="31">
        <v>21846</v>
      </c>
      <c r="B297">
        <v>38</v>
      </c>
    </row>
    <row r="298" spans="1:2">
      <c r="A298" s="31">
        <v>21847</v>
      </c>
      <c r="B298">
        <v>36</v>
      </c>
    </row>
    <row r="299" spans="1:2">
      <c r="A299" s="31">
        <v>21848</v>
      </c>
      <c r="B299">
        <v>42</v>
      </c>
    </row>
    <row r="300" spans="1:2">
      <c r="A300" s="31">
        <v>21849</v>
      </c>
      <c r="B300">
        <v>35</v>
      </c>
    </row>
    <row r="301" spans="1:2">
      <c r="A301" s="31">
        <v>21850</v>
      </c>
      <c r="B301">
        <v>28</v>
      </c>
    </row>
    <row r="302" spans="1:2">
      <c r="A302" s="31">
        <v>21851</v>
      </c>
      <c r="B302">
        <v>44</v>
      </c>
    </row>
    <row r="303" spans="1:2">
      <c r="A303" s="31">
        <v>21852</v>
      </c>
      <c r="B303">
        <v>36</v>
      </c>
    </row>
    <row r="304" spans="1:2">
      <c r="A304" s="31">
        <v>21853</v>
      </c>
      <c r="B304">
        <v>45</v>
      </c>
    </row>
    <row r="305" spans="1:2">
      <c r="A305" s="31">
        <v>21854</v>
      </c>
      <c r="B305">
        <v>46</v>
      </c>
    </row>
    <row r="306" spans="1:2">
      <c r="A306" s="31">
        <v>21855</v>
      </c>
      <c r="B306">
        <v>48</v>
      </c>
    </row>
    <row r="307" spans="1:2">
      <c r="A307" s="31">
        <v>21856</v>
      </c>
      <c r="B307">
        <v>49</v>
      </c>
    </row>
    <row r="308" spans="1:2">
      <c r="A308" s="31">
        <v>21857</v>
      </c>
      <c r="B308">
        <v>43</v>
      </c>
    </row>
    <row r="309" spans="1:2">
      <c r="A309" s="31">
        <v>21858</v>
      </c>
      <c r="B309">
        <v>42</v>
      </c>
    </row>
    <row r="310" spans="1:2">
      <c r="A310" s="31">
        <v>21859</v>
      </c>
      <c r="B310">
        <v>59</v>
      </c>
    </row>
    <row r="311" spans="1:2">
      <c r="A311" s="31">
        <v>21860</v>
      </c>
      <c r="B311">
        <v>45</v>
      </c>
    </row>
    <row r="312" spans="1:2">
      <c r="A312" s="31">
        <v>21861</v>
      </c>
      <c r="B312">
        <v>52</v>
      </c>
    </row>
    <row r="313" spans="1:2">
      <c r="A313" s="31">
        <v>21862</v>
      </c>
      <c r="B313">
        <v>46</v>
      </c>
    </row>
    <row r="314" spans="1:2">
      <c r="A314" s="31">
        <v>21863</v>
      </c>
      <c r="B314">
        <v>42</v>
      </c>
    </row>
    <row r="315" spans="1:2">
      <c r="A315" s="31">
        <v>21864</v>
      </c>
      <c r="B315">
        <v>40</v>
      </c>
    </row>
    <row r="316" spans="1:2">
      <c r="A316" s="31">
        <v>21865</v>
      </c>
      <c r="B316">
        <v>40</v>
      </c>
    </row>
    <row r="317" spans="1:2">
      <c r="A317" s="31">
        <v>21866</v>
      </c>
      <c r="B317">
        <v>45</v>
      </c>
    </row>
    <row r="318" spans="1:2">
      <c r="A318" s="31">
        <v>21867</v>
      </c>
      <c r="B318">
        <v>35</v>
      </c>
    </row>
    <row r="319" spans="1:2">
      <c r="A319" s="31">
        <v>21868</v>
      </c>
      <c r="B319">
        <v>35</v>
      </c>
    </row>
    <row r="320" spans="1:2">
      <c r="A320" s="31">
        <v>21869</v>
      </c>
      <c r="B320">
        <v>40</v>
      </c>
    </row>
    <row r="321" spans="1:2">
      <c r="A321" s="31">
        <v>21870</v>
      </c>
      <c r="B321">
        <v>39</v>
      </c>
    </row>
    <row r="322" spans="1:2">
      <c r="A322" s="31">
        <v>21871</v>
      </c>
      <c r="B322">
        <v>33</v>
      </c>
    </row>
    <row r="323" spans="1:2">
      <c r="A323" s="31">
        <v>21872</v>
      </c>
      <c r="B323">
        <v>42</v>
      </c>
    </row>
    <row r="324" spans="1:2">
      <c r="A324" s="31">
        <v>21873</v>
      </c>
      <c r="B324">
        <v>47</v>
      </c>
    </row>
    <row r="325" spans="1:2">
      <c r="A325" s="31">
        <v>21874</v>
      </c>
      <c r="B325">
        <v>51</v>
      </c>
    </row>
    <row r="326" spans="1:2">
      <c r="A326" s="31">
        <v>21875</v>
      </c>
      <c r="B326">
        <v>44</v>
      </c>
    </row>
    <row r="327" spans="1:2">
      <c r="A327" s="31">
        <v>21876</v>
      </c>
      <c r="B327">
        <v>40</v>
      </c>
    </row>
    <row r="328" spans="1:2">
      <c r="A328" s="31">
        <v>21877</v>
      </c>
      <c r="B328">
        <v>57</v>
      </c>
    </row>
    <row r="329" spans="1:2">
      <c r="A329" s="31">
        <v>21878</v>
      </c>
      <c r="B329">
        <v>49</v>
      </c>
    </row>
    <row r="330" spans="1:2">
      <c r="A330" s="31">
        <v>21879</v>
      </c>
      <c r="B330">
        <v>45</v>
      </c>
    </row>
    <row r="331" spans="1:2">
      <c r="A331" s="31">
        <v>21880</v>
      </c>
      <c r="B331">
        <v>49</v>
      </c>
    </row>
    <row r="332" spans="1:2">
      <c r="A332" s="31">
        <v>21881</v>
      </c>
      <c r="B332">
        <v>51</v>
      </c>
    </row>
    <row r="333" spans="1:2">
      <c r="A333" s="31">
        <v>21882</v>
      </c>
      <c r="B333">
        <v>46</v>
      </c>
    </row>
    <row r="334" spans="1:2">
      <c r="A334" s="31">
        <v>21883</v>
      </c>
      <c r="B334">
        <v>44</v>
      </c>
    </row>
    <row r="335" spans="1:2">
      <c r="A335" s="31">
        <v>21884</v>
      </c>
      <c r="B335">
        <v>52</v>
      </c>
    </row>
    <row r="336" spans="1:2">
      <c r="A336" s="31">
        <v>21885</v>
      </c>
      <c r="B336">
        <v>45</v>
      </c>
    </row>
    <row r="337" spans="1:2">
      <c r="A337" s="31">
        <v>21886</v>
      </c>
      <c r="B337">
        <v>32</v>
      </c>
    </row>
    <row r="338" spans="1:2">
      <c r="A338" s="31">
        <v>21887</v>
      </c>
      <c r="B338">
        <v>46</v>
      </c>
    </row>
    <row r="339" spans="1:2">
      <c r="A339" s="31">
        <v>21888</v>
      </c>
      <c r="B339">
        <v>41</v>
      </c>
    </row>
    <row r="340" spans="1:2">
      <c r="A340" s="31">
        <v>21889</v>
      </c>
      <c r="B340">
        <v>34</v>
      </c>
    </row>
    <row r="341" spans="1:2">
      <c r="A341" s="31">
        <v>21890</v>
      </c>
      <c r="B341">
        <v>33</v>
      </c>
    </row>
    <row r="342" spans="1:2">
      <c r="A342" s="31">
        <v>21891</v>
      </c>
      <c r="B342">
        <v>36</v>
      </c>
    </row>
    <row r="343" spans="1:2">
      <c r="A343" s="31">
        <v>21892</v>
      </c>
      <c r="B343">
        <v>49</v>
      </c>
    </row>
    <row r="344" spans="1:2">
      <c r="A344" s="31">
        <v>21893</v>
      </c>
      <c r="B344">
        <v>43</v>
      </c>
    </row>
    <row r="345" spans="1:2">
      <c r="A345" s="31">
        <v>21894</v>
      </c>
      <c r="B345">
        <v>43</v>
      </c>
    </row>
    <row r="346" spans="1:2">
      <c r="A346" s="31">
        <v>21895</v>
      </c>
      <c r="B346">
        <v>34</v>
      </c>
    </row>
    <row r="347" spans="1:2">
      <c r="A347" s="31">
        <v>21896</v>
      </c>
      <c r="B347">
        <v>39</v>
      </c>
    </row>
    <row r="348" spans="1:2">
      <c r="A348" s="31">
        <v>21897</v>
      </c>
      <c r="B348">
        <v>35</v>
      </c>
    </row>
    <row r="349" spans="1:2">
      <c r="A349" s="31">
        <v>21898</v>
      </c>
      <c r="B349">
        <v>52</v>
      </c>
    </row>
    <row r="350" spans="1:2">
      <c r="A350" s="31">
        <v>21899</v>
      </c>
      <c r="B350">
        <v>47</v>
      </c>
    </row>
    <row r="351" spans="1:2">
      <c r="A351" s="31">
        <v>21900</v>
      </c>
      <c r="B351">
        <v>52</v>
      </c>
    </row>
    <row r="352" spans="1:2">
      <c r="A352" s="31">
        <v>21901</v>
      </c>
      <c r="B352">
        <v>39</v>
      </c>
    </row>
    <row r="353" spans="1:5">
      <c r="A353" s="31">
        <v>21902</v>
      </c>
      <c r="B353">
        <v>40</v>
      </c>
    </row>
    <row r="354" spans="1:5">
      <c r="A354" s="31">
        <v>21903</v>
      </c>
      <c r="B354">
        <v>42</v>
      </c>
    </row>
    <row r="355" spans="1:5">
      <c r="A355" s="31">
        <v>21904</v>
      </c>
      <c r="B355">
        <v>42</v>
      </c>
    </row>
    <row r="356" spans="1:5">
      <c r="A356" s="31">
        <v>21905</v>
      </c>
      <c r="B356">
        <v>53</v>
      </c>
    </row>
    <row r="357" spans="1:5">
      <c r="A357" s="31">
        <v>21906</v>
      </c>
      <c r="B357">
        <v>39</v>
      </c>
    </row>
    <row r="358" spans="1:5">
      <c r="A358" s="31">
        <v>21907</v>
      </c>
      <c r="B358">
        <v>40</v>
      </c>
    </row>
    <row r="359" spans="1:5">
      <c r="A359" s="31">
        <v>21908</v>
      </c>
      <c r="B359">
        <v>38</v>
      </c>
    </row>
    <row r="360" spans="1:5">
      <c r="A360" s="31">
        <v>21909</v>
      </c>
      <c r="B360">
        <v>44</v>
      </c>
    </row>
    <row r="361" spans="1:5">
      <c r="A361" s="31">
        <v>21910</v>
      </c>
      <c r="B361">
        <v>34</v>
      </c>
    </row>
    <row r="362" spans="1:5">
      <c r="A362" s="31">
        <v>21911</v>
      </c>
      <c r="B362">
        <v>37</v>
      </c>
    </row>
    <row r="363" spans="1:5">
      <c r="A363" s="31">
        <v>21912</v>
      </c>
      <c r="B363">
        <v>52</v>
      </c>
    </row>
    <row r="364" spans="1:5">
      <c r="A364" s="31">
        <v>21913</v>
      </c>
      <c r="B364">
        <v>48</v>
      </c>
    </row>
    <row r="365" spans="1:5">
      <c r="A365" s="31">
        <v>21914</v>
      </c>
      <c r="B365">
        <v>55</v>
      </c>
    </row>
    <row r="366" spans="1:5">
      <c r="A366" s="31">
        <v>21915</v>
      </c>
      <c r="B366">
        <v>50</v>
      </c>
      <c r="C366">
        <v>50</v>
      </c>
      <c r="D366" s="32">
        <v>50</v>
      </c>
      <c r="E366" s="32">
        <v>50</v>
      </c>
    </row>
    <row r="367" spans="1:5">
      <c r="A367" s="31">
        <v>21916</v>
      </c>
      <c r="C367">
        <f>_xlfn.FORECAST.ETS(A367,$B$2:$B$366,$A$2:$A$366,1,1)</f>
        <v>47.07848099046906</v>
      </c>
      <c r="D367" s="32">
        <f>C367-_xlfn.FORECAST.ETS.CONFINT(A367,$B$2:$B$366,$A$2:$A$366,0.95,1,1)</f>
        <v>32.414654408906244</v>
      </c>
      <c r="E367" s="32">
        <f>C367+_xlfn.FORECAST.ETS.CONFINT(A367,$B$2:$B$366,$A$2:$A$366,0.95,1,1)</f>
        <v>61.742307572031876</v>
      </c>
    </row>
    <row r="368" spans="1:5">
      <c r="A368" s="31">
        <v>21917</v>
      </c>
      <c r="C368">
        <f>_xlfn.FORECAST.ETS(A368,$B$2:$B$366,$A$2:$A$366,1,1)</f>
        <v>44.540814102244376</v>
      </c>
      <c r="D368" s="32">
        <f>C368-_xlfn.FORECAST.ETS.CONFINT(A368,$B$2:$B$366,$A$2:$A$366,0.95,1,1)</f>
        <v>29.41854786793655</v>
      </c>
      <c r="E368" s="32">
        <f>C368+_xlfn.FORECAST.ETS.CONFINT(A368,$B$2:$B$366,$A$2:$A$366,0.95,1,1)</f>
        <v>59.663080336552198</v>
      </c>
    </row>
    <row r="369" spans="1:5">
      <c r="A369" s="31">
        <v>21918</v>
      </c>
      <c r="C369">
        <f>_xlfn.FORECAST.ETS(A369,$B$2:$B$366,$A$2:$A$366,1,1)</f>
        <v>44.781489063466779</v>
      </c>
      <c r="D369" s="32">
        <f>C369-_xlfn.FORECAST.ETS.CONFINT(A369,$B$2:$B$366,$A$2:$A$366,0.95,1,1)</f>
        <v>29.210790583550015</v>
      </c>
      <c r="E369" s="32">
        <f>C369+_xlfn.FORECAST.ETS.CONFINT(A369,$B$2:$B$366,$A$2:$A$366,0.95,1,1)</f>
        <v>60.352187543383543</v>
      </c>
    </row>
    <row r="370" spans="1:5">
      <c r="A370" s="31">
        <v>21919</v>
      </c>
      <c r="C370">
        <f>_xlfn.FORECAST.ETS(A370,$B$2:$B$366,$A$2:$A$366,1,1)</f>
        <v>54.908684154817522</v>
      </c>
      <c r="D370" s="32">
        <f>C370-_xlfn.FORECAST.ETS.CONFINT(A370,$B$2:$B$366,$A$2:$A$366,0.95,1,1)</f>
        <v>38.898706473903815</v>
      </c>
      <c r="E370" s="32">
        <f>C370+_xlfn.FORECAST.ETS.CONFINT(A370,$B$2:$B$366,$A$2:$A$366,0.95,1,1)</f>
        <v>70.918661835731228</v>
      </c>
    </row>
    <row r="371" spans="1:5">
      <c r="A371" s="31">
        <v>21920</v>
      </c>
      <c r="C371">
        <f>_xlfn.FORECAST.ETS(A371,$B$2:$B$366,$A$2:$A$366,1,1)</f>
        <v>49.366808680756009</v>
      </c>
      <c r="D371" s="32">
        <f>C371-_xlfn.FORECAST.ETS.CONFINT(A371,$B$2:$B$366,$A$2:$A$366,0.95,1,1)</f>
        <v>32.925958073517805</v>
      </c>
      <c r="E371" s="32">
        <f>C371+_xlfn.FORECAST.ETS.CONFINT(A371,$B$2:$B$366,$A$2:$A$366,0.95,1,1)</f>
        <v>65.807659287994213</v>
      </c>
    </row>
    <row r="372" spans="1:5">
      <c r="A372" s="31">
        <v>21921</v>
      </c>
      <c r="C372">
        <f>_xlfn.FORECAST.ETS(A372,$B$2:$B$366,$A$2:$A$366,1,1)</f>
        <v>50.330835805359378</v>
      </c>
      <c r="D372" s="32">
        <f>C372-_xlfn.FORECAST.ETS.CONFINT(A372,$B$2:$B$366,$A$2:$A$366,0.95,1,1)</f>
        <v>33.46686144441432</v>
      </c>
      <c r="E372" s="32">
        <f>C372+_xlfn.FORECAST.ETS.CONFINT(A372,$B$2:$B$366,$A$2:$A$366,0.95,1,1)</f>
        <v>67.194810166304435</v>
      </c>
    </row>
    <row r="373" spans="1:5">
      <c r="A373" s="31">
        <v>21922</v>
      </c>
      <c r="C373">
        <f>_xlfn.FORECAST.ETS(A373,$B$2:$B$366,$A$2:$A$366,1,1)</f>
        <v>48.075340586273391</v>
      </c>
      <c r="D373" s="32">
        <f>C373-_xlfn.FORECAST.ETS.CONFINT(A373,$B$2:$B$366,$A$2:$A$366,0.95,1,1)</f>
        <v>30.795409942019152</v>
      </c>
      <c r="E373" s="32">
        <f>C373+_xlfn.FORECAST.ETS.CONFINT(A373,$B$2:$B$366,$A$2:$A$366,0.95,1,1)</f>
        <v>65.355271230527634</v>
      </c>
    </row>
    <row r="374" spans="1:5">
      <c r="A374" s="31">
        <v>21923</v>
      </c>
      <c r="C374">
        <f>_xlfn.FORECAST.ETS(A374,$B$2:$B$366,$A$2:$A$366,1,1)</f>
        <v>47.349610477405825</v>
      </c>
      <c r="D374" s="32">
        <f>C374-_xlfn.FORECAST.ETS.CONFINT(A374,$B$2:$B$366,$A$2:$A$366,0.95,1,1)</f>
        <v>28.53241249700163</v>
      </c>
      <c r="E374" s="32">
        <f>C374+_xlfn.FORECAST.ETS.CONFINT(A374,$B$2:$B$366,$A$2:$A$366,0.95,1,1)</f>
        <v>66.166808457810021</v>
      </c>
    </row>
    <row r="375" spans="1:5">
      <c r="A375" s="31">
        <v>21924</v>
      </c>
      <c r="C375">
        <f>_xlfn.FORECAST.ETS(A375,$B$2:$B$366,$A$2:$A$366,1,1)</f>
        <v>44.811943589181141</v>
      </c>
      <c r="D375" s="32">
        <f>C375-_xlfn.FORECAST.ETS.CONFINT(A375,$B$2:$B$366,$A$2:$A$366,0.95,1,1)</f>
        <v>25.615297518648745</v>
      </c>
      <c r="E375" s="32">
        <f>C375+_xlfn.FORECAST.ETS.CONFINT(A375,$B$2:$B$366,$A$2:$A$366,0.95,1,1)</f>
        <v>64.008589659713536</v>
      </c>
    </row>
    <row r="376" spans="1:5">
      <c r="A376" s="31">
        <v>21925</v>
      </c>
      <c r="C376">
        <f>_xlfn.FORECAST.ETS(A376,$B$2:$B$366,$A$2:$A$366,1,1)</f>
        <v>45.052618550403551</v>
      </c>
      <c r="D376" s="32">
        <f>C376-_xlfn.FORECAST.ETS.CONFINT(A376,$B$2:$B$366,$A$2:$A$366,0.95,1,1)</f>
        <v>25.481029439801333</v>
      </c>
      <c r="E376" s="32">
        <f>C376+_xlfn.FORECAST.ETS.CONFINT(A376,$B$2:$B$366,$A$2:$A$366,0.95,1,1)</f>
        <v>64.624207661005769</v>
      </c>
    </row>
    <row r="377" spans="1:5">
      <c r="A377" s="31">
        <v>21926</v>
      </c>
      <c r="C377">
        <f>_xlfn.FORECAST.ETS(A377,$B$2:$B$366,$A$2:$A$366,1,1)</f>
        <v>55.179813641754293</v>
      </c>
      <c r="D377" s="32">
        <f>C377-_xlfn.FORECAST.ETS.CONFINT(A377,$B$2:$B$366,$A$2:$A$366,0.95,1,1)</f>
        <v>35.237521653113248</v>
      </c>
      <c r="E377" s="32">
        <f>C377+_xlfn.FORECAST.ETS.CONFINT(A377,$B$2:$B$366,$A$2:$A$366,0.95,1,1)</f>
        <v>75.122105630395339</v>
      </c>
    </row>
    <row r="378" spans="1:5">
      <c r="A378" s="31">
        <v>21927</v>
      </c>
      <c r="C378">
        <f>_xlfn.FORECAST.ETS(A378,$B$2:$B$366,$A$2:$A$366,1,1)</f>
        <v>49.637938167692774</v>
      </c>
      <c r="D378" s="32">
        <f>C378-_xlfn.FORECAST.ETS.CONFINT(A378,$B$2:$B$366,$A$2:$A$366,0.95,1,1)</f>
        <v>29.328940685029377</v>
      </c>
      <c r="E378" s="32">
        <f>C378+_xlfn.FORECAST.ETS.CONFINT(A378,$B$2:$B$366,$A$2:$A$366,0.95,1,1)</f>
        <v>69.946935650356167</v>
      </c>
    </row>
    <row r="379" spans="1:5">
      <c r="A379" s="31">
        <v>21928</v>
      </c>
      <c r="C379">
        <f>_xlfn.FORECAST.ETS(A379,$B$2:$B$366,$A$2:$A$366,1,1)</f>
        <v>50.601965292296143</v>
      </c>
      <c r="D379" s="32">
        <f>C379-_xlfn.FORECAST.ETS.CONFINT(A379,$B$2:$B$366,$A$2:$A$366,0.95,1,1)</f>
        <v>29.93003656414654</v>
      </c>
      <c r="E379" s="32">
        <f>C379+_xlfn.FORECAST.ETS.CONFINT(A379,$B$2:$B$366,$A$2:$A$366,0.95,1,1)</f>
        <v>71.273894020445738</v>
      </c>
    </row>
    <row r="380" spans="1:5">
      <c r="A380" s="31">
        <v>21929</v>
      </c>
      <c r="C380">
        <f>_xlfn.FORECAST.ETS(A380,$B$2:$B$366,$A$2:$A$366,1,1)</f>
        <v>48.346470073210163</v>
      </c>
      <c r="D380" s="32">
        <f>C380-_xlfn.FORECAST.ETS.CONFINT(A380,$B$2:$B$366,$A$2:$A$366,0.95,1,1)</f>
        <v>27.315178729394805</v>
      </c>
      <c r="E380" s="32">
        <f>C380+_xlfn.FORECAST.ETS.CONFINT(A380,$B$2:$B$366,$A$2:$A$366,0.95,1,1)</f>
        <v>69.377761417025525</v>
      </c>
    </row>
    <row r="381" spans="1:5">
      <c r="A381" s="31">
        <v>21930</v>
      </c>
      <c r="C381">
        <f>_xlfn.FORECAST.ETS(A381,$B$2:$B$366,$A$2:$A$366,1,1)</f>
        <v>47.620739964342597</v>
      </c>
      <c r="D381" s="32">
        <f>C381-_xlfn.FORECAST.ETS.CONFINT(A381,$B$2:$B$366,$A$2:$A$366,0.95,1,1)</f>
        <v>25.274689608643374</v>
      </c>
      <c r="E381" s="32">
        <f>C381+_xlfn.FORECAST.ETS.CONFINT(A381,$B$2:$B$366,$A$2:$A$366,0.95,1,1)</f>
        <v>69.966790320041824</v>
      </c>
    </row>
    <row r="382" spans="1:5">
      <c r="A382" s="31">
        <v>21931</v>
      </c>
      <c r="C382">
        <f>_xlfn.FORECAST.ETS(A382,$B$2:$B$366,$A$2:$A$366,1,1)</f>
        <v>45.083073076117905</v>
      </c>
      <c r="D382" s="32">
        <f>C382-_xlfn.FORECAST.ETS.CONFINT(A382,$B$2:$B$366,$A$2:$A$366,0.95,1,1)</f>
        <v>22.399147617220663</v>
      </c>
      <c r="E382" s="32">
        <f>C382+_xlfn.FORECAST.ETS.CONFINT(A382,$B$2:$B$366,$A$2:$A$366,0.95,1,1)</f>
        <v>67.766998535015148</v>
      </c>
    </row>
    <row r="383" spans="1:5">
      <c r="A383" s="31">
        <v>21932</v>
      </c>
      <c r="C383">
        <f>_xlfn.FORECAST.ETS(A383,$B$2:$B$366,$A$2:$A$366,1,1)</f>
        <v>45.323748037340316</v>
      </c>
      <c r="D383" s="32">
        <f>C383-_xlfn.FORECAST.ETS.CONFINT(A383,$B$2:$B$366,$A$2:$A$366,0.95,1,1)</f>
        <v>22.304417209253565</v>
      </c>
      <c r="E383" s="32">
        <f>C383+_xlfn.FORECAST.ETS.CONFINT(A383,$B$2:$B$366,$A$2:$A$366,0.95,1,1)</f>
        <v>68.34307886542706</v>
      </c>
    </row>
    <row r="384" spans="1:5">
      <c r="A384" s="31">
        <v>21933</v>
      </c>
      <c r="C384">
        <f>_xlfn.FORECAST.ETS(A384,$B$2:$B$366,$A$2:$A$366,1,1)</f>
        <v>55.450943128691058</v>
      </c>
      <c r="D384" s="32">
        <f>C384-_xlfn.FORECAST.ETS.CONFINT(A384,$B$2:$B$366,$A$2:$A$366,0.95,1,1)</f>
        <v>32.098561040360948</v>
      </c>
      <c r="E384" s="32">
        <f>C384+_xlfn.FORECAST.ETS.CONFINT(A384,$B$2:$B$366,$A$2:$A$366,0.95,1,1)</f>
        <v>78.803325217021168</v>
      </c>
    </row>
    <row r="385" spans="1:5">
      <c r="A385" s="31">
        <v>21934</v>
      </c>
      <c r="C385">
        <f>_xlfn.FORECAST.ETS(A385,$B$2:$B$366,$A$2:$A$366,1,1)</f>
        <v>49.909067654629546</v>
      </c>
      <c r="D385" s="32">
        <f>C385-_xlfn.FORECAST.ETS.CONFINT(A385,$B$2:$B$366,$A$2:$A$366,0.95,1,1)</f>
        <v>26.225880019520226</v>
      </c>
      <c r="E385" s="32">
        <f>C385+_xlfn.FORECAST.ETS.CONFINT(A385,$B$2:$B$366,$A$2:$A$366,0.95,1,1)</f>
        <v>73.592255289738858</v>
      </c>
    </row>
    <row r="386" spans="1:5">
      <c r="A386" s="31">
        <v>21935</v>
      </c>
      <c r="C386">
        <f>_xlfn.FORECAST.ETS(A386,$B$2:$B$366,$A$2:$A$366,1,1)</f>
        <v>50.873094779232915</v>
      </c>
      <c r="D386" s="32">
        <f>C386-_xlfn.FORECAST.ETS.CONFINT(A386,$B$2:$B$366,$A$2:$A$366,0.95,1,1)</f>
        <v>26.861245539538224</v>
      </c>
      <c r="E386" s="32">
        <f>C386+_xlfn.FORECAST.ETS.CONFINT(A386,$B$2:$B$366,$A$2:$A$366,0.95,1,1)</f>
        <v>74.884944018927598</v>
      </c>
    </row>
    <row r="387" spans="1:5">
      <c r="A387" s="31">
        <v>21936</v>
      </c>
      <c r="C387">
        <f>_xlfn.FORECAST.ETS(A387,$B$2:$B$366,$A$2:$A$366,1,1)</f>
        <v>48.617599560146928</v>
      </c>
      <c r="D387" s="32">
        <f>C387-_xlfn.FORECAST.ETS.CONFINT(A387,$B$2:$B$366,$A$2:$A$366,0.95,1,1)</f>
        <v>24.27913696890926</v>
      </c>
      <c r="E387" s="32">
        <f>C387+_xlfn.FORECAST.ETS.CONFINT(A387,$B$2:$B$366,$A$2:$A$366,0.95,1,1)</f>
        <v>72.9560621513846</v>
      </c>
    </row>
    <row r="388" spans="1:5">
      <c r="A388" s="31">
        <v>21937</v>
      </c>
      <c r="C388">
        <f>_xlfn.FORECAST.ETS(A388,$B$2:$B$366,$A$2:$A$366,1,1)</f>
        <v>47.891869451279362</v>
      </c>
      <c r="D388" s="32">
        <f>C388-_xlfn.FORECAST.ETS.CONFINT(A388,$B$2:$B$366,$A$2:$A$366,0.95,1,1)</f>
        <v>22.378100637382609</v>
      </c>
      <c r="E388" s="32">
        <f>C388+_xlfn.FORECAST.ETS.CONFINT(A388,$B$2:$B$366,$A$2:$A$366,0.95,1,1)</f>
        <v>73.405638265176123</v>
      </c>
    </row>
    <row r="389" spans="1:5">
      <c r="A389" s="31">
        <v>21938</v>
      </c>
      <c r="C389">
        <f>_xlfn.FORECAST.ETS(A389,$B$2:$B$366,$A$2:$A$366,1,1)</f>
        <v>45.354202563054677</v>
      </c>
      <c r="D389" s="32">
        <f>C389-_xlfn.FORECAST.ETS.CONFINT(A389,$B$2:$B$366,$A$2:$A$366,0.95,1,1)</f>
        <v>19.528281345380467</v>
      </c>
      <c r="E389" s="32">
        <f>C389+_xlfn.FORECAST.ETS.CONFINT(A389,$B$2:$B$366,$A$2:$A$366,0.95,1,1)</f>
        <v>71.180123780728891</v>
      </c>
    </row>
    <row r="390" spans="1:5">
      <c r="A390" s="31">
        <v>21939</v>
      </c>
      <c r="C390">
        <f>_xlfn.FORECAST.ETS(A390,$B$2:$B$366,$A$2:$A$366,1,1)</f>
        <v>45.594877524277088</v>
      </c>
      <c r="D390" s="32">
        <f>C390-_xlfn.FORECAST.ETS.CONFINT(A390,$B$2:$B$366,$A$2:$A$366,0.95,1,1)</f>
        <v>19.458281827703725</v>
      </c>
      <c r="E390" s="32">
        <f>C390+_xlfn.FORECAST.ETS.CONFINT(A390,$B$2:$B$366,$A$2:$A$366,0.95,1,1)</f>
        <v>71.731473220850447</v>
      </c>
    </row>
    <row r="391" spans="1:5">
      <c r="A391" s="31">
        <v>21940</v>
      </c>
      <c r="C391">
        <f>_xlfn.FORECAST.ETS(A391,$B$2:$B$366,$A$2:$A$366,1,1)</f>
        <v>55.722072615627823</v>
      </c>
      <c r="D391" s="32">
        <f>C391-_xlfn.FORECAST.ETS.CONFINT(A391,$B$2:$B$366,$A$2:$A$366,0.95,1,1)</f>
        <v>29.276220148020414</v>
      </c>
      <c r="E391" s="32">
        <f>C391+_xlfn.FORECAST.ETS.CONFINT(A391,$B$2:$B$366,$A$2:$A$366,0.95,1,1)</f>
        <v>82.167925083235232</v>
      </c>
    </row>
    <row r="392" spans="1:5">
      <c r="A392" s="31">
        <v>21941</v>
      </c>
      <c r="C392">
        <f>_xlfn.FORECAST.ETS(A392,$B$2:$B$366,$A$2:$A$366,1,1)</f>
        <v>50.18019714156631</v>
      </c>
      <c r="D392" s="32">
        <f>C392-_xlfn.FORECAST.ETS.CONFINT(A392,$B$2:$B$366,$A$2:$A$366,0.95,1,1)</f>
        <v>23.426448409956848</v>
      </c>
      <c r="E392" s="32">
        <f>C392+_xlfn.FORECAST.ETS.CONFINT(A392,$B$2:$B$366,$A$2:$A$366,0.95,1,1)</f>
        <v>76.933945873175773</v>
      </c>
    </row>
    <row r="393" spans="1:5">
      <c r="A393" s="31">
        <v>21942</v>
      </c>
      <c r="C393">
        <f>_xlfn.FORECAST.ETS(A393,$B$2:$B$366,$A$2:$A$366,1,1)</f>
        <v>51.14422426616968</v>
      </c>
      <c r="D393" s="32">
        <f>C393-_xlfn.FORECAST.ETS.CONFINT(A393,$B$2:$B$366,$A$2:$A$366,0.95,1,1)</f>
        <v>24.08388539119122</v>
      </c>
      <c r="E393" s="32">
        <f>C393+_xlfn.FORECAST.ETS.CONFINT(A393,$B$2:$B$366,$A$2:$A$366,0.95,1,1)</f>
        <v>78.204563141148142</v>
      </c>
    </row>
    <row r="394" spans="1:5">
      <c r="A394" s="31">
        <v>21943</v>
      </c>
      <c r="C394">
        <f>_xlfn.FORECAST.ETS(A394,$B$2:$B$366,$A$2:$A$366,1,1)</f>
        <v>48.8887290470837</v>
      </c>
      <c r="D394" s="32">
        <f>C394-_xlfn.FORECAST.ETS.CONFINT(A394,$B$2:$B$366,$A$2:$A$366,0.95,1,1)</f>
        <v>21.52305439254971</v>
      </c>
      <c r="E394" s="32">
        <f>C394+_xlfn.FORECAST.ETS.CONFINT(A394,$B$2:$B$366,$A$2:$A$366,0.95,1,1)</f>
        <v>76.25440370161769</v>
      </c>
    </row>
    <row r="395" spans="1:5">
      <c r="A395" s="31">
        <v>21944</v>
      </c>
      <c r="C395">
        <f>_xlfn.FORECAST.ETS(A395,$B$2:$B$366,$A$2:$A$366,1,1)</f>
        <v>48.162998938216134</v>
      </c>
      <c r="D395" s="32">
        <f>C395-_xlfn.FORECAST.ETS.CONFINT(A395,$B$2:$B$366,$A$2:$A$366,0.95,1,1)</f>
        <v>19.719128830933382</v>
      </c>
      <c r="E395" s="32">
        <f>C395+_xlfn.FORECAST.ETS.CONFINT(A395,$B$2:$B$366,$A$2:$A$366,0.95,1,1)</f>
        <v>76.606869045498883</v>
      </c>
    </row>
    <row r="396" spans="1:5">
      <c r="A396" s="31">
        <v>21945</v>
      </c>
      <c r="C396">
        <f>_xlfn.FORECAST.ETS(A396,$B$2:$B$366,$A$2:$A$366,1,1)</f>
        <v>45.625332049991442</v>
      </c>
      <c r="D396" s="32">
        <f>C396-_xlfn.FORECAST.ETS.CONFINT(A396,$B$2:$B$366,$A$2:$A$366,0.95,1,1)</f>
        <v>16.886648590495909</v>
      </c>
      <c r="E396" s="32">
        <f>C396+_xlfn.FORECAST.ETS.CONFINT(A396,$B$2:$B$366,$A$2:$A$366,0.95,1,1)</f>
        <v>74.364015509486975</v>
      </c>
    </row>
    <row r="397" spans="1:5">
      <c r="A397" s="31">
        <v>21946</v>
      </c>
      <c r="C397">
        <f>_xlfn.FORECAST.ETS(A397,$B$2:$B$366,$A$2:$A$366,1,1)</f>
        <v>45.866007011213853</v>
      </c>
      <c r="D397" s="32">
        <f>C397-_xlfn.FORECAST.ETS.CONFINT(A397,$B$2:$B$366,$A$2:$A$366,0.95,1,1)</f>
        <v>16.833426383725545</v>
      </c>
      <c r="E397" s="32">
        <f>C397+_xlfn.FORECAST.ETS.CONFINT(A397,$B$2:$B$366,$A$2:$A$366,0.95,1,1)</f>
        <v>74.898587638702168</v>
      </c>
    </row>
    <row r="398" spans="1:5">
      <c r="A398" s="31">
        <v>21947</v>
      </c>
      <c r="C398">
        <f>_xlfn.FORECAST.ETS(A398,$B$2:$B$366,$A$2:$A$366,1,1)</f>
        <v>55.993202102564595</v>
      </c>
      <c r="D398" s="32">
        <f>C398-_xlfn.FORECAST.ETS.CONFINT(A398,$B$2:$B$366,$A$2:$A$366,0.95,1,1)</f>
        <v>26.667605613231686</v>
      </c>
      <c r="E398" s="32">
        <f>C398+_xlfn.FORECAST.ETS.CONFINT(A398,$B$2:$B$366,$A$2:$A$366,0.95,1,1)</f>
        <v>85.318798591897504</v>
      </c>
    </row>
    <row r="399" spans="1:5">
      <c r="A399" s="31">
        <v>21948</v>
      </c>
      <c r="C399">
        <f>_xlfn.FORECAST.ETS(A399,$B$2:$B$366,$A$2:$A$366,1,1)</f>
        <v>50.451326628503082</v>
      </c>
      <c r="D399" s="32">
        <f>C399-_xlfn.FORECAST.ETS.CONFINT(A399,$B$2:$B$366,$A$2:$A$366,0.95,1,1)</f>
        <v>20.833562166420574</v>
      </c>
      <c r="E399" s="32">
        <f>C399+_xlfn.FORECAST.ETS.CONFINT(A399,$B$2:$B$366,$A$2:$A$366,0.95,1,1)</f>
        <v>80.069091090585587</v>
      </c>
    </row>
    <row r="400" spans="1:5">
      <c r="A400" s="31">
        <v>21949</v>
      </c>
      <c r="C400">
        <f>_xlfn.FORECAST.ETS(A400,$B$2:$B$366,$A$2:$A$366,1,1)</f>
        <v>51.415353753106444</v>
      </c>
      <c r="D400" s="32">
        <f>C400-_xlfn.FORECAST.ETS.CONFINT(A400,$B$2:$B$366,$A$2:$A$366,0.95,1,1)</f>
        <v>21.506237170099535</v>
      </c>
      <c r="E400" s="32">
        <f>C400+_xlfn.FORECAST.ETS.CONFINT(A400,$B$2:$B$366,$A$2:$A$366,0.95,1,1)</f>
        <v>81.32447033611335</v>
      </c>
    </row>
    <row r="401" spans="1:5">
      <c r="A401" s="31">
        <v>21950</v>
      </c>
      <c r="C401">
        <f>_xlfn.FORECAST.ETS(A401,$B$2:$B$366,$A$2:$A$366,1,1)</f>
        <v>49.159858534020465</v>
      </c>
      <c r="D401" s="32">
        <f>C401-_xlfn.FORECAST.ETS.CONFINT(A401,$B$2:$B$366,$A$2:$A$366,0.95,1,1)</f>
        <v>18.960174948851929</v>
      </c>
      <c r="E401" s="32">
        <f>C401+_xlfn.FORECAST.ETS.CONFINT(A401,$B$2:$B$366,$A$2:$A$366,0.95,1,1)</f>
        <v>79.359542119189001</v>
      </c>
    </row>
    <row r="402" spans="1:5">
      <c r="A402" s="31">
        <v>21951</v>
      </c>
      <c r="C402">
        <f>_xlfn.FORECAST.ETS(A402,$B$2:$B$366,$A$2:$A$366,1,1)</f>
        <v>48.434128425152899</v>
      </c>
      <c r="D402" s="32">
        <f>C402-_xlfn.FORECAST.ETS.CONFINT(A402,$B$2:$B$366,$A$2:$A$366,0.95,1,1)</f>
        <v>17.228399490386408</v>
      </c>
      <c r="E402" s="32">
        <f>C402+_xlfn.FORECAST.ETS.CONFINT(A402,$B$2:$B$366,$A$2:$A$366,0.95,1,1)</f>
        <v>79.63985735991939</v>
      </c>
    </row>
    <row r="403" spans="1:5">
      <c r="A403" s="31">
        <v>21952</v>
      </c>
      <c r="C403">
        <f>_xlfn.FORECAST.ETS(A403,$B$2:$B$366,$A$2:$A$366,1,1)</f>
        <v>45.896461536928214</v>
      </c>
      <c r="D403" s="32">
        <f>C403-_xlfn.FORECAST.ETS.CONFINT(A403,$B$2:$B$366,$A$2:$A$366,0.95,1,1)</f>
        <v>14.408223351326622</v>
      </c>
      <c r="E403" s="32">
        <f>C403+_xlfn.FORECAST.ETS.CONFINT(A403,$B$2:$B$366,$A$2:$A$366,0.95,1,1)</f>
        <v>77.384699722529803</v>
      </c>
    </row>
    <row r="404" spans="1:5">
      <c r="A404" s="31">
        <v>21953</v>
      </c>
      <c r="C404">
        <f>_xlfn.FORECAST.ETS(A404,$B$2:$B$366,$A$2:$A$366,1,1)</f>
        <v>46.137136498150625</v>
      </c>
      <c r="D404" s="32">
        <f>C404-_xlfn.FORECAST.ETS.CONFINT(A404,$B$2:$B$366,$A$2:$A$366,0.95,1,1)</f>
        <v>14.366955341805426</v>
      </c>
      <c r="E404" s="32">
        <f>C404+_xlfn.FORECAST.ETS.CONFINT(A404,$B$2:$B$366,$A$2:$A$366,0.95,1,1)</f>
        <v>77.907317654495827</v>
      </c>
    </row>
    <row r="405" spans="1:5">
      <c r="A405" s="31">
        <v>21954</v>
      </c>
      <c r="C405">
        <f>_xlfn.FORECAST.ETS(A405,$B$2:$B$366,$A$2:$A$366,1,1)</f>
        <v>56.26433158950136</v>
      </c>
      <c r="D405" s="32">
        <f>C405-_xlfn.FORECAST.ETS.CONFINT(A405,$B$2:$B$366,$A$2:$A$366,0.95,1,1)</f>
        <v>24.212752089776494</v>
      </c>
      <c r="E405" s="32">
        <f>C405+_xlfn.FORECAST.ETS.CONFINT(A405,$B$2:$B$366,$A$2:$A$366,0.95,1,1)</f>
        <v>88.315911089226233</v>
      </c>
    </row>
    <row r="406" spans="1:5">
      <c r="A406" s="31">
        <v>21955</v>
      </c>
      <c r="C406">
        <f>_xlfn.FORECAST.ETS(A406,$B$2:$B$366,$A$2:$A$366,1,1)</f>
        <v>50.722456115439847</v>
      </c>
      <c r="D406" s="32">
        <f>C406-_xlfn.FORECAST.ETS.CONFINT(A406,$B$2:$B$366,$A$2:$A$366,0.95,1,1)</f>
        <v>18.390002029036616</v>
      </c>
      <c r="E406" s="32">
        <f>C406+_xlfn.FORECAST.ETS.CONFINT(A406,$B$2:$B$366,$A$2:$A$366,0.95,1,1)</f>
        <v>83.054910201843086</v>
      </c>
    </row>
    <row r="407" spans="1:5">
      <c r="A407" s="31">
        <v>21956</v>
      </c>
      <c r="C407">
        <f>_xlfn.FORECAST.ETS(A407,$B$2:$B$366,$A$2:$A$366,1,1)</f>
        <v>51.686483240043216</v>
      </c>
      <c r="D407" s="32">
        <f>C407-_xlfn.FORECAST.ETS.CONFINT(A407,$B$2:$B$366,$A$2:$A$366,0.95,1,1)</f>
        <v>19.073658197904024</v>
      </c>
      <c r="E407" s="32">
        <f>C407+_xlfn.FORECAST.ETS.CONFINT(A407,$B$2:$B$366,$A$2:$A$366,0.95,1,1)</f>
        <v>84.299308282182409</v>
      </c>
    </row>
    <row r="408" spans="1:5">
      <c r="A408" s="31">
        <v>21957</v>
      </c>
      <c r="C408">
        <f>_xlfn.FORECAST.ETS(A408,$B$2:$B$366,$A$2:$A$366,1,1)</f>
        <v>49.430988020957237</v>
      </c>
      <c r="D408" s="32">
        <f>C408-_xlfn.FORECAST.ETS.CONFINT(A408,$B$2:$B$366,$A$2:$A$366,0.95,1,1)</f>
        <v>16.5382762382199</v>
      </c>
      <c r="E408" s="32">
        <f>C408+_xlfn.FORECAST.ETS.CONFINT(A408,$B$2:$B$366,$A$2:$A$366,0.95,1,1)</f>
        <v>82.323699803694581</v>
      </c>
    </row>
    <row r="409" spans="1:5">
      <c r="A409" s="31">
        <v>21958</v>
      </c>
      <c r="C409">
        <f>_xlfn.FORECAST.ETS(A409,$B$2:$B$366,$A$2:$A$366,1,1)</f>
        <v>48.705257912089664</v>
      </c>
      <c r="D409" s="32">
        <f>C409-_xlfn.FORECAST.ETS.CONFINT(A409,$B$2:$B$366,$A$2:$A$366,0.95,1,1)</f>
        <v>14.862515363988024</v>
      </c>
      <c r="E409" s="32">
        <f>C409+_xlfn.FORECAST.ETS.CONFINT(A409,$B$2:$B$366,$A$2:$A$366,0.95,1,1)</f>
        <v>82.548000460191304</v>
      </c>
    </row>
    <row r="410" spans="1:5">
      <c r="A410" s="31">
        <v>21959</v>
      </c>
      <c r="C410">
        <f>_xlfn.FORECAST.ETS(A410,$B$2:$B$366,$A$2:$A$366,1,1)</f>
        <v>46.167591023864979</v>
      </c>
      <c r="D410" s="32">
        <f>C410-_xlfn.FORECAST.ETS.CONFINT(A410,$B$2:$B$366,$A$2:$A$366,0.95,1,1)</f>
        <v>12.051357835491565</v>
      </c>
      <c r="E410" s="32">
        <f>C410+_xlfn.FORECAST.ETS.CONFINT(A410,$B$2:$B$366,$A$2:$A$366,0.95,1,1)</f>
        <v>80.283824212238386</v>
      </c>
    </row>
    <row r="411" spans="1:5">
      <c r="A411" s="31">
        <v>21960</v>
      </c>
      <c r="C411">
        <f>_xlfn.FORECAST.ETS(A411,$B$2:$B$366,$A$2:$A$366,1,1)</f>
        <v>46.40826598508739</v>
      </c>
      <c r="D411" s="32">
        <f>C411-_xlfn.FORECAST.ETS.CONFINT(A411,$B$2:$B$366,$A$2:$A$366,0.95,1,1)</f>
        <v>12.018875729807299</v>
      </c>
      <c r="E411" s="32">
        <f>C411+_xlfn.FORECAST.ETS.CONFINT(A411,$B$2:$B$366,$A$2:$A$366,0.95,1,1)</f>
        <v>80.797656240367473</v>
      </c>
    </row>
    <row r="412" spans="1:5">
      <c r="A412" s="31">
        <v>21961</v>
      </c>
      <c r="C412">
        <f>_xlfn.FORECAST.ETS(A412,$B$2:$B$366,$A$2:$A$366,1,1)</f>
        <v>56.535461076438132</v>
      </c>
      <c r="D412" s="32">
        <f>C412-_xlfn.FORECAST.ETS.CONFINT(A412,$B$2:$B$366,$A$2:$A$366,0.95,1,1)</f>
        <v>21.873233237879447</v>
      </c>
      <c r="E412" s="32">
        <f>C412+_xlfn.FORECAST.ETS.CONFINT(A412,$B$2:$B$366,$A$2:$A$366,0.95,1,1)</f>
        <v>91.197688914996817</v>
      </c>
    </row>
    <row r="413" spans="1:5">
      <c r="A413" s="31">
        <v>21962</v>
      </c>
      <c r="C413">
        <f>_xlfn.FORECAST.ETS(A413,$B$2:$B$366,$A$2:$A$366,1,1)</f>
        <v>50.993585602376619</v>
      </c>
      <c r="D413" s="32">
        <f>C413-_xlfn.FORECAST.ETS.CONFINT(A413,$B$2:$B$366,$A$2:$A$366,0.95,1,1)</f>
        <v>16.058826023617669</v>
      </c>
      <c r="E413" s="32">
        <f>C413+_xlfn.FORECAST.ETS.CONFINT(A413,$B$2:$B$366,$A$2:$A$366,0.95,1,1)</f>
        <v>85.928345181135569</v>
      </c>
    </row>
    <row r="414" spans="1:5">
      <c r="A414" s="31">
        <v>21963</v>
      </c>
      <c r="C414">
        <f>_xlfn.FORECAST.ETS(A414,$B$2:$B$366,$A$2:$A$366,1,1)</f>
        <v>51.957612726979981</v>
      </c>
      <c r="D414" s="32">
        <f>C414-_xlfn.FORECAST.ETS.CONFINT(A414,$B$2:$B$366,$A$2:$A$366,0.95,1,1)</f>
        <v>16.75061404111942</v>
      </c>
      <c r="E414" s="32">
        <f>C414+_xlfn.FORECAST.ETS.CONFINT(A414,$B$2:$B$366,$A$2:$A$366,0.95,1,1)</f>
        <v>87.164611412840543</v>
      </c>
    </row>
    <row r="415" spans="1:5">
      <c r="A415" s="31">
        <v>21964</v>
      </c>
      <c r="C415">
        <f>_xlfn.FORECAST.ETS(A415,$B$2:$B$366,$A$2:$A$366,1,1)</f>
        <v>49.702117507894002</v>
      </c>
      <c r="D415" s="32">
        <f>C415-_xlfn.FORECAST.ETS.CONFINT(A415,$B$2:$B$366,$A$2:$A$366,0.95,1,1)</f>
        <v>14.223159550968859</v>
      </c>
      <c r="E415" s="32">
        <f>C415+_xlfn.FORECAST.ETS.CONFINT(A415,$B$2:$B$366,$A$2:$A$366,0.95,1,1)</f>
        <v>85.181075464819145</v>
      </c>
    </row>
    <row r="416" spans="1:5">
      <c r="A416" s="31">
        <v>21965</v>
      </c>
      <c r="C416">
        <f>_xlfn.FORECAST.ETS(A416,$B$2:$B$366,$A$2:$A$366,1,1)</f>
        <v>48.976387399026436</v>
      </c>
      <c r="D416" s="32">
        <f>C416-_xlfn.FORECAST.ETS.CONFINT(A416,$B$2:$B$366,$A$2:$A$366,0.95,1,1)</f>
        <v>12.592292381580393</v>
      </c>
      <c r="E416" s="32">
        <f>C416+_xlfn.FORECAST.ETS.CONFINT(A416,$B$2:$B$366,$A$2:$A$366,0.95,1,1)</f>
        <v>85.360482416472479</v>
      </c>
    </row>
    <row r="417" spans="1:5">
      <c r="A417" s="31">
        <v>21966</v>
      </c>
      <c r="C417">
        <f>_xlfn.FORECAST.ETS(A417,$B$2:$B$366,$A$2:$A$366,1,1)</f>
        <v>46.438720510801751</v>
      </c>
      <c r="D417" s="32">
        <f>C417-_xlfn.FORECAST.ETS.CONFINT(A417,$B$2:$B$366,$A$2:$A$366,0.95,1,1)</f>
        <v>9.7878800722301733</v>
      </c>
      <c r="E417" s="32">
        <f>C417+_xlfn.FORECAST.ETS.CONFINT(A417,$B$2:$B$366,$A$2:$A$366,0.95,1,1)</f>
        <v>83.089560949373322</v>
      </c>
    </row>
    <row r="418" spans="1:5">
      <c r="A418" s="31">
        <v>21967</v>
      </c>
      <c r="C418">
        <f>_xlfn.FORECAST.ETS(A418,$B$2:$B$366,$A$2:$A$366,1,1)</f>
        <v>46.679395472024154</v>
      </c>
      <c r="D418" s="32">
        <f>C418-_xlfn.FORECAST.ETS.CONFINT(A418,$B$2:$B$366,$A$2:$A$366,0.95,1,1)</f>
        <v>9.761980865389468</v>
      </c>
      <c r="E418" s="32">
        <f>C418+_xlfn.FORECAST.ETS.CONFINT(A418,$B$2:$B$366,$A$2:$A$366,0.95,1,1)</f>
        <v>83.596810078658848</v>
      </c>
    </row>
    <row r="419" spans="1:5">
      <c r="A419" s="31">
        <v>21968</v>
      </c>
      <c r="C419">
        <f>_xlfn.FORECAST.ETS(A419,$B$2:$B$366,$A$2:$A$366,1,1)</f>
        <v>56.806590563374897</v>
      </c>
      <c r="D419" s="32">
        <f>C419-_xlfn.FORECAST.ETS.CONFINT(A419,$B$2:$B$366,$A$2:$A$366,0.95,1,1)</f>
        <v>19.622763575721336</v>
      </c>
      <c r="E419" s="32">
        <f>C419+_xlfn.FORECAST.ETS.CONFINT(A419,$B$2:$B$366,$A$2:$A$366,0.95,1,1)</f>
        <v>93.990417551028457</v>
      </c>
    </row>
    <row r="420" spans="1:5">
      <c r="A420" s="31">
        <v>21969</v>
      </c>
      <c r="C420">
        <f>_xlfn.FORECAST.ETS(A420,$B$2:$B$366,$A$2:$A$366,1,1)</f>
        <v>51.264715089313384</v>
      </c>
      <c r="D420" s="32">
        <f>C420-_xlfn.FORECAST.ETS.CONFINT(A420,$B$2:$B$366,$A$2:$A$366,0.95,1,1)</f>
        <v>13.814628313205368</v>
      </c>
      <c r="E420" s="32">
        <f>C420+_xlfn.FORECAST.ETS.CONFINT(A420,$B$2:$B$366,$A$2:$A$366,0.95,1,1)</f>
        <v>88.714801865421407</v>
      </c>
    </row>
    <row r="421" spans="1:5">
      <c r="A421" s="31">
        <v>21970</v>
      </c>
      <c r="C421">
        <f>_xlfn.FORECAST.ETS(A421,$B$2:$B$366,$A$2:$A$366,1,1)</f>
        <v>52.228742213916753</v>
      </c>
      <c r="D421" s="32">
        <f>C421-_xlfn.FORECAST.ETS.CONFINT(A421,$B$2:$B$366,$A$2:$A$366,0.95,1,1)</f>
        <v>14.512539309003508</v>
      </c>
      <c r="E421" s="32">
        <f>C421+_xlfn.FORECAST.ETS.CONFINT(A421,$B$2:$B$366,$A$2:$A$366,0.95,1,1)</f>
        <v>89.944945118829992</v>
      </c>
    </row>
    <row r="422" spans="1:5">
      <c r="A422" s="31">
        <v>21971</v>
      </c>
      <c r="C422">
        <f>_xlfn.FORECAST.ETS(A422,$B$2:$B$366,$A$2:$A$366,1,1)</f>
        <v>49.973246994830774</v>
      </c>
      <c r="D422" s="32">
        <f>C422-_xlfn.FORECAST.ETS.CONFINT(A422,$B$2:$B$366,$A$2:$A$366,0.95,1,1)</f>
        <v>11.991062939894285</v>
      </c>
      <c r="E422" s="32">
        <f>C422+_xlfn.FORECAST.ETS.CONFINT(A422,$B$2:$B$366,$A$2:$A$366,0.95,1,1)</f>
        <v>87.95543104976727</v>
      </c>
    </row>
    <row r="423" spans="1:5">
      <c r="A423" s="31">
        <v>21972</v>
      </c>
      <c r="C423">
        <f>_xlfn.FORECAST.ETS(A423,$B$2:$B$366,$A$2:$A$366,1,1)</f>
        <v>49.247516885963201</v>
      </c>
      <c r="D423" s="32">
        <f>C423-_xlfn.FORECAST.ETS.CONFINT(A423,$B$2:$B$366,$A$2:$A$366,0.95,1,1)</f>
        <v>10.397053972219801</v>
      </c>
      <c r="E423" s="32">
        <f>C423+_xlfn.FORECAST.ETS.CONFINT(A423,$B$2:$B$366,$A$2:$A$366,0.95,1,1)</f>
        <v>88.097979799706593</v>
      </c>
    </row>
    <row r="424" spans="1:5">
      <c r="A424" s="31">
        <v>21973</v>
      </c>
      <c r="C424">
        <f>_xlfn.FORECAST.ETS(A424,$B$2:$B$366,$A$2:$A$366,1,1)</f>
        <v>46.709849997738516</v>
      </c>
      <c r="D424" s="32">
        <f>C424-_xlfn.FORECAST.ETS.CONFINT(A424,$B$2:$B$366,$A$2:$A$366,0.95,1,1)</f>
        <v>7.5977436011081636</v>
      </c>
      <c r="E424" s="32">
        <f>C424+_xlfn.FORECAST.ETS.CONFINT(A424,$B$2:$B$366,$A$2:$A$366,0.95,1,1)</f>
        <v>85.821956394368868</v>
      </c>
    </row>
    <row r="425" spans="1:5">
      <c r="A425" s="31">
        <v>21974</v>
      </c>
      <c r="C425">
        <f>_xlfn.FORECAST.ETS(A425,$B$2:$B$366,$A$2:$A$366,1,1)</f>
        <v>46.950524958960926</v>
      </c>
      <c r="D425" s="32">
        <f>C425-_xlfn.FORECAST.ETS.CONFINT(A425,$B$2:$B$366,$A$2:$A$366,0.95,1,1)</f>
        <v>7.5768289537686542</v>
      </c>
      <c r="E425" s="32">
        <f>C425+_xlfn.FORECAST.ETS.CONFINT(A425,$B$2:$B$366,$A$2:$A$366,0.95,1,1)</f>
        <v>86.324220964153199</v>
      </c>
    </row>
    <row r="426" spans="1:5">
      <c r="A426" s="31">
        <v>21975</v>
      </c>
      <c r="C426">
        <f>_xlfn.FORECAST.ETS(A426,$B$2:$B$366,$A$2:$A$366,1,1)</f>
        <v>57.077720050311669</v>
      </c>
      <c r="D426" s="32">
        <f>C426-_xlfn.FORECAST.ETS.CONFINT(A426,$B$2:$B$366,$A$2:$A$366,0.95,1,1)</f>
        <v>17.442481819014844</v>
      </c>
      <c r="E426" s="32">
        <f>C426+_xlfn.FORECAST.ETS.CONFINT(A426,$B$2:$B$366,$A$2:$A$366,0.95,1,1)</f>
        <v>96.712958281608493</v>
      </c>
    </row>
    <row r="427" spans="1:5">
      <c r="A427" s="31">
        <v>21976</v>
      </c>
      <c r="C427">
        <f>_xlfn.FORECAST.ETS(A427,$B$2:$B$366,$A$2:$A$366,1,1)</f>
        <v>51.535844576250149</v>
      </c>
      <c r="D427" s="32">
        <f>C427-_xlfn.FORECAST.ETS.CONFINT(A427,$B$2:$B$366,$A$2:$A$366,0.95,1,1)</f>
        <v>11.639105179852955</v>
      </c>
      <c r="E427" s="32">
        <f>C427+_xlfn.FORECAST.ETS.CONFINT(A427,$B$2:$B$366,$A$2:$A$366,0.95,1,1)</f>
        <v>91.432583972647336</v>
      </c>
    </row>
    <row r="428" spans="1:5">
      <c r="A428" s="31">
        <v>21977</v>
      </c>
      <c r="C428">
        <f>_xlfn.FORECAST.ETS(A428,$B$2:$B$366,$A$2:$A$366,1,1)</f>
        <v>52.499871700853518</v>
      </c>
      <c r="D428" s="32">
        <f>C428-_xlfn.FORECAST.ETS.CONFINT(A428,$B$2:$B$366,$A$2:$A$366,0.95,1,1)</f>
        <v>12.341666043702332</v>
      </c>
      <c r="E428" s="32">
        <f>C428+_xlfn.FORECAST.ETS.CONFINT(A428,$B$2:$B$366,$A$2:$A$366,0.95,1,1)</f>
        <v>92.658077358004704</v>
      </c>
    </row>
    <row r="429" spans="1:5">
      <c r="A429" s="31">
        <v>21978</v>
      </c>
      <c r="C429">
        <f>_xlfn.FORECAST.ETS(A429,$B$2:$B$366,$A$2:$A$366,1,1)</f>
        <v>50.244376481767539</v>
      </c>
      <c r="D429" s="32">
        <f>C429-_xlfn.FORECAST.ETS.CONFINT(A429,$B$2:$B$366,$A$2:$A$366,0.95,1,1)</f>
        <v>9.8247334709574901</v>
      </c>
      <c r="E429" s="32">
        <f>C429+_xlfn.FORECAST.ETS.CONFINT(A429,$B$2:$B$366,$A$2:$A$366,0.95,1,1)</f>
        <v>90.66401949257758</v>
      </c>
    </row>
    <row r="430" spans="1:5">
      <c r="A430" s="31">
        <v>21979</v>
      </c>
      <c r="C430">
        <f>_xlfn.FORECAST.ETS(A430,$B$2:$B$366,$A$2:$A$366,1,1)</f>
        <v>49.518646372899973</v>
      </c>
      <c r="D430" s="32">
        <f>C430-_xlfn.FORECAST.ETS.CONFINT(A430,$B$2:$B$366,$A$2:$A$366,0.95,1,1)</f>
        <v>8.2615618009675345</v>
      </c>
      <c r="E430" s="32">
        <f>C430+_xlfn.FORECAST.ETS.CONFINT(A430,$B$2:$B$366,$A$2:$A$366,0.95,1,1)</f>
        <v>90.775730944832418</v>
      </c>
    </row>
    <row r="431" spans="1:5">
      <c r="A431" s="31">
        <v>21980</v>
      </c>
      <c r="C431">
        <f>_xlfn.FORECAST.ETS(A431,$B$2:$B$366,$A$2:$A$366,1,1)</f>
        <v>46.980979484675281</v>
      </c>
      <c r="D431" s="32">
        <f>C431-_xlfn.FORECAST.ETS.CONFINT(A431,$B$2:$B$366,$A$2:$A$366,0.95,1,1)</f>
        <v>5.4661247718831447</v>
      </c>
      <c r="E431" s="32">
        <f>C431+_xlfn.FORECAST.ETS.CONFINT(A431,$B$2:$B$366,$A$2:$A$366,0.95,1,1)</f>
        <v>88.495834197467417</v>
      </c>
    </row>
    <row r="432" spans="1:5">
      <c r="A432" s="31">
        <v>21981</v>
      </c>
      <c r="C432">
        <f>_xlfn.FORECAST.ETS(A432,$B$2:$B$366,$A$2:$A$366,1,1)</f>
        <v>47.221654445897691</v>
      </c>
      <c r="D432" s="32">
        <f>C432-_xlfn.FORECAST.ETS.CONFINT(A432,$B$2:$B$366,$A$2:$A$366,0.95,1,1)</f>
        <v>5.448996177348242</v>
      </c>
      <c r="E432" s="32">
        <f>C432+_xlfn.FORECAST.ETS.CONFINT(A432,$B$2:$B$366,$A$2:$A$366,0.95,1,1)</f>
        <v>88.994312714447148</v>
      </c>
    </row>
    <row r="433" spans="1:5">
      <c r="A433" s="31">
        <v>21982</v>
      </c>
      <c r="C433">
        <f>_xlfn.FORECAST.ETS(A433,$B$2:$B$366,$A$2:$A$366,1,1)</f>
        <v>57.348849537248434</v>
      </c>
      <c r="D433" s="32">
        <f>C433-_xlfn.FORECAST.ETS.CONFINT(A433,$B$2:$B$366,$A$2:$A$366,0.95,1,1)</f>
        <v>15.318349796922668</v>
      </c>
      <c r="E433" s="32">
        <f>C433+_xlfn.FORECAST.ETS.CONFINT(A433,$B$2:$B$366,$A$2:$A$366,0.95,1,1)</f>
        <v>99.379349277574192</v>
      </c>
    </row>
    <row r="434" spans="1:5">
      <c r="A434" s="31">
        <v>21983</v>
      </c>
      <c r="C434">
        <f>_xlfn.FORECAST.ETS(A434,$B$2:$B$366,$A$2:$A$366,1,1)</f>
        <v>51.806974063186921</v>
      </c>
      <c r="D434" s="32">
        <f>C434-_xlfn.FORECAST.ETS.CONFINT(A434,$B$2:$B$366,$A$2:$A$366,0.95,1,1)</f>
        <v>9.5185905438160816</v>
      </c>
      <c r="E434" s="32">
        <f>C434+_xlfn.FORECAST.ETS.CONFINT(A434,$B$2:$B$366,$A$2:$A$366,0.95,1,1)</f>
        <v>94.095357582557767</v>
      </c>
    </row>
    <row r="435" spans="1:5">
      <c r="A435" s="31">
        <v>21984</v>
      </c>
      <c r="C435">
        <f>_xlfn.FORECAST.ETS(A435,$B$2:$B$366,$A$2:$A$366,1,1)</f>
        <v>52.77100118779029</v>
      </c>
      <c r="D435" s="32">
        <f>C435-_xlfn.FORECAST.ETS.CONFINT(A435,$B$2:$B$366,$A$2:$A$366,0.95,1,1)</f>
        <v>10.224687297439644</v>
      </c>
      <c r="E435" s="32">
        <f>C435+_xlfn.FORECAST.ETS.CONFINT(A435,$B$2:$B$366,$A$2:$A$366,0.95,1,1)</f>
        <v>95.317315078140936</v>
      </c>
    </row>
    <row r="436" spans="1:5">
      <c r="A436" s="31">
        <v>21985</v>
      </c>
      <c r="C436">
        <f>_xlfn.FORECAST.ETS(A436,$B$2:$B$366,$A$2:$A$366,1,1)</f>
        <v>50.515505968704304</v>
      </c>
      <c r="D436" s="32">
        <f>C436-_xlfn.FORECAST.ETS.CONFINT(A436,$B$2:$B$366,$A$2:$A$366,0.95,1,1)</f>
        <v>7.7112109341906105</v>
      </c>
      <c r="E436" s="32">
        <f>C436+_xlfn.FORECAST.ETS.CONFINT(A436,$B$2:$B$366,$A$2:$A$366,0.95,1,1)</f>
        <v>93.319801003218004</v>
      </c>
    </row>
    <row r="437" spans="1:5">
      <c r="A437" s="31">
        <v>21986</v>
      </c>
      <c r="C437">
        <f>_xlfn.FORECAST.ETS(A437,$B$2:$B$366,$A$2:$A$366,1,1)</f>
        <v>49.789775859836737</v>
      </c>
      <c r="D437" s="32">
        <f>C437-_xlfn.FORECAST.ETS.CONFINT(A437,$B$2:$B$366,$A$2:$A$366,0.95,1,1)</f>
        <v>6.1742332676997407</v>
      </c>
      <c r="E437" s="32">
        <f>C437+_xlfn.FORECAST.ETS.CONFINT(A437,$B$2:$B$366,$A$2:$A$366,0.95,1,1)</f>
        <v>93.405318451973727</v>
      </c>
    </row>
    <row r="438" spans="1:5">
      <c r="A438" s="31">
        <v>21987</v>
      </c>
      <c r="C438">
        <f>_xlfn.FORECAST.ETS(A438,$B$2:$B$366,$A$2:$A$366,1,1)</f>
        <v>47.252108971612053</v>
      </c>
      <c r="D438" s="32">
        <f>C438-_xlfn.FORECAST.ETS.CONFINT(A438,$B$2:$B$366,$A$2:$A$366,0.95,1,1)</f>
        <v>3.3817260343726829</v>
      </c>
      <c r="E438" s="32">
        <f>C438+_xlfn.FORECAST.ETS.CONFINT(A438,$B$2:$B$366,$A$2:$A$366,0.95,1,1)</f>
        <v>91.12249190885143</v>
      </c>
    </row>
    <row r="439" spans="1:5">
      <c r="A439" s="31">
        <v>21988</v>
      </c>
      <c r="C439">
        <f>_xlfn.FORECAST.ETS(A439,$B$2:$B$366,$A$2:$A$366,1,1)</f>
        <v>47.492783932834463</v>
      </c>
      <c r="D439" s="32">
        <f>C439-_xlfn.FORECAST.ETS.CONFINT(A439,$B$2:$B$366,$A$2:$A$366,0.95,1,1)</f>
        <v>3.3674608694166821</v>
      </c>
      <c r="E439" s="32">
        <f>C439+_xlfn.FORECAST.ETS.CONFINT(A439,$B$2:$B$366,$A$2:$A$366,0.95,1,1)</f>
        <v>91.618106996252237</v>
      </c>
    </row>
    <row r="440" spans="1:5">
      <c r="A440" s="31">
        <v>21989</v>
      </c>
      <c r="C440">
        <f>_xlfn.FORECAST.ETS(A440,$B$2:$B$366,$A$2:$A$366,1,1)</f>
        <v>57.619979024185206</v>
      </c>
      <c r="D440" s="32">
        <f>C440-_xlfn.FORECAST.ETS.CONFINT(A440,$B$2:$B$366,$A$2:$A$366,0.95,1,1)</f>
        <v>13.239612927959335</v>
      </c>
      <c r="E440" s="32">
        <f>C440+_xlfn.FORECAST.ETS.CONFINT(A440,$B$2:$B$366,$A$2:$A$366,0.95,1,1)</f>
        <v>102.00034512041108</v>
      </c>
    </row>
    <row r="441" spans="1:5">
      <c r="A441" s="31">
        <v>21990</v>
      </c>
      <c r="C441">
        <f>_xlfn.FORECAST.ETS(A441,$B$2:$B$366,$A$2:$A$366,1,1)</f>
        <v>52.078103550123686</v>
      </c>
      <c r="D441" s="32">
        <f>C441-_xlfn.FORECAST.ETS.CONFINT(A441,$B$2:$B$366,$A$2:$A$366,0.95,1,1)</f>
        <v>7.4425884610404296</v>
      </c>
      <c r="E441" s="32">
        <f>C441+_xlfn.FORECAST.ETS.CONFINT(A441,$B$2:$B$366,$A$2:$A$366,0.95,1,1)</f>
        <v>96.713618639206942</v>
      </c>
    </row>
    <row r="442" spans="1:5">
      <c r="A442" s="31">
        <v>21991</v>
      </c>
      <c r="C442">
        <f>_xlfn.FORECAST.ETS(A442,$B$2:$B$366,$A$2:$A$366,1,1)</f>
        <v>53.042130674727055</v>
      </c>
      <c r="D442" s="32">
        <f>C442-_xlfn.FORECAST.ETS.CONFINT(A442,$B$2:$B$366,$A$2:$A$366,0.95,1,1)</f>
        <v>8.1513576494733826</v>
      </c>
      <c r="E442" s="32">
        <f>C442+_xlfn.FORECAST.ETS.CONFINT(A442,$B$2:$B$366,$A$2:$A$366,0.95,1,1)</f>
        <v>97.932903699980727</v>
      </c>
    </row>
    <row r="443" spans="1:5">
      <c r="A443" s="31">
        <v>21992</v>
      </c>
      <c r="C443">
        <f>_xlfn.FORECAST.ETS(A443,$B$2:$B$366,$A$2:$A$366,1,1)</f>
        <v>50.786635455641076</v>
      </c>
      <c r="D443" s="32">
        <f>C443-_xlfn.FORECAST.ETS.CONFINT(A443,$B$2:$B$366,$A$2:$A$366,0.95,1,1)</f>
        <v>5.640492635884641</v>
      </c>
      <c r="E443" s="32">
        <f>C443+_xlfn.FORECAST.ETS.CONFINT(A443,$B$2:$B$366,$A$2:$A$366,0.95,1,1)</f>
        <v>95.93277827539751</v>
      </c>
    </row>
    <row r="444" spans="1:5">
      <c r="A444" s="31">
        <v>21993</v>
      </c>
      <c r="C444">
        <f>_xlfn.FORECAST.ETS(A444,$B$2:$B$366,$A$2:$A$366,1,1)</f>
        <v>50.060905346773509</v>
      </c>
      <c r="D444" s="32">
        <f>C444-_xlfn.FORECAST.ETS.CONFINT(A444,$B$2:$B$366,$A$2:$A$366,0.95,1,1)</f>
        <v>4.1260431788882954</v>
      </c>
      <c r="E444" s="32">
        <f>C444+_xlfn.FORECAST.ETS.CONFINT(A444,$B$2:$B$366,$A$2:$A$366,0.95,1,1)</f>
        <v>95.995767514658723</v>
      </c>
    </row>
    <row r="445" spans="1:5">
      <c r="A445" s="31">
        <v>21994</v>
      </c>
      <c r="C445">
        <f>_xlfn.FORECAST.ETS(A445,$B$2:$B$366,$A$2:$A$366,1,1)</f>
        <v>47.523238458548818</v>
      </c>
      <c r="D445" s="32">
        <f>C445-_xlfn.FORECAST.ETS.CONFINT(A445,$B$2:$B$366,$A$2:$A$366,0.95,1,1)</f>
        <v>1.3357251290097025</v>
      </c>
      <c r="E445" s="32">
        <f>C445+_xlfn.FORECAST.ETS.CONFINT(A445,$B$2:$B$366,$A$2:$A$366,0.95,1,1)</f>
        <v>93.710751788087933</v>
      </c>
    </row>
    <row r="446" spans="1:5">
      <c r="A446" s="31">
        <v>21995</v>
      </c>
      <c r="C446">
        <f>_xlfn.FORECAST.ETS(A446,$B$2:$B$366,$A$2:$A$366,1,1)</f>
        <v>47.763913419771228</v>
      </c>
      <c r="D446" s="32">
        <f>C446-_xlfn.FORECAST.ETS.CONFINT(A446,$B$2:$B$366,$A$2:$A$366,0.95,1,1)</f>
        <v>1.3235977869410149</v>
      </c>
      <c r="E446" s="32">
        <f>C446+_xlfn.FORECAST.ETS.CONFINT(A446,$B$2:$B$366,$A$2:$A$366,0.95,1,1)</f>
        <v>94.204229052601448</v>
      </c>
    </row>
    <row r="447" spans="1:5">
      <c r="A447" s="31">
        <v>21996</v>
      </c>
      <c r="C447">
        <f>_xlfn.FORECAST.ETS(A447,$B$2:$B$366,$A$2:$A$366,1,1)</f>
        <v>57.891108511121971</v>
      </c>
      <c r="D447" s="32">
        <f>C447-_xlfn.FORECAST.ETS.CONFINT(A447,$B$2:$B$366,$A$2:$A$366,0.95,1,1)</f>
        <v>11.197837283140366</v>
      </c>
      <c r="E447" s="32">
        <f>C447+_xlfn.FORECAST.ETS.CONFINT(A447,$B$2:$B$366,$A$2:$A$366,0.95,1,1)</f>
        <v>104.58437973910358</v>
      </c>
    </row>
    <row r="448" spans="1:5">
      <c r="A448" s="31">
        <v>21997</v>
      </c>
      <c r="C448">
        <f>_xlfn.FORECAST.ETS(A448,$B$2:$B$366,$A$2:$A$366,1,1)</f>
        <v>52.349233037060458</v>
      </c>
      <c r="D448" s="32">
        <f>C448-_xlfn.FORECAST.ETS.CONFINT(A448,$B$2:$B$366,$A$2:$A$366,0.95,1,1)</f>
        <v>5.4028508196749101</v>
      </c>
      <c r="E448" s="32">
        <f>C448+_xlfn.FORECAST.ETS.CONFINT(A448,$B$2:$B$366,$A$2:$A$366,0.95,1,1)</f>
        <v>99.295615254446005</v>
      </c>
    </row>
    <row r="449" spans="1:5">
      <c r="A449" s="31">
        <v>21998</v>
      </c>
      <c r="C449">
        <f>_xlfn.FORECAST.ETS(A449,$B$2:$B$366,$A$2:$A$366,1,1)</f>
        <v>53.31326016166382</v>
      </c>
      <c r="D449" s="32">
        <f>C449-_xlfn.FORECAST.ETS.CONFINT(A449,$B$2:$B$366,$A$2:$A$366,0.95,1,1)</f>
        <v>6.113609504847382</v>
      </c>
      <c r="E449" s="32">
        <f>C449+_xlfn.FORECAST.ETS.CONFINT(A449,$B$2:$B$366,$A$2:$A$366,0.95,1,1)</f>
        <v>100.51291081848026</v>
      </c>
    </row>
    <row r="450" spans="1:5">
      <c r="A450" s="31">
        <v>21999</v>
      </c>
      <c r="C450">
        <f>_xlfn.FORECAST.ETS(A450,$B$2:$B$366,$A$2:$A$366,1,1)</f>
        <v>51.05776494257784</v>
      </c>
      <c r="D450" s="32">
        <f>C450-_xlfn.FORECAST.ETS.CONFINT(A450,$B$2:$B$366,$A$2:$A$366,0.95,1,1)</f>
        <v>3.6046863859715259</v>
      </c>
      <c r="E450" s="32">
        <f>C450+_xlfn.FORECAST.ETS.CONFINT(A450,$B$2:$B$366,$A$2:$A$366,0.95,1,1)</f>
        <v>98.510843499184148</v>
      </c>
    </row>
    <row r="451" spans="1:5">
      <c r="A451" s="31">
        <v>22000</v>
      </c>
      <c r="C451">
        <f>_xlfn.FORECAST.ETS(A451,$B$2:$B$366,$A$2:$A$366,1,1)</f>
        <v>50.332034833710274</v>
      </c>
      <c r="D451" s="32">
        <f>C451-_xlfn.FORECAST.ETS.CONFINT(A451,$B$2:$B$366,$A$2:$A$366,0.95,1,1)</f>
        <v>2.1098142628827361</v>
      </c>
      <c r="E451" s="32">
        <f>C451+_xlfn.FORECAST.ETS.CONFINT(A451,$B$2:$B$366,$A$2:$A$366,0.95,1,1)</f>
        <v>98.554255404537813</v>
      </c>
    </row>
    <row r="452" spans="1:5">
      <c r="A452" s="31">
        <v>22001</v>
      </c>
      <c r="C452">
        <f>_xlfn.FORECAST.ETS(A452,$B$2:$B$366,$A$2:$A$366,1,1)</f>
        <v>47.79436794548559</v>
      </c>
      <c r="D452" s="32">
        <f>C452-_xlfn.FORECAST.ETS.CONFINT(A452,$B$2:$B$366,$A$2:$A$366,0.95,1,1)</f>
        <v>-0.67890650983567014</v>
      </c>
      <c r="E452" s="32">
        <f>C452+_xlfn.FORECAST.ETS.CONFINT(A452,$B$2:$B$366,$A$2:$A$366,0.95,1,1)</f>
        <v>96.267642400806849</v>
      </c>
    </row>
    <row r="453" spans="1:5">
      <c r="A453" s="31">
        <v>22002</v>
      </c>
      <c r="C453">
        <f>_xlfn.FORECAST.ETS(A453,$B$2:$B$366,$A$2:$A$366,1,1)</f>
        <v>48.035042906708</v>
      </c>
      <c r="D453" s="32">
        <f>C453-_xlfn.FORECAST.ETS.CONFINT(A453,$B$2:$B$366,$A$2:$A$366,0.95,1,1)</f>
        <v>-0.68947689365941756</v>
      </c>
      <c r="E453" s="32">
        <f>C453+_xlfn.FORECAST.ETS.CONFINT(A453,$B$2:$B$366,$A$2:$A$366,0.95,1,1)</f>
        <v>96.759562707075418</v>
      </c>
    </row>
    <row r="454" spans="1:5">
      <c r="A454" s="31">
        <v>22003</v>
      </c>
      <c r="C454">
        <f>_xlfn.FORECAST.ETS(A454,$B$2:$B$366,$A$2:$A$366,1,1)</f>
        <v>58.162237998058735</v>
      </c>
      <c r="D454" s="32">
        <f>C454-_xlfn.FORECAST.ETS.CONFINT(A454,$B$2:$B$366,$A$2:$A$366,0.95,1,1)</f>
        <v>9.1862799481782531</v>
      </c>
      <c r="E454" s="32">
        <f>C454+_xlfn.FORECAST.ETS.CONFINT(A454,$B$2:$B$366,$A$2:$A$366,0.95,1,1)</f>
        <v>107.13819604793922</v>
      </c>
    </row>
    <row r="455" spans="1:5">
      <c r="A455" s="31">
        <v>22004</v>
      </c>
      <c r="C455">
        <f>_xlfn.FORECAST.ETS(A455,$B$2:$B$366,$A$2:$A$366,1,1)</f>
        <v>52.620362523997223</v>
      </c>
      <c r="D455" s="32">
        <f>C455-_xlfn.FORECAST.ETS.CONFINT(A455,$B$2:$B$366,$A$2:$A$366,0.95,1,1)</f>
        <v>3.3927719079789682</v>
      </c>
      <c r="E455" s="32">
        <f>C455+_xlfn.FORECAST.ETS.CONFINT(A455,$B$2:$B$366,$A$2:$A$366,0.95,1,1)</f>
        <v>101.84795314001548</v>
      </c>
    </row>
    <row r="456" spans="1:5">
      <c r="A456" s="31">
        <v>22005</v>
      </c>
      <c r="C456">
        <f>_xlfn.FORECAST.ETS(A456,$B$2:$B$366,$A$2:$A$366,1,1)</f>
        <v>53.584389648600592</v>
      </c>
      <c r="D456" s="32">
        <f>C456-_xlfn.FORECAST.ETS.CONFINT(A456,$B$2:$B$366,$A$2:$A$366,0.95,1,1)</f>
        <v>4.1049707686670445</v>
      </c>
      <c r="E456" s="32">
        <f>C456+_xlfn.FORECAST.ETS.CONFINT(A456,$B$2:$B$366,$A$2:$A$366,0.95,1,1)</f>
        <v>103.06380852853414</v>
      </c>
    </row>
    <row r="457" spans="1:5">
      <c r="A457" s="31">
        <v>22006</v>
      </c>
      <c r="C457">
        <f>_xlfn.FORECAST.ETS(A457,$B$2:$B$366,$A$2:$A$366,1,1)</f>
        <v>51.328894429514612</v>
      </c>
      <c r="D457" s="32">
        <f>C457-_xlfn.FORECAST.ETS.CONFINT(A457,$B$2:$B$366,$A$2:$A$366,0.95,1,1)</f>
        <v>1.5974502370102144</v>
      </c>
      <c r="E457" s="32">
        <f>C457+_xlfn.FORECAST.ETS.CONFINT(A457,$B$2:$B$366,$A$2:$A$366,0.95,1,1)</f>
        <v>101.060338622019</v>
      </c>
    </row>
    <row r="458" spans="1:5">
      <c r="A458" s="31">
        <v>22007</v>
      </c>
      <c r="C458">
        <f>_xlfn.FORECAST.ETS(A458,$B$2:$B$366,$A$2:$A$366,1,1)</f>
        <v>50.603164320647046</v>
      </c>
      <c r="D458" s="32">
        <f>C458-_xlfn.FORECAST.ETS.CONFINT(A458,$B$2:$B$366,$A$2:$A$366,0.95,1,1)</f>
        <v>0.11974082460254465</v>
      </c>
      <c r="E458" s="32">
        <f>C458+_xlfn.FORECAST.ETS.CONFINT(A458,$B$2:$B$366,$A$2:$A$366,0.95,1,1)</f>
        <v>101.08658781669155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D2" sqref="D2"/>
    </sheetView>
  </sheetViews>
  <sheetFormatPr defaultColWidth="11.25" defaultRowHeight="15" customHeight="1"/>
  <cols>
    <col min="1" max="2" width="11" customWidth="1"/>
    <col min="3" max="3" width="11.625" customWidth="1"/>
    <col min="4" max="4" width="14.625" customWidth="1"/>
    <col min="5" max="6" width="12.875" customWidth="1"/>
    <col min="7" max="7" width="21.375" bestFit="1" customWidth="1"/>
    <col min="8" max="8" width="22.875" customWidth="1"/>
    <col min="9" max="10" width="11" customWidth="1"/>
    <col min="11" max="11" width="20.375" customWidth="1"/>
    <col min="12" max="26" width="11" customWidth="1"/>
  </cols>
  <sheetData>
    <row r="1" spans="1:11" ht="15.75" customHeight="1">
      <c r="A1" s="2" t="s">
        <v>15</v>
      </c>
      <c r="B1" s="1" t="s">
        <v>0</v>
      </c>
      <c r="C1" s="2" t="s">
        <v>1</v>
      </c>
      <c r="D1" s="13" t="s">
        <v>16</v>
      </c>
      <c r="E1" s="14" t="s">
        <v>14</v>
      </c>
      <c r="F1" s="2" t="s">
        <v>4</v>
      </c>
      <c r="G1" s="2" t="s">
        <v>5</v>
      </c>
      <c r="H1" s="2" t="s">
        <v>6</v>
      </c>
    </row>
    <row r="2" spans="1:11" ht="15.75" customHeight="1">
      <c r="A2" s="4">
        <v>1</v>
      </c>
      <c r="B2" s="3">
        <v>21551</v>
      </c>
      <c r="C2" s="4">
        <v>35</v>
      </c>
      <c r="D2" s="29">
        <f>$K$2*($C$2+A2)</f>
        <v>1385.5805509558936</v>
      </c>
      <c r="E2" s="25">
        <f>C2-solver_opt</f>
        <v>-1350.5805509558936</v>
      </c>
      <c r="F2" s="25">
        <f>ABS(E2)</f>
        <v>1350.5805509558936</v>
      </c>
      <c r="G2" s="25">
        <f>F2^2</f>
        <v>1824067.8246203251</v>
      </c>
      <c r="H2" s="30">
        <f>F2/C2</f>
        <v>38.588015741596962</v>
      </c>
      <c r="J2" s="4" t="s">
        <v>21</v>
      </c>
      <c r="K2">
        <f>INTERCEPT(C2:C366,A2:A366)</f>
        <v>38.488348637663712</v>
      </c>
    </row>
    <row r="3" spans="1:11" ht="15.75" customHeight="1">
      <c r="A3" s="4">
        <v>2</v>
      </c>
      <c r="B3" s="3">
        <v>21552</v>
      </c>
      <c r="C3" s="4">
        <v>32</v>
      </c>
      <c r="D3" s="29">
        <f t="shared" ref="D3:D66" si="0">$K$2*($C$2+A3)</f>
        <v>1424.0688995935573</v>
      </c>
      <c r="E3" s="25">
        <f>C3-solver_opt</f>
        <v>-1353.5805509558936</v>
      </c>
      <c r="F3" s="25">
        <f t="shared" ref="F3:F66" si="1">ABS(E3)</f>
        <v>1353.5805509558936</v>
      </c>
      <c r="G3" s="25">
        <f t="shared" ref="G3:G66" si="2">F3^2</f>
        <v>1832180.3079260604</v>
      </c>
      <c r="H3" s="30">
        <f t="shared" ref="H3:H66" si="3">F3/C3</f>
        <v>42.299392217371675</v>
      </c>
      <c r="J3" s="4" t="s">
        <v>22</v>
      </c>
      <c r="K3">
        <f>SLOPE(C2:C366,A2:A366)</f>
        <v>1.9084553443412627E-2</v>
      </c>
    </row>
    <row r="4" spans="1:11" ht="15.75" customHeight="1">
      <c r="A4" s="4">
        <v>3</v>
      </c>
      <c r="B4" s="3">
        <v>21553</v>
      </c>
      <c r="C4" s="4">
        <v>30</v>
      </c>
      <c r="D4" s="29">
        <f t="shared" si="0"/>
        <v>1462.5572482312211</v>
      </c>
      <c r="E4" s="25">
        <f>C4-solver_opt</f>
        <v>-1355.5805509558936</v>
      </c>
      <c r="F4" s="25">
        <f t="shared" si="1"/>
        <v>1355.5805509558936</v>
      </c>
      <c r="G4" s="25">
        <f t="shared" si="2"/>
        <v>1837598.630129884</v>
      </c>
      <c r="H4" s="30">
        <f t="shared" si="3"/>
        <v>45.186018365196453</v>
      </c>
    </row>
    <row r="5" spans="1:11" ht="15.75" customHeight="1">
      <c r="A5" s="4">
        <v>4</v>
      </c>
      <c r="B5" s="3">
        <v>21554</v>
      </c>
      <c r="C5" s="4">
        <v>31</v>
      </c>
      <c r="D5" s="29">
        <f t="shared" si="0"/>
        <v>1501.0455968688848</v>
      </c>
      <c r="E5" s="25">
        <f>C5-solver_opt</f>
        <v>-1354.5805509558936</v>
      </c>
      <c r="F5" s="25">
        <f t="shared" si="1"/>
        <v>1354.5805509558936</v>
      </c>
      <c r="G5" s="25">
        <f t="shared" si="2"/>
        <v>1834888.4690279723</v>
      </c>
      <c r="H5" s="30">
        <f t="shared" si="3"/>
        <v>43.696146805028825</v>
      </c>
    </row>
    <row r="6" spans="1:11" ht="15.75" customHeight="1">
      <c r="A6" s="4">
        <v>5</v>
      </c>
      <c r="B6" s="3">
        <v>21555</v>
      </c>
      <c r="C6" s="4">
        <v>44</v>
      </c>
      <c r="D6" s="29">
        <f t="shared" si="0"/>
        <v>1539.5339455065484</v>
      </c>
      <c r="E6" s="25">
        <f>C6-solver_opt</f>
        <v>-1341.5805509558936</v>
      </c>
      <c r="F6" s="25">
        <f t="shared" si="1"/>
        <v>1341.5805509558936</v>
      </c>
      <c r="G6" s="25">
        <f t="shared" si="2"/>
        <v>1799838.374703119</v>
      </c>
      <c r="H6" s="30">
        <f t="shared" si="3"/>
        <v>30.490467067179399</v>
      </c>
      <c r="J6" s="6" t="s">
        <v>7</v>
      </c>
      <c r="K6" s="28">
        <f>AVERAGE(F2:F368)</f>
        <v>1343.5997290380903</v>
      </c>
    </row>
    <row r="7" spans="1:11" ht="15.75" customHeight="1">
      <c r="A7" s="4">
        <v>6</v>
      </c>
      <c r="B7" s="3">
        <v>21556</v>
      </c>
      <c r="C7" s="4">
        <v>29</v>
      </c>
      <c r="D7" s="29">
        <f t="shared" si="0"/>
        <v>1578.0222941442123</v>
      </c>
      <c r="E7" s="25">
        <f>C7-solver_opt</f>
        <v>-1356.5805509558936</v>
      </c>
      <c r="F7" s="25">
        <f t="shared" si="1"/>
        <v>1356.5805509558936</v>
      </c>
      <c r="G7" s="25">
        <f t="shared" si="2"/>
        <v>1840310.7912317959</v>
      </c>
      <c r="H7" s="30">
        <f t="shared" si="3"/>
        <v>46.778639688134263</v>
      </c>
      <c r="J7" s="2" t="s">
        <v>8</v>
      </c>
      <c r="K7" s="25">
        <f>AVERAGE(G2:G366)</f>
        <v>1805314.0808184869</v>
      </c>
    </row>
    <row r="8" spans="1:11" ht="15.75" customHeight="1">
      <c r="A8" s="4">
        <v>7</v>
      </c>
      <c r="B8" s="3">
        <v>21557</v>
      </c>
      <c r="C8" s="4">
        <v>45</v>
      </c>
      <c r="D8" s="29">
        <f t="shared" si="0"/>
        <v>1616.510642781876</v>
      </c>
      <c r="E8" s="25">
        <f>C8-solver_opt</f>
        <v>-1340.5805509558936</v>
      </c>
      <c r="F8" s="25">
        <f t="shared" si="1"/>
        <v>1340.5805509558936</v>
      </c>
      <c r="G8" s="25">
        <f t="shared" si="2"/>
        <v>1797156.2136012074</v>
      </c>
      <c r="H8" s="30">
        <f t="shared" si="3"/>
        <v>29.790678910130968</v>
      </c>
      <c r="J8" s="2" t="s">
        <v>9</v>
      </c>
      <c r="K8" s="5">
        <f>AVERAGE(H2:H366)</f>
        <v>33.03930037705701</v>
      </c>
    </row>
    <row r="9" spans="1:11" ht="15.75" customHeight="1">
      <c r="A9" s="4">
        <v>8</v>
      </c>
      <c r="B9" s="3">
        <v>21558</v>
      </c>
      <c r="C9" s="4">
        <v>43</v>
      </c>
      <c r="D9" s="29">
        <f t="shared" si="0"/>
        <v>1654.9989914195396</v>
      </c>
      <c r="E9" s="25">
        <f>C9-solver_opt</f>
        <v>-1342.5805509558936</v>
      </c>
      <c r="F9" s="25">
        <f t="shared" si="1"/>
        <v>1342.5805509558936</v>
      </c>
      <c r="G9" s="25">
        <f t="shared" si="2"/>
        <v>1802522.535805031</v>
      </c>
      <c r="H9" s="30">
        <f t="shared" si="3"/>
        <v>31.222803510602176</v>
      </c>
      <c r="J9" s="16" t="s">
        <v>10</v>
      </c>
      <c r="K9" s="17">
        <f>100% - K8</f>
        <v>-32.03930037705701</v>
      </c>
    </row>
    <row r="10" spans="1:11" ht="15.75" customHeight="1">
      <c r="A10" s="4">
        <v>9</v>
      </c>
      <c r="B10" s="3">
        <v>21559</v>
      </c>
      <c r="C10" s="4">
        <v>38</v>
      </c>
      <c r="D10" s="29">
        <f t="shared" si="0"/>
        <v>1693.4873400572033</v>
      </c>
      <c r="E10" s="25">
        <f>C10-solver_opt</f>
        <v>-1347.5805509558936</v>
      </c>
      <c r="F10" s="25">
        <f t="shared" si="1"/>
        <v>1347.5805509558936</v>
      </c>
      <c r="G10" s="25">
        <f t="shared" si="2"/>
        <v>1815973.3413145898</v>
      </c>
      <c r="H10" s="30">
        <f t="shared" si="3"/>
        <v>35.462646077786673</v>
      </c>
    </row>
    <row r="11" spans="1:11" ht="15.75" customHeight="1">
      <c r="A11" s="4">
        <v>10</v>
      </c>
      <c r="B11" s="3">
        <v>21560</v>
      </c>
      <c r="C11" s="4">
        <v>27</v>
      </c>
      <c r="D11" s="29">
        <f t="shared" si="0"/>
        <v>1731.9756886948671</v>
      </c>
      <c r="E11" s="25">
        <f>C11-solver_opt</f>
        <v>-1358.5805509558936</v>
      </c>
      <c r="F11" s="25">
        <f t="shared" si="1"/>
        <v>1358.5805509558936</v>
      </c>
      <c r="G11" s="25">
        <f t="shared" si="2"/>
        <v>1845741.1134356195</v>
      </c>
      <c r="H11" s="30">
        <f t="shared" si="3"/>
        <v>50.317798183551616</v>
      </c>
    </row>
    <row r="12" spans="1:11" ht="15.75" customHeight="1">
      <c r="A12" s="4">
        <v>11</v>
      </c>
      <c r="B12" s="3">
        <v>21561</v>
      </c>
      <c r="C12" s="4">
        <v>38</v>
      </c>
      <c r="D12" s="29">
        <f t="shared" si="0"/>
        <v>1770.4640373325308</v>
      </c>
      <c r="E12" s="25">
        <f>C12-solver_opt</f>
        <v>-1347.5805509558936</v>
      </c>
      <c r="F12" s="25">
        <f t="shared" si="1"/>
        <v>1347.5805509558936</v>
      </c>
      <c r="G12" s="25">
        <f t="shared" si="2"/>
        <v>1815973.3413145898</v>
      </c>
      <c r="H12" s="30">
        <f t="shared" si="3"/>
        <v>35.462646077786673</v>
      </c>
    </row>
    <row r="13" spans="1:11" ht="15.75" customHeight="1">
      <c r="A13" s="4">
        <v>12</v>
      </c>
      <c r="B13" s="3">
        <v>21562</v>
      </c>
      <c r="C13" s="4">
        <v>33</v>
      </c>
      <c r="D13" s="29">
        <f t="shared" si="0"/>
        <v>1808.9523859701944</v>
      </c>
      <c r="E13" s="25">
        <f>C13-solver_opt</f>
        <v>-1352.5805509558936</v>
      </c>
      <c r="F13" s="25">
        <f t="shared" si="1"/>
        <v>1352.5805509558936</v>
      </c>
      <c r="G13" s="25">
        <f t="shared" si="2"/>
        <v>1829474.1468241487</v>
      </c>
      <c r="H13" s="30">
        <f t="shared" si="3"/>
        <v>40.987289422905867</v>
      </c>
    </row>
    <row r="14" spans="1:11" ht="15.75" customHeight="1">
      <c r="A14" s="4">
        <v>13</v>
      </c>
      <c r="B14" s="3">
        <v>21563</v>
      </c>
      <c r="C14" s="4">
        <v>55</v>
      </c>
      <c r="D14" s="29">
        <f t="shared" si="0"/>
        <v>1847.4407346078583</v>
      </c>
      <c r="E14" s="25">
        <f>C14-solver_opt</f>
        <v>-1330.5805509558936</v>
      </c>
      <c r="F14" s="25">
        <f t="shared" si="1"/>
        <v>1330.5805509558936</v>
      </c>
      <c r="G14" s="25">
        <f t="shared" si="2"/>
        <v>1770444.6025820894</v>
      </c>
      <c r="H14" s="30">
        <f t="shared" si="3"/>
        <v>24.19237365374352</v>
      </c>
    </row>
    <row r="15" spans="1:11" ht="15.75" customHeight="1">
      <c r="A15" s="4">
        <v>14</v>
      </c>
      <c r="B15" s="3">
        <v>21564</v>
      </c>
      <c r="C15" s="4">
        <v>47</v>
      </c>
      <c r="D15" s="29">
        <f t="shared" si="0"/>
        <v>1885.929083245522</v>
      </c>
      <c r="E15" s="25">
        <f>C15-solver_opt</f>
        <v>-1338.5805509558936</v>
      </c>
      <c r="F15" s="25">
        <f t="shared" si="1"/>
        <v>1338.5805509558936</v>
      </c>
      <c r="G15" s="25">
        <f t="shared" si="2"/>
        <v>1791797.8913973838</v>
      </c>
      <c r="H15" s="30">
        <f t="shared" si="3"/>
        <v>28.480437254380714</v>
      </c>
    </row>
    <row r="16" spans="1:11" ht="15.75" customHeight="1">
      <c r="A16" s="4">
        <v>15</v>
      </c>
      <c r="B16" s="3">
        <v>21565</v>
      </c>
      <c r="C16" s="4">
        <v>45</v>
      </c>
      <c r="D16" s="29">
        <f t="shared" si="0"/>
        <v>1924.4174318831856</v>
      </c>
      <c r="E16" s="25">
        <f>C16-solver_opt</f>
        <v>-1340.5805509558936</v>
      </c>
      <c r="F16" s="25">
        <f t="shared" si="1"/>
        <v>1340.5805509558936</v>
      </c>
      <c r="G16" s="25">
        <f t="shared" si="2"/>
        <v>1797156.2136012074</v>
      </c>
      <c r="H16" s="30">
        <f t="shared" si="3"/>
        <v>29.790678910130968</v>
      </c>
    </row>
    <row r="17" spans="1:8" ht="15.75" customHeight="1">
      <c r="A17" s="4">
        <v>16</v>
      </c>
      <c r="B17" s="3">
        <v>21566</v>
      </c>
      <c r="C17" s="4">
        <v>37</v>
      </c>
      <c r="D17" s="29">
        <f t="shared" si="0"/>
        <v>1962.9057805208492</v>
      </c>
      <c r="E17" s="25">
        <f>C17-solver_opt</f>
        <v>-1348.5805509558936</v>
      </c>
      <c r="F17" s="25">
        <f t="shared" si="1"/>
        <v>1348.5805509558936</v>
      </c>
      <c r="G17" s="25">
        <f t="shared" si="2"/>
        <v>1818669.5024165015</v>
      </c>
      <c r="H17" s="30">
        <f t="shared" si="3"/>
        <v>36.448122998807932</v>
      </c>
    </row>
    <row r="18" spans="1:8" ht="15.75" customHeight="1">
      <c r="A18" s="4">
        <v>17</v>
      </c>
      <c r="B18" s="3">
        <v>21567</v>
      </c>
      <c r="C18" s="4">
        <v>50</v>
      </c>
      <c r="D18" s="29">
        <f t="shared" si="0"/>
        <v>2001.3941291585131</v>
      </c>
      <c r="E18" s="25">
        <f>C18-solver_opt</f>
        <v>-1335.5805509558936</v>
      </c>
      <c r="F18" s="25">
        <f t="shared" si="1"/>
        <v>1335.5805509558936</v>
      </c>
      <c r="G18" s="25">
        <f t="shared" si="2"/>
        <v>1783775.4080916482</v>
      </c>
      <c r="H18" s="30">
        <f t="shared" si="3"/>
        <v>26.711611019117871</v>
      </c>
    </row>
    <row r="19" spans="1:8" ht="15.75" customHeight="1">
      <c r="A19" s="4">
        <v>18</v>
      </c>
      <c r="B19" s="3">
        <v>21568</v>
      </c>
      <c r="C19" s="4">
        <v>43</v>
      </c>
      <c r="D19" s="29">
        <f t="shared" si="0"/>
        <v>2039.8824777961768</v>
      </c>
      <c r="E19" s="25">
        <f>C19-solver_opt</f>
        <v>-1342.5805509558936</v>
      </c>
      <c r="F19" s="25">
        <f t="shared" si="1"/>
        <v>1342.5805509558936</v>
      </c>
      <c r="G19" s="25">
        <f t="shared" si="2"/>
        <v>1802522.535805031</v>
      </c>
      <c r="H19" s="30">
        <f t="shared" si="3"/>
        <v>31.222803510602176</v>
      </c>
    </row>
    <row r="20" spans="1:8" ht="15.75" customHeight="1">
      <c r="A20" s="4">
        <v>19</v>
      </c>
      <c r="B20" s="3">
        <v>21569</v>
      </c>
      <c r="C20" s="4">
        <v>41</v>
      </c>
      <c r="D20" s="29">
        <f t="shared" si="0"/>
        <v>2078.3708264338406</v>
      </c>
      <c r="E20" s="25">
        <f>C20-solver_opt</f>
        <v>-1344.5805509558936</v>
      </c>
      <c r="F20" s="25">
        <f t="shared" si="1"/>
        <v>1344.5805509558936</v>
      </c>
      <c r="G20" s="25">
        <f t="shared" si="2"/>
        <v>1807896.8580088543</v>
      </c>
      <c r="H20" s="30">
        <f t="shared" si="3"/>
        <v>32.79464758429009</v>
      </c>
    </row>
    <row r="21" spans="1:8" ht="15.75" customHeight="1">
      <c r="A21" s="4">
        <v>20</v>
      </c>
      <c r="B21" s="3">
        <v>21570</v>
      </c>
      <c r="C21" s="4">
        <v>52</v>
      </c>
      <c r="D21" s="29">
        <f t="shared" si="0"/>
        <v>2116.8591750715041</v>
      </c>
      <c r="E21" s="25">
        <f>C21-solver_opt</f>
        <v>-1333.5805509558936</v>
      </c>
      <c r="F21" s="25">
        <f t="shared" si="1"/>
        <v>1333.5805509558936</v>
      </c>
      <c r="G21" s="25">
        <f t="shared" si="2"/>
        <v>1778437.0858878247</v>
      </c>
      <c r="H21" s="30">
        <f t="shared" si="3"/>
        <v>25.645779826074879</v>
      </c>
    </row>
    <row r="22" spans="1:8" ht="15.75" customHeight="1">
      <c r="A22" s="4">
        <v>21</v>
      </c>
      <c r="B22" s="3">
        <v>21571</v>
      </c>
      <c r="C22" s="4">
        <v>34</v>
      </c>
      <c r="D22" s="29">
        <f t="shared" si="0"/>
        <v>2155.3475237091679</v>
      </c>
      <c r="E22" s="25">
        <f>C22-solver_opt</f>
        <v>-1351.5805509558936</v>
      </c>
      <c r="F22" s="25">
        <f t="shared" si="1"/>
        <v>1351.5805509558936</v>
      </c>
      <c r="G22" s="25">
        <f t="shared" si="2"/>
        <v>1826769.985722237</v>
      </c>
      <c r="H22" s="30">
        <f t="shared" si="3"/>
        <v>39.752369145761577</v>
      </c>
    </row>
    <row r="23" spans="1:8" ht="15.75" customHeight="1">
      <c r="A23" s="4">
        <v>22</v>
      </c>
      <c r="B23" s="3">
        <v>21572</v>
      </c>
      <c r="C23" s="4">
        <v>53</v>
      </c>
      <c r="D23" s="29">
        <f t="shared" si="0"/>
        <v>2193.8358723468318</v>
      </c>
      <c r="E23" s="25">
        <f>C23-solver_opt</f>
        <v>-1332.5805509558936</v>
      </c>
      <c r="F23" s="25">
        <f t="shared" si="1"/>
        <v>1332.5805509558936</v>
      </c>
      <c r="G23" s="25">
        <f t="shared" si="2"/>
        <v>1775770.924785913</v>
      </c>
      <c r="H23" s="30">
        <f t="shared" si="3"/>
        <v>25.143029263318748</v>
      </c>
    </row>
    <row r="24" spans="1:8" ht="15.75" customHeight="1">
      <c r="A24" s="4">
        <v>23</v>
      </c>
      <c r="B24" s="3">
        <v>21573</v>
      </c>
      <c r="C24" s="4">
        <v>39</v>
      </c>
      <c r="D24" s="29">
        <f t="shared" si="0"/>
        <v>2232.3242209844952</v>
      </c>
      <c r="E24" s="25">
        <f>C24-solver_opt</f>
        <v>-1346.5805509558936</v>
      </c>
      <c r="F24" s="25">
        <f t="shared" si="1"/>
        <v>1346.5805509558936</v>
      </c>
      <c r="G24" s="25">
        <f t="shared" si="2"/>
        <v>1813279.1802126779</v>
      </c>
      <c r="H24" s="30">
        <f t="shared" si="3"/>
        <v>34.5277064347665</v>
      </c>
    </row>
    <row r="25" spans="1:8" ht="15.75" customHeight="1">
      <c r="A25" s="4">
        <v>24</v>
      </c>
      <c r="B25" s="3">
        <v>21574</v>
      </c>
      <c r="C25" s="4">
        <v>32</v>
      </c>
      <c r="D25" s="29">
        <f t="shared" si="0"/>
        <v>2270.8125696221591</v>
      </c>
      <c r="E25" s="25">
        <f>C25-solver_opt</f>
        <v>-1353.5805509558936</v>
      </c>
      <c r="F25" s="25">
        <f t="shared" si="1"/>
        <v>1353.5805509558936</v>
      </c>
      <c r="G25" s="25">
        <f t="shared" si="2"/>
        <v>1832180.3079260604</v>
      </c>
      <c r="H25" s="30">
        <f t="shared" si="3"/>
        <v>42.299392217371675</v>
      </c>
    </row>
    <row r="26" spans="1:8" ht="15.75" customHeight="1">
      <c r="A26" s="4">
        <v>25</v>
      </c>
      <c r="B26" s="3">
        <v>21575</v>
      </c>
      <c r="C26" s="4">
        <v>37</v>
      </c>
      <c r="D26" s="29">
        <f t="shared" si="0"/>
        <v>2309.3009182598225</v>
      </c>
      <c r="E26" s="25">
        <f>C26-solver_opt</f>
        <v>-1348.5805509558936</v>
      </c>
      <c r="F26" s="25">
        <f t="shared" si="1"/>
        <v>1348.5805509558936</v>
      </c>
      <c r="G26" s="25">
        <f t="shared" si="2"/>
        <v>1818669.5024165015</v>
      </c>
      <c r="H26" s="30">
        <f t="shared" si="3"/>
        <v>36.448122998807932</v>
      </c>
    </row>
    <row r="27" spans="1:8" ht="15.75" customHeight="1">
      <c r="A27" s="4">
        <v>26</v>
      </c>
      <c r="B27" s="3">
        <v>21576</v>
      </c>
      <c r="C27" s="4">
        <v>43</v>
      </c>
      <c r="D27" s="29">
        <f t="shared" si="0"/>
        <v>2347.7892668974864</v>
      </c>
      <c r="E27" s="25">
        <f>C27-solver_opt</f>
        <v>-1342.5805509558936</v>
      </c>
      <c r="F27" s="25">
        <f t="shared" si="1"/>
        <v>1342.5805509558936</v>
      </c>
      <c r="G27" s="25">
        <f t="shared" si="2"/>
        <v>1802522.535805031</v>
      </c>
      <c r="H27" s="30">
        <f t="shared" si="3"/>
        <v>31.222803510602176</v>
      </c>
    </row>
    <row r="28" spans="1:8" ht="15.75" customHeight="1">
      <c r="A28" s="4">
        <v>27</v>
      </c>
      <c r="B28" s="3">
        <v>21577</v>
      </c>
      <c r="C28" s="4">
        <v>39</v>
      </c>
      <c r="D28" s="29">
        <f t="shared" si="0"/>
        <v>2386.2776155351503</v>
      </c>
      <c r="E28" s="25">
        <f>C28-solver_opt</f>
        <v>-1346.5805509558936</v>
      </c>
      <c r="F28" s="25">
        <f t="shared" si="1"/>
        <v>1346.5805509558936</v>
      </c>
      <c r="G28" s="25">
        <f t="shared" si="2"/>
        <v>1813279.1802126779</v>
      </c>
      <c r="H28" s="30">
        <f t="shared" si="3"/>
        <v>34.5277064347665</v>
      </c>
    </row>
    <row r="29" spans="1:8" ht="15.75" customHeight="1">
      <c r="A29" s="4">
        <v>28</v>
      </c>
      <c r="B29" s="3">
        <v>21578</v>
      </c>
      <c r="C29" s="4">
        <v>35</v>
      </c>
      <c r="D29" s="29">
        <f t="shared" si="0"/>
        <v>2424.7659641728137</v>
      </c>
      <c r="E29" s="25">
        <f>C29-solver_opt</f>
        <v>-1350.5805509558936</v>
      </c>
      <c r="F29" s="25">
        <f t="shared" si="1"/>
        <v>1350.5805509558936</v>
      </c>
      <c r="G29" s="25">
        <f t="shared" si="2"/>
        <v>1824067.8246203251</v>
      </c>
      <c r="H29" s="30">
        <f t="shared" si="3"/>
        <v>38.588015741596962</v>
      </c>
    </row>
    <row r="30" spans="1:8" ht="15.75" customHeight="1">
      <c r="A30" s="4">
        <v>29</v>
      </c>
      <c r="B30" s="3">
        <v>21579</v>
      </c>
      <c r="C30" s="4">
        <v>44</v>
      </c>
      <c r="D30" s="29">
        <f t="shared" si="0"/>
        <v>2463.2543128104776</v>
      </c>
      <c r="E30" s="25">
        <f>C30-solver_opt</f>
        <v>-1341.5805509558936</v>
      </c>
      <c r="F30" s="25">
        <f t="shared" si="1"/>
        <v>1341.5805509558936</v>
      </c>
      <c r="G30" s="25">
        <f t="shared" si="2"/>
        <v>1799838.374703119</v>
      </c>
      <c r="H30" s="30">
        <f t="shared" si="3"/>
        <v>30.490467067179399</v>
      </c>
    </row>
    <row r="31" spans="1:8" ht="15.75" customHeight="1">
      <c r="A31" s="4">
        <v>30</v>
      </c>
      <c r="B31" s="3">
        <v>21580</v>
      </c>
      <c r="C31" s="4">
        <v>38</v>
      </c>
      <c r="D31" s="29">
        <f t="shared" si="0"/>
        <v>2501.7426614481415</v>
      </c>
      <c r="E31" s="25">
        <f>C31-solver_opt</f>
        <v>-1347.5805509558936</v>
      </c>
      <c r="F31" s="25">
        <f t="shared" si="1"/>
        <v>1347.5805509558936</v>
      </c>
      <c r="G31" s="25">
        <f t="shared" si="2"/>
        <v>1815973.3413145898</v>
      </c>
      <c r="H31" s="30">
        <f t="shared" si="3"/>
        <v>35.462646077786673</v>
      </c>
    </row>
    <row r="32" spans="1:8" ht="15.75" customHeight="1">
      <c r="A32" s="4">
        <v>31</v>
      </c>
      <c r="B32" s="3">
        <v>21581</v>
      </c>
      <c r="C32" s="4">
        <v>24</v>
      </c>
      <c r="D32" s="29">
        <f t="shared" si="0"/>
        <v>2540.2310100858049</v>
      </c>
      <c r="E32" s="25">
        <f>C32-solver_opt</f>
        <v>-1361.5805509558936</v>
      </c>
      <c r="F32" s="25">
        <f t="shared" si="1"/>
        <v>1361.5805509558936</v>
      </c>
      <c r="G32" s="25">
        <f t="shared" si="2"/>
        <v>1853901.5967413548</v>
      </c>
      <c r="H32" s="30">
        <f t="shared" si="3"/>
        <v>56.732522956495565</v>
      </c>
    </row>
    <row r="33" spans="1:8" ht="15.75" customHeight="1">
      <c r="A33" s="4">
        <v>32</v>
      </c>
      <c r="B33" s="3">
        <v>21582</v>
      </c>
      <c r="C33" s="4">
        <v>23</v>
      </c>
      <c r="D33" s="29">
        <f t="shared" si="0"/>
        <v>2578.7193587234688</v>
      </c>
      <c r="E33" s="25">
        <f>C33-solver_opt</f>
        <v>-1362.5805509558936</v>
      </c>
      <c r="F33" s="25">
        <f t="shared" si="1"/>
        <v>1362.5805509558936</v>
      </c>
      <c r="G33" s="25">
        <f t="shared" si="2"/>
        <v>1856625.7578432667</v>
      </c>
      <c r="H33" s="30">
        <f t="shared" si="3"/>
        <v>59.242632650256247</v>
      </c>
    </row>
    <row r="34" spans="1:8" ht="15.75" customHeight="1">
      <c r="A34" s="4">
        <v>33</v>
      </c>
      <c r="B34" s="3">
        <v>21583</v>
      </c>
      <c r="C34" s="4">
        <v>31</v>
      </c>
      <c r="D34" s="29">
        <f t="shared" si="0"/>
        <v>2617.2077073611326</v>
      </c>
      <c r="E34" s="25">
        <f>C34-solver_opt</f>
        <v>-1354.5805509558936</v>
      </c>
      <c r="F34" s="25">
        <f t="shared" si="1"/>
        <v>1354.5805509558936</v>
      </c>
      <c r="G34" s="25">
        <f t="shared" si="2"/>
        <v>1834888.4690279723</v>
      </c>
      <c r="H34" s="30">
        <f t="shared" si="3"/>
        <v>43.696146805028825</v>
      </c>
    </row>
    <row r="35" spans="1:8" ht="15.75" customHeight="1">
      <c r="A35" s="4">
        <v>34</v>
      </c>
      <c r="B35" s="3">
        <v>21584</v>
      </c>
      <c r="C35" s="4">
        <v>44</v>
      </c>
      <c r="D35" s="29">
        <f t="shared" si="0"/>
        <v>2655.6960559987961</v>
      </c>
      <c r="E35" s="25">
        <f>C35-solver_opt</f>
        <v>-1341.5805509558936</v>
      </c>
      <c r="F35" s="25">
        <f t="shared" si="1"/>
        <v>1341.5805509558936</v>
      </c>
      <c r="G35" s="25">
        <f t="shared" si="2"/>
        <v>1799838.374703119</v>
      </c>
      <c r="H35" s="30">
        <f t="shared" si="3"/>
        <v>30.490467067179399</v>
      </c>
    </row>
    <row r="36" spans="1:8" ht="15.75" customHeight="1">
      <c r="A36" s="4">
        <v>35</v>
      </c>
      <c r="B36" s="3">
        <v>21585</v>
      </c>
      <c r="C36" s="4">
        <v>38</v>
      </c>
      <c r="D36" s="29">
        <f t="shared" si="0"/>
        <v>2694.1844046364599</v>
      </c>
      <c r="E36" s="25">
        <f>C36-solver_opt</f>
        <v>-1347.5805509558936</v>
      </c>
      <c r="F36" s="25">
        <f t="shared" si="1"/>
        <v>1347.5805509558936</v>
      </c>
      <c r="G36" s="25">
        <f t="shared" si="2"/>
        <v>1815973.3413145898</v>
      </c>
      <c r="H36" s="30">
        <f t="shared" si="3"/>
        <v>35.462646077786673</v>
      </c>
    </row>
    <row r="37" spans="1:8" ht="15.75" customHeight="1">
      <c r="A37" s="4">
        <v>36</v>
      </c>
      <c r="B37" s="3">
        <v>21586</v>
      </c>
      <c r="C37" s="4">
        <v>50</v>
      </c>
      <c r="D37" s="29">
        <f t="shared" si="0"/>
        <v>2732.6727532741234</v>
      </c>
      <c r="E37" s="25">
        <f>C37-solver_opt</f>
        <v>-1335.5805509558936</v>
      </c>
      <c r="F37" s="25">
        <f t="shared" si="1"/>
        <v>1335.5805509558936</v>
      </c>
      <c r="G37" s="25">
        <f t="shared" si="2"/>
        <v>1783775.4080916482</v>
      </c>
      <c r="H37" s="30">
        <f t="shared" si="3"/>
        <v>26.711611019117871</v>
      </c>
    </row>
    <row r="38" spans="1:8" ht="15.75" customHeight="1">
      <c r="A38" s="4">
        <v>37</v>
      </c>
      <c r="B38" s="3">
        <v>21587</v>
      </c>
      <c r="C38" s="4">
        <v>38</v>
      </c>
      <c r="D38" s="29">
        <f t="shared" si="0"/>
        <v>2771.1611019117872</v>
      </c>
      <c r="E38" s="25">
        <f>C38-solver_opt</f>
        <v>-1347.5805509558936</v>
      </c>
      <c r="F38" s="25">
        <f t="shared" si="1"/>
        <v>1347.5805509558936</v>
      </c>
      <c r="G38" s="25">
        <f t="shared" si="2"/>
        <v>1815973.3413145898</v>
      </c>
      <c r="H38" s="30">
        <f t="shared" si="3"/>
        <v>35.462646077786673</v>
      </c>
    </row>
    <row r="39" spans="1:8" ht="15.75" customHeight="1">
      <c r="A39" s="4">
        <v>38</v>
      </c>
      <c r="B39" s="3">
        <v>21588</v>
      </c>
      <c r="C39" s="4">
        <v>51</v>
      </c>
      <c r="D39" s="29">
        <f t="shared" si="0"/>
        <v>2809.6494505494511</v>
      </c>
      <c r="E39" s="25">
        <f>C39-solver_opt</f>
        <v>-1334.5805509558936</v>
      </c>
      <c r="F39" s="25">
        <f t="shared" si="1"/>
        <v>1334.5805509558936</v>
      </c>
      <c r="G39" s="25">
        <f t="shared" si="2"/>
        <v>1781105.2469897366</v>
      </c>
      <c r="H39" s="30">
        <f t="shared" si="3"/>
        <v>26.168246097174386</v>
      </c>
    </row>
    <row r="40" spans="1:8" ht="15.75" customHeight="1">
      <c r="A40" s="4">
        <v>39</v>
      </c>
      <c r="B40" s="3">
        <v>21589</v>
      </c>
      <c r="C40" s="4">
        <v>31</v>
      </c>
      <c r="D40" s="29">
        <f t="shared" si="0"/>
        <v>2848.1377991871145</v>
      </c>
      <c r="E40" s="25">
        <f>C40-solver_opt</f>
        <v>-1354.5805509558936</v>
      </c>
      <c r="F40" s="25">
        <f t="shared" si="1"/>
        <v>1354.5805509558936</v>
      </c>
      <c r="G40" s="25">
        <f t="shared" si="2"/>
        <v>1834888.4690279723</v>
      </c>
      <c r="H40" s="30">
        <f t="shared" si="3"/>
        <v>43.696146805028825</v>
      </c>
    </row>
    <row r="41" spans="1:8" ht="15.75" customHeight="1">
      <c r="A41" s="4">
        <v>40</v>
      </c>
      <c r="B41" s="3">
        <v>21590</v>
      </c>
      <c r="C41" s="4">
        <v>31</v>
      </c>
      <c r="D41" s="29">
        <f t="shared" si="0"/>
        <v>2886.6261478247784</v>
      </c>
      <c r="E41" s="25">
        <f>C41-solver_opt</f>
        <v>-1354.5805509558936</v>
      </c>
      <c r="F41" s="25">
        <f t="shared" si="1"/>
        <v>1354.5805509558936</v>
      </c>
      <c r="G41" s="25">
        <f t="shared" si="2"/>
        <v>1834888.4690279723</v>
      </c>
      <c r="H41" s="30">
        <f t="shared" si="3"/>
        <v>43.696146805028825</v>
      </c>
    </row>
    <row r="42" spans="1:8" ht="15.75" customHeight="1">
      <c r="A42" s="4">
        <v>41</v>
      </c>
      <c r="B42" s="3">
        <v>21591</v>
      </c>
      <c r="C42" s="4">
        <v>51</v>
      </c>
      <c r="D42" s="29">
        <f t="shared" si="0"/>
        <v>2925.1144964624423</v>
      </c>
      <c r="E42" s="25">
        <f>C42-solver_opt</f>
        <v>-1334.5805509558936</v>
      </c>
      <c r="F42" s="25">
        <f t="shared" si="1"/>
        <v>1334.5805509558936</v>
      </c>
      <c r="G42" s="25">
        <f t="shared" si="2"/>
        <v>1781105.2469897366</v>
      </c>
      <c r="H42" s="30">
        <f t="shared" si="3"/>
        <v>26.168246097174386</v>
      </c>
    </row>
    <row r="43" spans="1:8" ht="15.75" customHeight="1">
      <c r="A43" s="4">
        <v>42</v>
      </c>
      <c r="B43" s="3">
        <v>21592</v>
      </c>
      <c r="C43" s="4">
        <v>36</v>
      </c>
      <c r="D43" s="29">
        <f t="shared" si="0"/>
        <v>2963.6028451001057</v>
      </c>
      <c r="E43" s="25">
        <f>C43-solver_opt</f>
        <v>-1349.5805509558936</v>
      </c>
      <c r="F43" s="25">
        <f t="shared" si="1"/>
        <v>1349.5805509558936</v>
      </c>
      <c r="G43" s="25">
        <f t="shared" si="2"/>
        <v>1821367.6635184134</v>
      </c>
      <c r="H43" s="30">
        <f t="shared" si="3"/>
        <v>37.488348637663712</v>
      </c>
    </row>
    <row r="44" spans="1:8" ht="15.75" customHeight="1">
      <c r="A44" s="4">
        <v>43</v>
      </c>
      <c r="B44" s="3">
        <v>21593</v>
      </c>
      <c r="C44" s="4">
        <v>45</v>
      </c>
      <c r="D44" s="29">
        <f t="shared" si="0"/>
        <v>3002.0911937377696</v>
      </c>
      <c r="E44" s="25">
        <f>C44-solver_opt</f>
        <v>-1340.5805509558936</v>
      </c>
      <c r="F44" s="25">
        <f t="shared" si="1"/>
        <v>1340.5805509558936</v>
      </c>
      <c r="G44" s="25">
        <f t="shared" si="2"/>
        <v>1797156.2136012074</v>
      </c>
      <c r="H44" s="30">
        <f t="shared" si="3"/>
        <v>29.790678910130968</v>
      </c>
    </row>
    <row r="45" spans="1:8" ht="15.75" customHeight="1">
      <c r="A45" s="4">
        <v>44</v>
      </c>
      <c r="B45" s="3">
        <v>21594</v>
      </c>
      <c r="C45" s="4">
        <v>51</v>
      </c>
      <c r="D45" s="29">
        <f t="shared" si="0"/>
        <v>3040.5795423754334</v>
      </c>
      <c r="E45" s="25">
        <f>C45-solver_opt</f>
        <v>-1334.5805509558936</v>
      </c>
      <c r="F45" s="25">
        <f t="shared" si="1"/>
        <v>1334.5805509558936</v>
      </c>
      <c r="G45" s="25">
        <f t="shared" si="2"/>
        <v>1781105.2469897366</v>
      </c>
      <c r="H45" s="30">
        <f t="shared" si="3"/>
        <v>26.168246097174386</v>
      </c>
    </row>
    <row r="46" spans="1:8" ht="15.75" customHeight="1">
      <c r="A46" s="4">
        <v>45</v>
      </c>
      <c r="B46" s="3">
        <v>21595</v>
      </c>
      <c r="C46" s="4">
        <v>34</v>
      </c>
      <c r="D46" s="29">
        <f t="shared" si="0"/>
        <v>3079.0678910130969</v>
      </c>
      <c r="E46" s="25">
        <f>C46-solver_opt</f>
        <v>-1351.5805509558936</v>
      </c>
      <c r="F46" s="25">
        <f t="shared" si="1"/>
        <v>1351.5805509558936</v>
      </c>
      <c r="G46" s="25">
        <f t="shared" si="2"/>
        <v>1826769.985722237</v>
      </c>
      <c r="H46" s="30">
        <f t="shared" si="3"/>
        <v>39.752369145761577</v>
      </c>
    </row>
    <row r="47" spans="1:8" ht="15.75" customHeight="1">
      <c r="A47" s="4">
        <v>46</v>
      </c>
      <c r="B47" s="3">
        <v>21596</v>
      </c>
      <c r="C47" s="4">
        <v>52</v>
      </c>
      <c r="D47" s="29">
        <f t="shared" si="0"/>
        <v>3117.5562396507607</v>
      </c>
      <c r="E47" s="25">
        <f>C47-solver_opt</f>
        <v>-1333.5805509558936</v>
      </c>
      <c r="F47" s="25">
        <f t="shared" si="1"/>
        <v>1333.5805509558936</v>
      </c>
      <c r="G47" s="25">
        <f t="shared" si="2"/>
        <v>1778437.0858878247</v>
      </c>
      <c r="H47" s="30">
        <f t="shared" si="3"/>
        <v>25.645779826074879</v>
      </c>
    </row>
    <row r="48" spans="1:8" ht="15.75" customHeight="1">
      <c r="A48" s="4">
        <v>47</v>
      </c>
      <c r="B48" s="3">
        <v>21597</v>
      </c>
      <c r="C48" s="4">
        <v>47</v>
      </c>
      <c r="D48" s="29">
        <f t="shared" si="0"/>
        <v>3156.0445882884246</v>
      </c>
      <c r="E48" s="25">
        <f>C48-solver_opt</f>
        <v>-1338.5805509558936</v>
      </c>
      <c r="F48" s="25">
        <f t="shared" si="1"/>
        <v>1338.5805509558936</v>
      </c>
      <c r="G48" s="25">
        <f t="shared" si="2"/>
        <v>1791797.8913973838</v>
      </c>
      <c r="H48" s="30">
        <f t="shared" si="3"/>
        <v>28.480437254380714</v>
      </c>
    </row>
    <row r="49" spans="1:8" ht="15.75" customHeight="1">
      <c r="A49" s="4">
        <v>48</v>
      </c>
      <c r="B49" s="3">
        <v>21598</v>
      </c>
      <c r="C49" s="4">
        <v>45</v>
      </c>
      <c r="D49" s="29">
        <f t="shared" si="0"/>
        <v>3194.532936926088</v>
      </c>
      <c r="E49" s="25">
        <f>C49-solver_opt</f>
        <v>-1340.5805509558936</v>
      </c>
      <c r="F49" s="25">
        <f t="shared" si="1"/>
        <v>1340.5805509558936</v>
      </c>
      <c r="G49" s="25">
        <f t="shared" si="2"/>
        <v>1797156.2136012074</v>
      </c>
      <c r="H49" s="30">
        <f t="shared" si="3"/>
        <v>29.790678910130968</v>
      </c>
    </row>
    <row r="50" spans="1:8" ht="15.75" customHeight="1">
      <c r="A50" s="4">
        <v>49</v>
      </c>
      <c r="B50" s="3">
        <v>21599</v>
      </c>
      <c r="C50" s="4">
        <v>46</v>
      </c>
      <c r="D50" s="29">
        <f t="shared" si="0"/>
        <v>3233.0212855637519</v>
      </c>
      <c r="E50" s="25">
        <f>C50-solver_opt</f>
        <v>-1339.5805509558936</v>
      </c>
      <c r="F50" s="25">
        <f t="shared" si="1"/>
        <v>1339.5805509558936</v>
      </c>
      <c r="G50" s="25">
        <f t="shared" si="2"/>
        <v>1794476.0524992954</v>
      </c>
      <c r="H50" s="30">
        <f t="shared" si="3"/>
        <v>29.121316325128124</v>
      </c>
    </row>
    <row r="51" spans="1:8" ht="15.75" customHeight="1">
      <c r="A51" s="4">
        <v>50</v>
      </c>
      <c r="B51" s="3">
        <v>21600</v>
      </c>
      <c r="C51" s="4">
        <v>39</v>
      </c>
      <c r="D51" s="29">
        <f t="shared" si="0"/>
        <v>3271.5096342014153</v>
      </c>
      <c r="E51" s="25">
        <f>C51-solver_opt</f>
        <v>-1346.5805509558936</v>
      </c>
      <c r="F51" s="25">
        <f t="shared" si="1"/>
        <v>1346.5805509558936</v>
      </c>
      <c r="G51" s="25">
        <f t="shared" si="2"/>
        <v>1813279.1802126779</v>
      </c>
      <c r="H51" s="30">
        <f t="shared" si="3"/>
        <v>34.5277064347665</v>
      </c>
    </row>
    <row r="52" spans="1:8" ht="15.75" customHeight="1">
      <c r="A52" s="4">
        <v>51</v>
      </c>
      <c r="B52" s="3">
        <v>21601</v>
      </c>
      <c r="C52" s="4">
        <v>48</v>
      </c>
      <c r="D52" s="29">
        <f t="shared" si="0"/>
        <v>3309.9979828390792</v>
      </c>
      <c r="E52" s="25">
        <f>C52-solver_opt</f>
        <v>-1337.5805509558936</v>
      </c>
      <c r="F52" s="25">
        <f t="shared" si="1"/>
        <v>1337.5805509558936</v>
      </c>
      <c r="G52" s="25">
        <f t="shared" si="2"/>
        <v>1789121.7302954718</v>
      </c>
      <c r="H52" s="30">
        <f t="shared" si="3"/>
        <v>27.866261478247782</v>
      </c>
    </row>
    <row r="53" spans="1:8" ht="15.75" customHeight="1">
      <c r="A53" s="4">
        <v>52</v>
      </c>
      <c r="B53" s="3">
        <v>21602</v>
      </c>
      <c r="C53" s="4">
        <v>37</v>
      </c>
      <c r="D53" s="29">
        <f t="shared" si="0"/>
        <v>3348.4863314767431</v>
      </c>
      <c r="E53" s="25">
        <f>C53-solver_opt</f>
        <v>-1348.5805509558936</v>
      </c>
      <c r="F53" s="25">
        <f t="shared" si="1"/>
        <v>1348.5805509558936</v>
      </c>
      <c r="G53" s="25">
        <f t="shared" si="2"/>
        <v>1818669.5024165015</v>
      </c>
      <c r="H53" s="30">
        <f t="shared" si="3"/>
        <v>36.448122998807932</v>
      </c>
    </row>
    <row r="54" spans="1:8" ht="15.75" customHeight="1">
      <c r="A54" s="4">
        <v>53</v>
      </c>
      <c r="B54" s="3">
        <v>21603</v>
      </c>
      <c r="C54" s="4">
        <v>35</v>
      </c>
      <c r="D54" s="29">
        <f t="shared" si="0"/>
        <v>3386.9746801144065</v>
      </c>
      <c r="E54" s="25">
        <f>C54-solver_opt</f>
        <v>-1350.5805509558936</v>
      </c>
      <c r="F54" s="25">
        <f t="shared" si="1"/>
        <v>1350.5805509558936</v>
      </c>
      <c r="G54" s="25">
        <f t="shared" si="2"/>
        <v>1824067.8246203251</v>
      </c>
      <c r="H54" s="30">
        <f t="shared" si="3"/>
        <v>38.588015741596962</v>
      </c>
    </row>
    <row r="55" spans="1:8" ht="15.75" customHeight="1">
      <c r="A55" s="4">
        <v>54</v>
      </c>
      <c r="B55" s="3">
        <v>21604</v>
      </c>
      <c r="C55" s="4">
        <v>52</v>
      </c>
      <c r="D55" s="29">
        <f t="shared" si="0"/>
        <v>3425.4630287520704</v>
      </c>
      <c r="E55" s="25">
        <f>C55-solver_opt</f>
        <v>-1333.5805509558936</v>
      </c>
      <c r="F55" s="25">
        <f t="shared" si="1"/>
        <v>1333.5805509558936</v>
      </c>
      <c r="G55" s="25">
        <f t="shared" si="2"/>
        <v>1778437.0858878247</v>
      </c>
      <c r="H55" s="30">
        <f t="shared" si="3"/>
        <v>25.645779826074879</v>
      </c>
    </row>
    <row r="56" spans="1:8" ht="15.75" customHeight="1">
      <c r="A56" s="4">
        <v>55</v>
      </c>
      <c r="B56" s="3">
        <v>21605</v>
      </c>
      <c r="C56" s="4">
        <v>42</v>
      </c>
      <c r="D56" s="29">
        <f t="shared" si="0"/>
        <v>3463.9513773897343</v>
      </c>
      <c r="E56" s="25">
        <f>C56-solver_opt</f>
        <v>-1343.5805509558936</v>
      </c>
      <c r="F56" s="25">
        <f t="shared" si="1"/>
        <v>1343.5805509558936</v>
      </c>
      <c r="G56" s="25">
        <f t="shared" si="2"/>
        <v>1805208.6969069426</v>
      </c>
      <c r="H56" s="30">
        <f t="shared" si="3"/>
        <v>31.990013117997467</v>
      </c>
    </row>
    <row r="57" spans="1:8" ht="15.75" customHeight="1">
      <c r="A57" s="4">
        <v>56</v>
      </c>
      <c r="B57" s="3">
        <v>21606</v>
      </c>
      <c r="C57" s="4">
        <v>45</v>
      </c>
      <c r="D57" s="29">
        <f t="shared" si="0"/>
        <v>3502.4397260273977</v>
      </c>
      <c r="E57" s="25">
        <f>C57-solver_opt</f>
        <v>-1340.5805509558936</v>
      </c>
      <c r="F57" s="25">
        <f t="shared" si="1"/>
        <v>1340.5805509558936</v>
      </c>
      <c r="G57" s="25">
        <f t="shared" si="2"/>
        <v>1797156.2136012074</v>
      </c>
      <c r="H57" s="30">
        <f t="shared" si="3"/>
        <v>29.790678910130968</v>
      </c>
    </row>
    <row r="58" spans="1:8" ht="15.75" customHeight="1">
      <c r="A58" s="4">
        <v>57</v>
      </c>
      <c r="B58" s="3">
        <v>21607</v>
      </c>
      <c r="C58" s="4">
        <v>39</v>
      </c>
      <c r="D58" s="29">
        <f t="shared" si="0"/>
        <v>3540.9280746650616</v>
      </c>
      <c r="E58" s="25">
        <f>C58-solver_opt</f>
        <v>-1346.5805509558936</v>
      </c>
      <c r="F58" s="25">
        <f t="shared" si="1"/>
        <v>1346.5805509558936</v>
      </c>
      <c r="G58" s="25">
        <f t="shared" si="2"/>
        <v>1813279.1802126779</v>
      </c>
      <c r="H58" s="30">
        <f t="shared" si="3"/>
        <v>34.5277064347665</v>
      </c>
    </row>
    <row r="59" spans="1:8" ht="15.75" customHeight="1">
      <c r="A59" s="4">
        <v>58</v>
      </c>
      <c r="B59" s="3">
        <v>21608</v>
      </c>
      <c r="C59" s="4">
        <v>37</v>
      </c>
      <c r="D59" s="29">
        <f t="shared" si="0"/>
        <v>3579.4164233027254</v>
      </c>
      <c r="E59" s="25">
        <f>C59-solver_opt</f>
        <v>-1348.5805509558936</v>
      </c>
      <c r="F59" s="25">
        <f t="shared" si="1"/>
        <v>1348.5805509558936</v>
      </c>
      <c r="G59" s="25">
        <f t="shared" si="2"/>
        <v>1818669.5024165015</v>
      </c>
      <c r="H59" s="30">
        <f t="shared" si="3"/>
        <v>36.448122998807932</v>
      </c>
    </row>
    <row r="60" spans="1:8" ht="15.75" customHeight="1">
      <c r="A60" s="4">
        <v>59</v>
      </c>
      <c r="B60" s="3">
        <v>21609</v>
      </c>
      <c r="C60" s="4">
        <v>30</v>
      </c>
      <c r="D60" s="29">
        <f t="shared" si="0"/>
        <v>3617.9047719403889</v>
      </c>
      <c r="E60" s="25">
        <f>C60-solver_opt</f>
        <v>-1355.5805509558936</v>
      </c>
      <c r="F60" s="25">
        <f t="shared" si="1"/>
        <v>1355.5805509558936</v>
      </c>
      <c r="G60" s="25">
        <f t="shared" si="2"/>
        <v>1837598.630129884</v>
      </c>
      <c r="H60" s="30">
        <f t="shared" si="3"/>
        <v>45.186018365196453</v>
      </c>
    </row>
    <row r="61" spans="1:8" ht="15.75" customHeight="1">
      <c r="A61" s="4">
        <v>60</v>
      </c>
      <c r="B61" s="3">
        <v>21610</v>
      </c>
      <c r="C61" s="4">
        <v>35</v>
      </c>
      <c r="D61" s="29">
        <f t="shared" si="0"/>
        <v>3656.3931205780527</v>
      </c>
      <c r="E61" s="25">
        <f>C61-solver_opt</f>
        <v>-1350.5805509558936</v>
      </c>
      <c r="F61" s="25">
        <f t="shared" si="1"/>
        <v>1350.5805509558936</v>
      </c>
      <c r="G61" s="25">
        <f t="shared" si="2"/>
        <v>1824067.8246203251</v>
      </c>
      <c r="H61" s="30">
        <f t="shared" si="3"/>
        <v>38.588015741596962</v>
      </c>
    </row>
    <row r="62" spans="1:8" ht="15.75" customHeight="1">
      <c r="A62" s="4">
        <v>61</v>
      </c>
      <c r="B62" s="3">
        <v>21611</v>
      </c>
      <c r="C62" s="4">
        <v>28</v>
      </c>
      <c r="D62" s="29">
        <f t="shared" si="0"/>
        <v>3694.8814692157166</v>
      </c>
      <c r="E62" s="25">
        <f>C62-solver_opt</f>
        <v>-1357.5805509558936</v>
      </c>
      <c r="F62" s="25">
        <f t="shared" si="1"/>
        <v>1357.5805509558936</v>
      </c>
      <c r="G62" s="25">
        <f t="shared" si="2"/>
        <v>1843024.9523337076</v>
      </c>
      <c r="H62" s="30">
        <f t="shared" si="3"/>
        <v>48.485019676996203</v>
      </c>
    </row>
    <row r="63" spans="1:8" ht="15.75" customHeight="1">
      <c r="A63" s="4">
        <v>62</v>
      </c>
      <c r="B63" s="3">
        <v>21612</v>
      </c>
      <c r="C63" s="4">
        <v>45</v>
      </c>
      <c r="D63" s="29">
        <f t="shared" si="0"/>
        <v>3733.36981785338</v>
      </c>
      <c r="E63" s="25">
        <f>C63-solver_opt</f>
        <v>-1340.5805509558936</v>
      </c>
      <c r="F63" s="25">
        <f t="shared" si="1"/>
        <v>1340.5805509558936</v>
      </c>
      <c r="G63" s="25">
        <f t="shared" si="2"/>
        <v>1797156.2136012074</v>
      </c>
      <c r="H63" s="30">
        <f t="shared" si="3"/>
        <v>29.790678910130968</v>
      </c>
    </row>
    <row r="64" spans="1:8" ht="15.75" customHeight="1">
      <c r="A64" s="4">
        <v>63</v>
      </c>
      <c r="B64" s="3">
        <v>21613</v>
      </c>
      <c r="C64" s="4">
        <v>34</v>
      </c>
      <c r="D64" s="29">
        <f t="shared" si="0"/>
        <v>3771.8581664910439</v>
      </c>
      <c r="E64" s="25">
        <f>C64-solver_opt</f>
        <v>-1351.5805509558936</v>
      </c>
      <c r="F64" s="25">
        <f t="shared" si="1"/>
        <v>1351.5805509558936</v>
      </c>
      <c r="G64" s="25">
        <f t="shared" si="2"/>
        <v>1826769.985722237</v>
      </c>
      <c r="H64" s="30">
        <f t="shared" si="3"/>
        <v>39.752369145761577</v>
      </c>
    </row>
    <row r="65" spans="1:8" ht="15.75" customHeight="1">
      <c r="A65" s="4">
        <v>64</v>
      </c>
      <c r="B65" s="3">
        <v>21614</v>
      </c>
      <c r="C65" s="4">
        <v>36</v>
      </c>
      <c r="D65" s="29">
        <f t="shared" si="0"/>
        <v>3810.3465151287073</v>
      </c>
      <c r="E65" s="25">
        <f>C65-solver_opt</f>
        <v>-1349.5805509558936</v>
      </c>
      <c r="F65" s="25">
        <f t="shared" si="1"/>
        <v>1349.5805509558936</v>
      </c>
      <c r="G65" s="25">
        <f t="shared" si="2"/>
        <v>1821367.6635184134</v>
      </c>
      <c r="H65" s="30">
        <f t="shared" si="3"/>
        <v>37.488348637663712</v>
      </c>
    </row>
    <row r="66" spans="1:8" ht="15.75" customHeight="1">
      <c r="A66" s="4">
        <v>65</v>
      </c>
      <c r="B66" s="3">
        <v>21615</v>
      </c>
      <c r="C66" s="4">
        <v>50</v>
      </c>
      <c r="D66" s="29">
        <f t="shared" si="0"/>
        <v>3848.8348637663712</v>
      </c>
      <c r="E66" s="25">
        <f>C66-solver_opt</f>
        <v>-1335.5805509558936</v>
      </c>
      <c r="F66" s="25">
        <f t="shared" si="1"/>
        <v>1335.5805509558936</v>
      </c>
      <c r="G66" s="25">
        <f t="shared" si="2"/>
        <v>1783775.4080916482</v>
      </c>
      <c r="H66" s="30">
        <f t="shared" si="3"/>
        <v>26.711611019117871</v>
      </c>
    </row>
    <row r="67" spans="1:8" ht="15.75" customHeight="1">
      <c r="A67" s="4">
        <v>66</v>
      </c>
      <c r="B67" s="3">
        <v>21616</v>
      </c>
      <c r="C67" s="4">
        <v>44</v>
      </c>
      <c r="D67" s="29">
        <f t="shared" ref="D67:D130" si="4">$K$2*($C$2+A67)</f>
        <v>3887.3232124040351</v>
      </c>
      <c r="E67" s="25">
        <f>C67-solver_opt</f>
        <v>-1341.5805509558936</v>
      </c>
      <c r="F67" s="25">
        <f t="shared" ref="F67:F130" si="5">ABS(E67)</f>
        <v>1341.5805509558936</v>
      </c>
      <c r="G67" s="25">
        <f t="shared" ref="G67:G130" si="6">F67^2</f>
        <v>1799838.374703119</v>
      </c>
      <c r="H67" s="30">
        <f t="shared" ref="H67:H130" si="7">F67/C67</f>
        <v>30.490467067179399</v>
      </c>
    </row>
    <row r="68" spans="1:8" ht="15.75" customHeight="1">
      <c r="A68" s="4">
        <v>67</v>
      </c>
      <c r="B68" s="3">
        <v>21617</v>
      </c>
      <c r="C68" s="4">
        <v>39</v>
      </c>
      <c r="D68" s="29">
        <f t="shared" si="4"/>
        <v>3925.8115610416985</v>
      </c>
      <c r="E68" s="25">
        <f>C68-solver_opt</f>
        <v>-1346.5805509558936</v>
      </c>
      <c r="F68" s="25">
        <f t="shared" si="5"/>
        <v>1346.5805509558936</v>
      </c>
      <c r="G68" s="25">
        <f t="shared" si="6"/>
        <v>1813279.1802126779</v>
      </c>
      <c r="H68" s="30">
        <f t="shared" si="7"/>
        <v>34.5277064347665</v>
      </c>
    </row>
    <row r="69" spans="1:8" ht="15.75" customHeight="1">
      <c r="A69" s="4">
        <v>68</v>
      </c>
      <c r="B69" s="3">
        <v>21618</v>
      </c>
      <c r="C69" s="4">
        <v>32</v>
      </c>
      <c r="D69" s="29">
        <f t="shared" si="4"/>
        <v>3964.2999096793624</v>
      </c>
      <c r="E69" s="25">
        <f>C69-solver_opt</f>
        <v>-1353.5805509558936</v>
      </c>
      <c r="F69" s="25">
        <f t="shared" si="5"/>
        <v>1353.5805509558936</v>
      </c>
      <c r="G69" s="25">
        <f t="shared" si="6"/>
        <v>1832180.3079260604</v>
      </c>
      <c r="H69" s="30">
        <f t="shared" si="7"/>
        <v>42.299392217371675</v>
      </c>
    </row>
    <row r="70" spans="1:8" ht="15.75" customHeight="1">
      <c r="A70" s="4">
        <v>69</v>
      </c>
      <c r="B70" s="3">
        <v>21619</v>
      </c>
      <c r="C70" s="4">
        <v>39</v>
      </c>
      <c r="D70" s="29">
        <f t="shared" si="4"/>
        <v>4002.7882583170262</v>
      </c>
      <c r="E70" s="25">
        <f>C70-solver_opt</f>
        <v>-1346.5805509558936</v>
      </c>
      <c r="F70" s="25">
        <f t="shared" si="5"/>
        <v>1346.5805509558936</v>
      </c>
      <c r="G70" s="25">
        <f t="shared" si="6"/>
        <v>1813279.1802126779</v>
      </c>
      <c r="H70" s="30">
        <f t="shared" si="7"/>
        <v>34.5277064347665</v>
      </c>
    </row>
    <row r="71" spans="1:8" ht="15.75" customHeight="1">
      <c r="A71" s="4">
        <v>70</v>
      </c>
      <c r="B71" s="3">
        <v>21620</v>
      </c>
      <c r="C71" s="4">
        <v>45</v>
      </c>
      <c r="D71" s="29">
        <f t="shared" si="4"/>
        <v>4041.2766069546897</v>
      </c>
      <c r="E71" s="25">
        <f>C71-solver_opt</f>
        <v>-1340.5805509558936</v>
      </c>
      <c r="F71" s="25">
        <f t="shared" si="5"/>
        <v>1340.5805509558936</v>
      </c>
      <c r="G71" s="25">
        <f t="shared" si="6"/>
        <v>1797156.2136012074</v>
      </c>
      <c r="H71" s="30">
        <f t="shared" si="7"/>
        <v>29.790678910130968</v>
      </c>
    </row>
    <row r="72" spans="1:8" ht="15.75" customHeight="1">
      <c r="A72" s="4">
        <v>71</v>
      </c>
      <c r="B72" s="3">
        <v>21621</v>
      </c>
      <c r="C72" s="4">
        <v>43</v>
      </c>
      <c r="D72" s="29">
        <f t="shared" si="4"/>
        <v>4079.7649555923535</v>
      </c>
      <c r="E72" s="25">
        <f>C72-solver_opt</f>
        <v>-1342.5805509558936</v>
      </c>
      <c r="F72" s="25">
        <f t="shared" si="5"/>
        <v>1342.5805509558936</v>
      </c>
      <c r="G72" s="25">
        <f t="shared" si="6"/>
        <v>1802522.535805031</v>
      </c>
      <c r="H72" s="30">
        <f t="shared" si="7"/>
        <v>31.222803510602176</v>
      </c>
    </row>
    <row r="73" spans="1:8" ht="15.75" customHeight="1">
      <c r="A73" s="4">
        <v>72</v>
      </c>
      <c r="B73" s="3">
        <v>21622</v>
      </c>
      <c r="C73" s="4">
        <v>39</v>
      </c>
      <c r="D73" s="29">
        <f t="shared" si="4"/>
        <v>4118.2533042300174</v>
      </c>
      <c r="E73" s="25">
        <f>C73-solver_opt</f>
        <v>-1346.5805509558936</v>
      </c>
      <c r="F73" s="25">
        <f t="shared" si="5"/>
        <v>1346.5805509558936</v>
      </c>
      <c r="G73" s="25">
        <f t="shared" si="6"/>
        <v>1813279.1802126779</v>
      </c>
      <c r="H73" s="30">
        <f t="shared" si="7"/>
        <v>34.5277064347665</v>
      </c>
    </row>
    <row r="74" spans="1:8" ht="15.75" customHeight="1">
      <c r="A74" s="4">
        <v>73</v>
      </c>
      <c r="B74" s="3">
        <v>21623</v>
      </c>
      <c r="C74" s="4">
        <v>31</v>
      </c>
      <c r="D74" s="29">
        <f t="shared" si="4"/>
        <v>4156.7416528676813</v>
      </c>
      <c r="E74" s="25">
        <f>C74-solver_opt</f>
        <v>-1354.5805509558936</v>
      </c>
      <c r="F74" s="25">
        <f t="shared" si="5"/>
        <v>1354.5805509558936</v>
      </c>
      <c r="G74" s="25">
        <f t="shared" si="6"/>
        <v>1834888.4690279723</v>
      </c>
      <c r="H74" s="30">
        <f t="shared" si="7"/>
        <v>43.696146805028825</v>
      </c>
    </row>
    <row r="75" spans="1:8" ht="15.75" customHeight="1">
      <c r="A75" s="4">
        <v>74</v>
      </c>
      <c r="B75" s="3">
        <v>21624</v>
      </c>
      <c r="C75" s="4">
        <v>27</v>
      </c>
      <c r="D75" s="29">
        <f t="shared" si="4"/>
        <v>4195.2300015053443</v>
      </c>
      <c r="E75" s="25">
        <f>C75-solver_opt</f>
        <v>-1358.5805509558936</v>
      </c>
      <c r="F75" s="25">
        <f t="shared" si="5"/>
        <v>1358.5805509558936</v>
      </c>
      <c r="G75" s="25">
        <f t="shared" si="6"/>
        <v>1845741.1134356195</v>
      </c>
      <c r="H75" s="30">
        <f t="shared" si="7"/>
        <v>50.317798183551616</v>
      </c>
    </row>
    <row r="76" spans="1:8" ht="15.75" customHeight="1">
      <c r="A76" s="4">
        <v>75</v>
      </c>
      <c r="B76" s="3">
        <v>21625</v>
      </c>
      <c r="C76" s="4">
        <v>30</v>
      </c>
      <c r="D76" s="29">
        <f t="shared" si="4"/>
        <v>4233.7183501430081</v>
      </c>
      <c r="E76" s="25">
        <f>C76-solver_opt</f>
        <v>-1355.5805509558936</v>
      </c>
      <c r="F76" s="25">
        <f t="shared" si="5"/>
        <v>1355.5805509558936</v>
      </c>
      <c r="G76" s="25">
        <f t="shared" si="6"/>
        <v>1837598.630129884</v>
      </c>
      <c r="H76" s="30">
        <f t="shared" si="7"/>
        <v>45.186018365196453</v>
      </c>
    </row>
    <row r="77" spans="1:8" ht="15.75" customHeight="1">
      <c r="A77" s="4">
        <v>76</v>
      </c>
      <c r="B77" s="3">
        <v>21626</v>
      </c>
      <c r="C77" s="4">
        <v>42</v>
      </c>
      <c r="D77" s="29">
        <f t="shared" si="4"/>
        <v>4272.206698780672</v>
      </c>
      <c r="E77" s="25">
        <f>C77-solver_opt</f>
        <v>-1343.5805509558936</v>
      </c>
      <c r="F77" s="25">
        <f t="shared" si="5"/>
        <v>1343.5805509558936</v>
      </c>
      <c r="G77" s="25">
        <f t="shared" si="6"/>
        <v>1805208.6969069426</v>
      </c>
      <c r="H77" s="30">
        <f t="shared" si="7"/>
        <v>31.990013117997467</v>
      </c>
    </row>
    <row r="78" spans="1:8" ht="15.75" customHeight="1">
      <c r="A78" s="4">
        <v>77</v>
      </c>
      <c r="B78" s="3">
        <v>21627</v>
      </c>
      <c r="C78" s="4">
        <v>46</v>
      </c>
      <c r="D78" s="29">
        <f t="shared" si="4"/>
        <v>4310.6950474183359</v>
      </c>
      <c r="E78" s="25">
        <f>C78-solver_opt</f>
        <v>-1339.5805509558936</v>
      </c>
      <c r="F78" s="25">
        <f t="shared" si="5"/>
        <v>1339.5805509558936</v>
      </c>
      <c r="G78" s="25">
        <f t="shared" si="6"/>
        <v>1794476.0524992954</v>
      </c>
      <c r="H78" s="30">
        <f t="shared" si="7"/>
        <v>29.121316325128124</v>
      </c>
    </row>
    <row r="79" spans="1:8" ht="15.75" customHeight="1">
      <c r="A79" s="4">
        <v>78</v>
      </c>
      <c r="B79" s="3">
        <v>21628</v>
      </c>
      <c r="C79" s="4">
        <v>41</v>
      </c>
      <c r="D79" s="29">
        <f t="shared" si="4"/>
        <v>4349.1833960559998</v>
      </c>
      <c r="E79" s="25">
        <f>C79-solver_opt</f>
        <v>-1344.5805509558936</v>
      </c>
      <c r="F79" s="25">
        <f t="shared" si="5"/>
        <v>1344.5805509558936</v>
      </c>
      <c r="G79" s="25">
        <f t="shared" si="6"/>
        <v>1807896.8580088543</v>
      </c>
      <c r="H79" s="30">
        <f t="shared" si="7"/>
        <v>32.79464758429009</v>
      </c>
    </row>
    <row r="80" spans="1:8" ht="15.75" customHeight="1">
      <c r="A80" s="4">
        <v>79</v>
      </c>
      <c r="B80" s="3">
        <v>21629</v>
      </c>
      <c r="C80" s="4">
        <v>36</v>
      </c>
      <c r="D80" s="29">
        <f t="shared" si="4"/>
        <v>4387.6717446936636</v>
      </c>
      <c r="E80" s="25">
        <f>C80-solver_opt</f>
        <v>-1349.5805509558936</v>
      </c>
      <c r="F80" s="25">
        <f t="shared" si="5"/>
        <v>1349.5805509558936</v>
      </c>
      <c r="G80" s="25">
        <f t="shared" si="6"/>
        <v>1821367.6635184134</v>
      </c>
      <c r="H80" s="30">
        <f t="shared" si="7"/>
        <v>37.488348637663712</v>
      </c>
    </row>
    <row r="81" spans="1:8" ht="15.75" customHeight="1">
      <c r="A81" s="4">
        <v>80</v>
      </c>
      <c r="B81" s="3">
        <v>21630</v>
      </c>
      <c r="C81" s="4">
        <v>45</v>
      </c>
      <c r="D81" s="29">
        <f t="shared" si="4"/>
        <v>4426.1600933313266</v>
      </c>
      <c r="E81" s="25">
        <f>C81-solver_opt</f>
        <v>-1340.5805509558936</v>
      </c>
      <c r="F81" s="25">
        <f t="shared" si="5"/>
        <v>1340.5805509558936</v>
      </c>
      <c r="G81" s="25">
        <f t="shared" si="6"/>
        <v>1797156.2136012074</v>
      </c>
      <c r="H81" s="30">
        <f t="shared" si="7"/>
        <v>29.790678910130968</v>
      </c>
    </row>
    <row r="82" spans="1:8" ht="15.75" customHeight="1">
      <c r="A82" s="4">
        <v>81</v>
      </c>
      <c r="B82" s="3">
        <v>21631</v>
      </c>
      <c r="C82" s="4">
        <v>46</v>
      </c>
      <c r="D82" s="29">
        <f t="shared" si="4"/>
        <v>4464.6484419689905</v>
      </c>
      <c r="E82" s="25">
        <f>C82-solver_opt</f>
        <v>-1339.5805509558936</v>
      </c>
      <c r="F82" s="25">
        <f t="shared" si="5"/>
        <v>1339.5805509558936</v>
      </c>
      <c r="G82" s="25">
        <f t="shared" si="6"/>
        <v>1794476.0524992954</v>
      </c>
      <c r="H82" s="30">
        <f t="shared" si="7"/>
        <v>29.121316325128124</v>
      </c>
    </row>
    <row r="83" spans="1:8" ht="15.75" customHeight="1">
      <c r="A83" s="4">
        <v>82</v>
      </c>
      <c r="B83" s="3">
        <v>21632</v>
      </c>
      <c r="C83" s="4">
        <v>43</v>
      </c>
      <c r="D83" s="29">
        <f t="shared" si="4"/>
        <v>4503.1367906066544</v>
      </c>
      <c r="E83" s="25">
        <f>C83-solver_opt</f>
        <v>-1342.5805509558936</v>
      </c>
      <c r="F83" s="25">
        <f t="shared" si="5"/>
        <v>1342.5805509558936</v>
      </c>
      <c r="G83" s="25">
        <f t="shared" si="6"/>
        <v>1802522.535805031</v>
      </c>
      <c r="H83" s="30">
        <f t="shared" si="7"/>
        <v>31.222803510602176</v>
      </c>
    </row>
    <row r="84" spans="1:8" ht="15.75" customHeight="1">
      <c r="A84" s="4">
        <v>83</v>
      </c>
      <c r="B84" s="3">
        <v>21633</v>
      </c>
      <c r="C84" s="4">
        <v>38</v>
      </c>
      <c r="D84" s="29">
        <f t="shared" si="4"/>
        <v>4541.6251392443182</v>
      </c>
      <c r="E84" s="25">
        <f>C84-solver_opt</f>
        <v>-1347.5805509558936</v>
      </c>
      <c r="F84" s="25">
        <f t="shared" si="5"/>
        <v>1347.5805509558936</v>
      </c>
      <c r="G84" s="25">
        <f t="shared" si="6"/>
        <v>1815973.3413145898</v>
      </c>
      <c r="H84" s="30">
        <f t="shared" si="7"/>
        <v>35.462646077786673</v>
      </c>
    </row>
    <row r="85" spans="1:8" ht="15.75" customHeight="1">
      <c r="A85" s="4">
        <v>84</v>
      </c>
      <c r="B85" s="3">
        <v>21634</v>
      </c>
      <c r="C85" s="4">
        <v>34</v>
      </c>
      <c r="D85" s="29">
        <f t="shared" si="4"/>
        <v>4580.1134878819821</v>
      </c>
      <c r="E85" s="25">
        <f>C85-solver_opt</f>
        <v>-1351.5805509558936</v>
      </c>
      <c r="F85" s="25">
        <f t="shared" si="5"/>
        <v>1351.5805509558936</v>
      </c>
      <c r="G85" s="25">
        <f t="shared" si="6"/>
        <v>1826769.985722237</v>
      </c>
      <c r="H85" s="30">
        <f t="shared" si="7"/>
        <v>39.752369145761577</v>
      </c>
    </row>
    <row r="86" spans="1:8" ht="15.75" customHeight="1">
      <c r="A86" s="4">
        <v>85</v>
      </c>
      <c r="B86" s="3">
        <v>21635</v>
      </c>
      <c r="C86" s="4">
        <v>35</v>
      </c>
      <c r="D86" s="29">
        <f t="shared" si="4"/>
        <v>4618.6018365196451</v>
      </c>
      <c r="E86" s="25">
        <f>C86-solver_opt</f>
        <v>-1350.5805509558936</v>
      </c>
      <c r="F86" s="25">
        <f t="shared" si="5"/>
        <v>1350.5805509558936</v>
      </c>
      <c r="G86" s="25">
        <f t="shared" si="6"/>
        <v>1824067.8246203251</v>
      </c>
      <c r="H86" s="30">
        <f t="shared" si="7"/>
        <v>38.588015741596962</v>
      </c>
    </row>
    <row r="87" spans="1:8" ht="15.75" customHeight="1">
      <c r="A87" s="4">
        <v>86</v>
      </c>
      <c r="B87" s="3">
        <v>21636</v>
      </c>
      <c r="C87" s="4">
        <v>56</v>
      </c>
      <c r="D87" s="29">
        <f t="shared" si="4"/>
        <v>4657.090185157309</v>
      </c>
      <c r="E87" s="25">
        <f>C87-solver_opt</f>
        <v>-1329.5805509558936</v>
      </c>
      <c r="F87" s="25">
        <f t="shared" si="5"/>
        <v>1329.5805509558936</v>
      </c>
      <c r="G87" s="25">
        <f t="shared" si="6"/>
        <v>1767784.4414801777</v>
      </c>
      <c r="H87" s="30">
        <f t="shared" si="7"/>
        <v>23.742509838498101</v>
      </c>
    </row>
    <row r="88" spans="1:8" ht="15.75" customHeight="1">
      <c r="A88" s="4">
        <v>87</v>
      </c>
      <c r="B88" s="3">
        <v>21637</v>
      </c>
      <c r="C88" s="4">
        <v>36</v>
      </c>
      <c r="D88" s="29">
        <f t="shared" si="4"/>
        <v>4695.5785337949728</v>
      </c>
      <c r="E88" s="25">
        <f>C88-solver_opt</f>
        <v>-1349.5805509558936</v>
      </c>
      <c r="F88" s="25">
        <f t="shared" si="5"/>
        <v>1349.5805509558936</v>
      </c>
      <c r="G88" s="25">
        <f t="shared" si="6"/>
        <v>1821367.6635184134</v>
      </c>
      <c r="H88" s="30">
        <f t="shared" si="7"/>
        <v>37.488348637663712</v>
      </c>
    </row>
    <row r="89" spans="1:8" ht="15.75" customHeight="1">
      <c r="A89" s="4">
        <v>88</v>
      </c>
      <c r="B89" s="3">
        <v>21638</v>
      </c>
      <c r="C89" s="4">
        <v>32</v>
      </c>
      <c r="D89" s="29">
        <f t="shared" si="4"/>
        <v>4734.0668824326367</v>
      </c>
      <c r="E89" s="25">
        <f>C89-solver_opt</f>
        <v>-1353.5805509558936</v>
      </c>
      <c r="F89" s="25">
        <f t="shared" si="5"/>
        <v>1353.5805509558936</v>
      </c>
      <c r="G89" s="25">
        <f t="shared" si="6"/>
        <v>1832180.3079260604</v>
      </c>
      <c r="H89" s="30">
        <f t="shared" si="7"/>
        <v>42.299392217371675</v>
      </c>
    </row>
    <row r="90" spans="1:8" ht="15.75" customHeight="1">
      <c r="A90" s="4">
        <v>89</v>
      </c>
      <c r="B90" s="3">
        <v>21639</v>
      </c>
      <c r="C90" s="4">
        <v>50</v>
      </c>
      <c r="D90" s="29">
        <f t="shared" si="4"/>
        <v>4772.5552310703006</v>
      </c>
      <c r="E90" s="25">
        <f>C90-solver_opt</f>
        <v>-1335.5805509558936</v>
      </c>
      <c r="F90" s="25">
        <f t="shared" si="5"/>
        <v>1335.5805509558936</v>
      </c>
      <c r="G90" s="25">
        <f t="shared" si="6"/>
        <v>1783775.4080916482</v>
      </c>
      <c r="H90" s="30">
        <f t="shared" si="7"/>
        <v>26.711611019117871</v>
      </c>
    </row>
    <row r="91" spans="1:8" ht="15.75" customHeight="1">
      <c r="A91" s="4">
        <v>90</v>
      </c>
      <c r="B91" s="3">
        <v>21640</v>
      </c>
      <c r="C91" s="4">
        <v>41</v>
      </c>
      <c r="D91" s="29">
        <f t="shared" si="4"/>
        <v>4811.0435797079645</v>
      </c>
      <c r="E91" s="25">
        <f>C91-solver_opt</f>
        <v>-1344.5805509558936</v>
      </c>
      <c r="F91" s="25">
        <f t="shared" si="5"/>
        <v>1344.5805509558936</v>
      </c>
      <c r="G91" s="25">
        <f t="shared" si="6"/>
        <v>1807896.8580088543</v>
      </c>
      <c r="H91" s="30">
        <f t="shared" si="7"/>
        <v>32.79464758429009</v>
      </c>
    </row>
    <row r="92" spans="1:8" ht="15.75" customHeight="1">
      <c r="A92" s="4">
        <v>91</v>
      </c>
      <c r="B92" s="3">
        <v>21641</v>
      </c>
      <c r="C92" s="4">
        <v>39</v>
      </c>
      <c r="D92" s="29">
        <f t="shared" si="4"/>
        <v>4849.5319283456274</v>
      </c>
      <c r="E92" s="25">
        <f>C92-solver_opt</f>
        <v>-1346.5805509558936</v>
      </c>
      <c r="F92" s="25">
        <f t="shared" si="5"/>
        <v>1346.5805509558936</v>
      </c>
      <c r="G92" s="25">
        <f t="shared" si="6"/>
        <v>1813279.1802126779</v>
      </c>
      <c r="H92" s="30">
        <f t="shared" si="7"/>
        <v>34.5277064347665</v>
      </c>
    </row>
    <row r="93" spans="1:8" ht="15.75" customHeight="1">
      <c r="A93" s="4">
        <v>92</v>
      </c>
      <c r="B93" s="3">
        <v>21642</v>
      </c>
      <c r="C93" s="4">
        <v>41</v>
      </c>
      <c r="D93" s="29">
        <f t="shared" si="4"/>
        <v>4888.0202769832913</v>
      </c>
      <c r="E93" s="25">
        <f>C93-solver_opt</f>
        <v>-1344.5805509558936</v>
      </c>
      <c r="F93" s="25">
        <f t="shared" si="5"/>
        <v>1344.5805509558936</v>
      </c>
      <c r="G93" s="25">
        <f t="shared" si="6"/>
        <v>1807896.8580088543</v>
      </c>
      <c r="H93" s="30">
        <f t="shared" si="7"/>
        <v>32.79464758429009</v>
      </c>
    </row>
    <row r="94" spans="1:8" ht="15.75" customHeight="1">
      <c r="A94" s="4">
        <v>93</v>
      </c>
      <c r="B94" s="3">
        <v>21643</v>
      </c>
      <c r="C94" s="4">
        <v>47</v>
      </c>
      <c r="D94" s="29">
        <f t="shared" si="4"/>
        <v>4926.5086256209552</v>
      </c>
      <c r="E94" s="25">
        <f>C94-solver_opt</f>
        <v>-1338.5805509558936</v>
      </c>
      <c r="F94" s="25">
        <f t="shared" si="5"/>
        <v>1338.5805509558936</v>
      </c>
      <c r="G94" s="25">
        <f t="shared" si="6"/>
        <v>1791797.8913973838</v>
      </c>
      <c r="H94" s="30">
        <f t="shared" si="7"/>
        <v>28.480437254380714</v>
      </c>
    </row>
    <row r="95" spans="1:8" ht="15.75" customHeight="1">
      <c r="A95" s="4">
        <v>94</v>
      </c>
      <c r="B95" s="3">
        <v>21644</v>
      </c>
      <c r="C95" s="4">
        <v>34</v>
      </c>
      <c r="D95" s="29">
        <f t="shared" si="4"/>
        <v>4964.996974258619</v>
      </c>
      <c r="E95" s="25">
        <f>C95-solver_opt</f>
        <v>-1351.5805509558936</v>
      </c>
      <c r="F95" s="25">
        <f t="shared" si="5"/>
        <v>1351.5805509558936</v>
      </c>
      <c r="G95" s="25">
        <f t="shared" si="6"/>
        <v>1826769.985722237</v>
      </c>
      <c r="H95" s="30">
        <f t="shared" si="7"/>
        <v>39.752369145761577</v>
      </c>
    </row>
    <row r="96" spans="1:8" ht="15.75" customHeight="1">
      <c r="A96" s="4">
        <v>95</v>
      </c>
      <c r="B96" s="3">
        <v>21645</v>
      </c>
      <c r="C96" s="4">
        <v>36</v>
      </c>
      <c r="D96" s="29">
        <f t="shared" si="4"/>
        <v>5003.4853228962829</v>
      </c>
      <c r="E96" s="25">
        <f>C96-solver_opt</f>
        <v>-1349.5805509558936</v>
      </c>
      <c r="F96" s="25">
        <f t="shared" si="5"/>
        <v>1349.5805509558936</v>
      </c>
      <c r="G96" s="25">
        <f t="shared" si="6"/>
        <v>1821367.6635184134</v>
      </c>
      <c r="H96" s="30">
        <f t="shared" si="7"/>
        <v>37.488348637663712</v>
      </c>
    </row>
    <row r="97" spans="1:8" ht="15.75" customHeight="1">
      <c r="A97" s="4">
        <v>96</v>
      </c>
      <c r="B97" s="3">
        <v>21646</v>
      </c>
      <c r="C97" s="4">
        <v>33</v>
      </c>
      <c r="D97" s="29">
        <f t="shared" si="4"/>
        <v>5041.9736715339459</v>
      </c>
      <c r="E97" s="25">
        <f>C97-solver_opt</f>
        <v>-1352.5805509558936</v>
      </c>
      <c r="F97" s="25">
        <f t="shared" si="5"/>
        <v>1352.5805509558936</v>
      </c>
      <c r="G97" s="25">
        <f t="shared" si="6"/>
        <v>1829474.1468241487</v>
      </c>
      <c r="H97" s="30">
        <f t="shared" si="7"/>
        <v>40.987289422905867</v>
      </c>
    </row>
    <row r="98" spans="1:8" ht="15.75" customHeight="1">
      <c r="A98" s="4">
        <v>97</v>
      </c>
      <c r="B98" s="3">
        <v>21647</v>
      </c>
      <c r="C98" s="4">
        <v>35</v>
      </c>
      <c r="D98" s="29">
        <f t="shared" si="4"/>
        <v>5080.4620201716098</v>
      </c>
      <c r="E98" s="25">
        <f>C98-solver_opt</f>
        <v>-1350.5805509558936</v>
      </c>
      <c r="F98" s="25">
        <f t="shared" si="5"/>
        <v>1350.5805509558936</v>
      </c>
      <c r="G98" s="25">
        <f t="shared" si="6"/>
        <v>1824067.8246203251</v>
      </c>
      <c r="H98" s="30">
        <f t="shared" si="7"/>
        <v>38.588015741596962</v>
      </c>
    </row>
    <row r="99" spans="1:8" ht="15.75" customHeight="1">
      <c r="A99" s="4">
        <v>98</v>
      </c>
      <c r="B99" s="3">
        <v>21648</v>
      </c>
      <c r="C99" s="4">
        <v>38</v>
      </c>
      <c r="D99" s="29">
        <f t="shared" si="4"/>
        <v>5118.9503688092736</v>
      </c>
      <c r="E99" s="25">
        <f>C99-solver_opt</f>
        <v>-1347.5805509558936</v>
      </c>
      <c r="F99" s="25">
        <f t="shared" si="5"/>
        <v>1347.5805509558936</v>
      </c>
      <c r="G99" s="25">
        <f t="shared" si="6"/>
        <v>1815973.3413145898</v>
      </c>
      <c r="H99" s="30">
        <f t="shared" si="7"/>
        <v>35.462646077786673</v>
      </c>
    </row>
    <row r="100" spans="1:8" ht="15.75" customHeight="1">
      <c r="A100" s="4">
        <v>99</v>
      </c>
      <c r="B100" s="3">
        <v>21649</v>
      </c>
      <c r="C100" s="4">
        <v>38</v>
      </c>
      <c r="D100" s="29">
        <f t="shared" si="4"/>
        <v>5157.4387174469375</v>
      </c>
      <c r="E100" s="25">
        <f>C100-solver_opt</f>
        <v>-1347.5805509558936</v>
      </c>
      <c r="F100" s="25">
        <f t="shared" si="5"/>
        <v>1347.5805509558936</v>
      </c>
      <c r="G100" s="25">
        <f t="shared" si="6"/>
        <v>1815973.3413145898</v>
      </c>
      <c r="H100" s="30">
        <f t="shared" si="7"/>
        <v>35.462646077786673</v>
      </c>
    </row>
    <row r="101" spans="1:8" ht="15.75" customHeight="1">
      <c r="A101" s="4">
        <v>100</v>
      </c>
      <c r="B101" s="3">
        <v>21650</v>
      </c>
      <c r="C101" s="4">
        <v>34</v>
      </c>
      <c r="D101" s="29">
        <f t="shared" si="4"/>
        <v>5195.9270660846014</v>
      </c>
      <c r="E101" s="25">
        <f>C101-solver_opt</f>
        <v>-1351.5805509558936</v>
      </c>
      <c r="F101" s="25">
        <f t="shared" si="5"/>
        <v>1351.5805509558936</v>
      </c>
      <c r="G101" s="25">
        <f t="shared" si="6"/>
        <v>1826769.985722237</v>
      </c>
      <c r="H101" s="30">
        <f t="shared" si="7"/>
        <v>39.752369145761577</v>
      </c>
    </row>
    <row r="102" spans="1:8" ht="15.75" customHeight="1">
      <c r="A102" s="4">
        <v>101</v>
      </c>
      <c r="B102" s="3">
        <v>21651</v>
      </c>
      <c r="C102" s="4">
        <v>53</v>
      </c>
      <c r="D102" s="29">
        <f t="shared" si="4"/>
        <v>5234.4154147222653</v>
      </c>
      <c r="E102" s="25">
        <f>C102-solver_opt</f>
        <v>-1332.5805509558936</v>
      </c>
      <c r="F102" s="25">
        <f t="shared" si="5"/>
        <v>1332.5805509558936</v>
      </c>
      <c r="G102" s="25">
        <f t="shared" si="6"/>
        <v>1775770.924785913</v>
      </c>
      <c r="H102" s="30">
        <f t="shared" si="7"/>
        <v>25.143029263318748</v>
      </c>
    </row>
    <row r="103" spans="1:8" ht="15.75" customHeight="1">
      <c r="A103" s="4">
        <v>102</v>
      </c>
      <c r="B103" s="3">
        <v>21652</v>
      </c>
      <c r="C103" s="4">
        <v>34</v>
      </c>
      <c r="D103" s="29">
        <f t="shared" si="4"/>
        <v>5272.9037633599282</v>
      </c>
      <c r="E103" s="25">
        <f>C103-solver_opt</f>
        <v>-1351.5805509558936</v>
      </c>
      <c r="F103" s="25">
        <f t="shared" si="5"/>
        <v>1351.5805509558936</v>
      </c>
      <c r="G103" s="25">
        <f t="shared" si="6"/>
        <v>1826769.985722237</v>
      </c>
      <c r="H103" s="30">
        <f t="shared" si="7"/>
        <v>39.752369145761577</v>
      </c>
    </row>
    <row r="104" spans="1:8" ht="15.75" customHeight="1">
      <c r="A104" s="4">
        <v>103</v>
      </c>
      <c r="B104" s="3">
        <v>21653</v>
      </c>
      <c r="C104" s="4">
        <v>34</v>
      </c>
      <c r="D104" s="29">
        <f t="shared" si="4"/>
        <v>5311.3921119975921</v>
      </c>
      <c r="E104" s="25">
        <f>C104-solver_opt</f>
        <v>-1351.5805509558936</v>
      </c>
      <c r="F104" s="25">
        <f t="shared" si="5"/>
        <v>1351.5805509558936</v>
      </c>
      <c r="G104" s="25">
        <f t="shared" si="6"/>
        <v>1826769.985722237</v>
      </c>
      <c r="H104" s="30">
        <f t="shared" si="7"/>
        <v>39.752369145761577</v>
      </c>
    </row>
    <row r="105" spans="1:8" ht="15.75" customHeight="1">
      <c r="A105" s="4">
        <v>104</v>
      </c>
      <c r="B105" s="3">
        <v>21654</v>
      </c>
      <c r="C105" s="4">
        <v>38</v>
      </c>
      <c r="D105" s="29">
        <f t="shared" si="4"/>
        <v>5349.880460635256</v>
      </c>
      <c r="E105" s="25">
        <f>C105-solver_opt</f>
        <v>-1347.5805509558936</v>
      </c>
      <c r="F105" s="25">
        <f t="shared" si="5"/>
        <v>1347.5805509558936</v>
      </c>
      <c r="G105" s="25">
        <f t="shared" si="6"/>
        <v>1815973.3413145898</v>
      </c>
      <c r="H105" s="30">
        <f t="shared" si="7"/>
        <v>35.462646077786673</v>
      </c>
    </row>
    <row r="106" spans="1:8" ht="15.75" customHeight="1">
      <c r="A106" s="4">
        <v>105</v>
      </c>
      <c r="B106" s="3">
        <v>21655</v>
      </c>
      <c r="C106" s="4">
        <v>35</v>
      </c>
      <c r="D106" s="29">
        <f t="shared" si="4"/>
        <v>5388.3688092729199</v>
      </c>
      <c r="E106" s="25">
        <f>C106-solver_opt</f>
        <v>-1350.5805509558936</v>
      </c>
      <c r="F106" s="25">
        <f t="shared" si="5"/>
        <v>1350.5805509558936</v>
      </c>
      <c r="G106" s="25">
        <f t="shared" si="6"/>
        <v>1824067.8246203251</v>
      </c>
      <c r="H106" s="30">
        <f t="shared" si="7"/>
        <v>38.588015741596962</v>
      </c>
    </row>
    <row r="107" spans="1:8" ht="15.75" customHeight="1">
      <c r="A107" s="4">
        <v>106</v>
      </c>
      <c r="B107" s="3">
        <v>21656</v>
      </c>
      <c r="C107" s="4">
        <v>32</v>
      </c>
      <c r="D107" s="29">
        <f t="shared" si="4"/>
        <v>5426.8571579105837</v>
      </c>
      <c r="E107" s="25">
        <f>C107-solver_opt</f>
        <v>-1353.5805509558936</v>
      </c>
      <c r="F107" s="25">
        <f t="shared" si="5"/>
        <v>1353.5805509558936</v>
      </c>
      <c r="G107" s="25">
        <f t="shared" si="6"/>
        <v>1832180.3079260604</v>
      </c>
      <c r="H107" s="30">
        <f t="shared" si="7"/>
        <v>42.299392217371675</v>
      </c>
    </row>
    <row r="108" spans="1:8" ht="15.75" customHeight="1">
      <c r="A108" s="4">
        <v>107</v>
      </c>
      <c r="B108" s="3">
        <v>21657</v>
      </c>
      <c r="C108" s="4">
        <v>42</v>
      </c>
      <c r="D108" s="29">
        <f t="shared" si="4"/>
        <v>5465.3455065482467</v>
      </c>
      <c r="E108" s="25">
        <f>C108-solver_opt</f>
        <v>-1343.5805509558936</v>
      </c>
      <c r="F108" s="25">
        <f t="shared" si="5"/>
        <v>1343.5805509558936</v>
      </c>
      <c r="G108" s="25">
        <f t="shared" si="6"/>
        <v>1805208.6969069426</v>
      </c>
      <c r="H108" s="30">
        <f t="shared" si="7"/>
        <v>31.990013117997467</v>
      </c>
    </row>
    <row r="109" spans="1:8" ht="15.75" customHeight="1">
      <c r="A109" s="4">
        <v>108</v>
      </c>
      <c r="B109" s="3">
        <v>21658</v>
      </c>
      <c r="C109" s="4">
        <v>34</v>
      </c>
      <c r="D109" s="29">
        <f t="shared" si="4"/>
        <v>5503.8338551859106</v>
      </c>
      <c r="E109" s="25">
        <f>C109-solver_opt</f>
        <v>-1351.5805509558936</v>
      </c>
      <c r="F109" s="25">
        <f t="shared" si="5"/>
        <v>1351.5805509558936</v>
      </c>
      <c r="G109" s="25">
        <f t="shared" si="6"/>
        <v>1826769.985722237</v>
      </c>
      <c r="H109" s="30">
        <f t="shared" si="7"/>
        <v>39.752369145761577</v>
      </c>
    </row>
    <row r="110" spans="1:8" ht="15.75" customHeight="1">
      <c r="A110" s="4">
        <v>109</v>
      </c>
      <c r="B110" s="3">
        <v>21659</v>
      </c>
      <c r="C110" s="4">
        <v>46</v>
      </c>
      <c r="D110" s="29">
        <f t="shared" si="4"/>
        <v>5542.3222038235745</v>
      </c>
      <c r="E110" s="25">
        <f>C110-solver_opt</f>
        <v>-1339.5805509558936</v>
      </c>
      <c r="F110" s="25">
        <f t="shared" si="5"/>
        <v>1339.5805509558936</v>
      </c>
      <c r="G110" s="25">
        <f t="shared" si="6"/>
        <v>1794476.0524992954</v>
      </c>
      <c r="H110" s="30">
        <f t="shared" si="7"/>
        <v>29.121316325128124</v>
      </c>
    </row>
    <row r="111" spans="1:8" ht="15.75" customHeight="1">
      <c r="A111" s="4">
        <v>110</v>
      </c>
      <c r="B111" s="3">
        <v>21660</v>
      </c>
      <c r="C111" s="4">
        <v>30</v>
      </c>
      <c r="D111" s="29">
        <f t="shared" si="4"/>
        <v>5580.8105524612383</v>
      </c>
      <c r="E111" s="25">
        <f>C111-solver_opt</f>
        <v>-1355.5805509558936</v>
      </c>
      <c r="F111" s="25">
        <f t="shared" si="5"/>
        <v>1355.5805509558936</v>
      </c>
      <c r="G111" s="25">
        <f t="shared" si="6"/>
        <v>1837598.630129884</v>
      </c>
      <c r="H111" s="30">
        <f t="shared" si="7"/>
        <v>45.186018365196453</v>
      </c>
    </row>
    <row r="112" spans="1:8" ht="15.75" customHeight="1">
      <c r="A112" s="4">
        <v>111</v>
      </c>
      <c r="B112" s="3">
        <v>21661</v>
      </c>
      <c r="C112" s="4">
        <v>46</v>
      </c>
      <c r="D112" s="29">
        <f t="shared" si="4"/>
        <v>5619.2989010989022</v>
      </c>
      <c r="E112" s="25">
        <f>C112-solver_opt</f>
        <v>-1339.5805509558936</v>
      </c>
      <c r="F112" s="25">
        <f t="shared" si="5"/>
        <v>1339.5805509558936</v>
      </c>
      <c r="G112" s="25">
        <f t="shared" si="6"/>
        <v>1794476.0524992954</v>
      </c>
      <c r="H112" s="30">
        <f t="shared" si="7"/>
        <v>29.121316325128124</v>
      </c>
    </row>
    <row r="113" spans="1:8" ht="15.75" customHeight="1">
      <c r="A113" s="4">
        <v>112</v>
      </c>
      <c r="B113" s="3">
        <v>21662</v>
      </c>
      <c r="C113" s="4">
        <v>45</v>
      </c>
      <c r="D113" s="29">
        <f t="shared" si="4"/>
        <v>5657.7872497365661</v>
      </c>
      <c r="E113" s="25">
        <f>C113-solver_opt</f>
        <v>-1340.5805509558936</v>
      </c>
      <c r="F113" s="25">
        <f t="shared" si="5"/>
        <v>1340.5805509558936</v>
      </c>
      <c r="G113" s="25">
        <f t="shared" si="6"/>
        <v>1797156.2136012074</v>
      </c>
      <c r="H113" s="30">
        <f t="shared" si="7"/>
        <v>29.790678910130968</v>
      </c>
    </row>
    <row r="114" spans="1:8" ht="15.75" customHeight="1">
      <c r="A114" s="4">
        <v>113</v>
      </c>
      <c r="B114" s="3">
        <v>21663</v>
      </c>
      <c r="C114" s="4">
        <v>54</v>
      </c>
      <c r="D114" s="29">
        <f t="shared" si="4"/>
        <v>5696.275598374229</v>
      </c>
      <c r="E114" s="25">
        <f>C114-solver_opt</f>
        <v>-1331.5805509558936</v>
      </c>
      <c r="F114" s="25">
        <f t="shared" si="5"/>
        <v>1331.5805509558936</v>
      </c>
      <c r="G114" s="25">
        <f t="shared" si="6"/>
        <v>1773106.7636840013</v>
      </c>
      <c r="H114" s="30">
        <f t="shared" si="7"/>
        <v>24.658899091775808</v>
      </c>
    </row>
    <row r="115" spans="1:8" ht="15.75" customHeight="1">
      <c r="A115" s="4">
        <v>114</v>
      </c>
      <c r="B115" s="3">
        <v>21664</v>
      </c>
      <c r="C115" s="4">
        <v>34</v>
      </c>
      <c r="D115" s="29">
        <f t="shared" si="4"/>
        <v>5734.7639470118929</v>
      </c>
      <c r="E115" s="25">
        <f>C115-solver_opt</f>
        <v>-1351.5805509558936</v>
      </c>
      <c r="F115" s="25">
        <f t="shared" si="5"/>
        <v>1351.5805509558936</v>
      </c>
      <c r="G115" s="25">
        <f t="shared" si="6"/>
        <v>1826769.985722237</v>
      </c>
      <c r="H115" s="30">
        <f t="shared" si="7"/>
        <v>39.752369145761577</v>
      </c>
    </row>
    <row r="116" spans="1:8" ht="15.75" customHeight="1">
      <c r="A116" s="4">
        <v>115</v>
      </c>
      <c r="B116" s="3">
        <v>21665</v>
      </c>
      <c r="C116" s="4">
        <v>37</v>
      </c>
      <c r="D116" s="29">
        <f t="shared" si="4"/>
        <v>5773.2522956495568</v>
      </c>
      <c r="E116" s="25">
        <f>C116-solver_opt</f>
        <v>-1348.5805509558936</v>
      </c>
      <c r="F116" s="25">
        <f t="shared" si="5"/>
        <v>1348.5805509558936</v>
      </c>
      <c r="G116" s="25">
        <f t="shared" si="6"/>
        <v>1818669.5024165015</v>
      </c>
      <c r="H116" s="30">
        <f t="shared" si="7"/>
        <v>36.448122998807932</v>
      </c>
    </row>
    <row r="117" spans="1:8" ht="15.75" customHeight="1">
      <c r="A117" s="4">
        <v>116</v>
      </c>
      <c r="B117" s="3">
        <v>21666</v>
      </c>
      <c r="C117" s="4">
        <v>35</v>
      </c>
      <c r="D117" s="29">
        <f t="shared" si="4"/>
        <v>5811.7406442872207</v>
      </c>
      <c r="E117" s="25">
        <f>C117-solver_opt</f>
        <v>-1350.5805509558936</v>
      </c>
      <c r="F117" s="25">
        <f t="shared" si="5"/>
        <v>1350.5805509558936</v>
      </c>
      <c r="G117" s="25">
        <f t="shared" si="6"/>
        <v>1824067.8246203251</v>
      </c>
      <c r="H117" s="30">
        <f t="shared" si="7"/>
        <v>38.588015741596962</v>
      </c>
    </row>
    <row r="118" spans="1:8" ht="15.75" customHeight="1">
      <c r="A118" s="4">
        <v>117</v>
      </c>
      <c r="B118" s="3">
        <v>21667</v>
      </c>
      <c r="C118" s="4">
        <v>40</v>
      </c>
      <c r="D118" s="29">
        <f t="shared" si="4"/>
        <v>5850.2289929248846</v>
      </c>
      <c r="E118" s="25">
        <f>C118-solver_opt</f>
        <v>-1345.5805509558936</v>
      </c>
      <c r="F118" s="25">
        <f t="shared" si="5"/>
        <v>1345.5805509558936</v>
      </c>
      <c r="G118" s="25">
        <f t="shared" si="6"/>
        <v>1810587.0191107662</v>
      </c>
      <c r="H118" s="30">
        <f t="shared" si="7"/>
        <v>33.639513773897342</v>
      </c>
    </row>
    <row r="119" spans="1:8" ht="15.75" customHeight="1">
      <c r="A119" s="4">
        <v>118</v>
      </c>
      <c r="B119" s="3">
        <v>21668</v>
      </c>
      <c r="C119" s="4">
        <v>42</v>
      </c>
      <c r="D119" s="29">
        <f t="shared" si="4"/>
        <v>5888.7173415625484</v>
      </c>
      <c r="E119" s="25">
        <f>C119-solver_opt</f>
        <v>-1343.5805509558936</v>
      </c>
      <c r="F119" s="25">
        <f t="shared" si="5"/>
        <v>1343.5805509558936</v>
      </c>
      <c r="G119" s="25">
        <f t="shared" si="6"/>
        <v>1805208.6969069426</v>
      </c>
      <c r="H119" s="30">
        <f t="shared" si="7"/>
        <v>31.990013117997467</v>
      </c>
    </row>
    <row r="120" spans="1:8" ht="15.75" customHeight="1">
      <c r="A120" s="4">
        <v>119</v>
      </c>
      <c r="B120" s="3">
        <v>21669</v>
      </c>
      <c r="C120" s="4">
        <v>58</v>
      </c>
      <c r="D120" s="29">
        <f t="shared" si="4"/>
        <v>5927.2056902002114</v>
      </c>
      <c r="E120" s="25">
        <f>C120-solver_opt</f>
        <v>-1327.5805509558936</v>
      </c>
      <c r="F120" s="25">
        <f t="shared" si="5"/>
        <v>1327.5805509558936</v>
      </c>
      <c r="G120" s="25">
        <f t="shared" si="6"/>
        <v>1762470.1192763541</v>
      </c>
      <c r="H120" s="30">
        <f t="shared" si="7"/>
        <v>22.889319844067131</v>
      </c>
    </row>
    <row r="121" spans="1:8" ht="15.75" customHeight="1">
      <c r="A121" s="4">
        <v>120</v>
      </c>
      <c r="B121" s="3">
        <v>21670</v>
      </c>
      <c r="C121" s="4">
        <v>51</v>
      </c>
      <c r="D121" s="29">
        <f t="shared" si="4"/>
        <v>5965.6940388378753</v>
      </c>
      <c r="E121" s="25">
        <f>C121-solver_opt</f>
        <v>-1334.5805509558936</v>
      </c>
      <c r="F121" s="25">
        <f t="shared" si="5"/>
        <v>1334.5805509558936</v>
      </c>
      <c r="G121" s="25">
        <f t="shared" si="6"/>
        <v>1781105.2469897366</v>
      </c>
      <c r="H121" s="30">
        <f t="shared" si="7"/>
        <v>26.168246097174386</v>
      </c>
    </row>
    <row r="122" spans="1:8" ht="15.75" customHeight="1">
      <c r="A122" s="4">
        <v>121</v>
      </c>
      <c r="B122" s="3">
        <v>21671</v>
      </c>
      <c r="C122" s="4">
        <v>32</v>
      </c>
      <c r="D122" s="29">
        <f t="shared" si="4"/>
        <v>6004.1823874755391</v>
      </c>
      <c r="E122" s="25">
        <f>C122-solver_opt</f>
        <v>-1353.5805509558936</v>
      </c>
      <c r="F122" s="25">
        <f t="shared" si="5"/>
        <v>1353.5805509558936</v>
      </c>
      <c r="G122" s="25">
        <f t="shared" si="6"/>
        <v>1832180.3079260604</v>
      </c>
      <c r="H122" s="30">
        <f t="shared" si="7"/>
        <v>42.299392217371675</v>
      </c>
    </row>
    <row r="123" spans="1:8" ht="15.75" customHeight="1">
      <c r="A123" s="4">
        <v>122</v>
      </c>
      <c r="B123" s="3">
        <v>21672</v>
      </c>
      <c r="C123" s="4">
        <v>35</v>
      </c>
      <c r="D123" s="29">
        <f t="shared" si="4"/>
        <v>6042.670736113203</v>
      </c>
      <c r="E123" s="25">
        <f>C123-solver_opt</f>
        <v>-1350.5805509558936</v>
      </c>
      <c r="F123" s="25">
        <f t="shared" si="5"/>
        <v>1350.5805509558936</v>
      </c>
      <c r="G123" s="25">
        <f t="shared" si="6"/>
        <v>1824067.8246203251</v>
      </c>
      <c r="H123" s="30">
        <f t="shared" si="7"/>
        <v>38.588015741596962</v>
      </c>
    </row>
    <row r="124" spans="1:8" ht="15.75" customHeight="1">
      <c r="A124" s="4">
        <v>123</v>
      </c>
      <c r="B124" s="3">
        <v>21673</v>
      </c>
      <c r="C124" s="4">
        <v>38</v>
      </c>
      <c r="D124" s="29">
        <f t="shared" si="4"/>
        <v>6081.1590847508669</v>
      </c>
      <c r="E124" s="25">
        <f>C124-solver_opt</f>
        <v>-1347.5805509558936</v>
      </c>
      <c r="F124" s="25">
        <f t="shared" si="5"/>
        <v>1347.5805509558936</v>
      </c>
      <c r="G124" s="25">
        <f t="shared" si="6"/>
        <v>1815973.3413145898</v>
      </c>
      <c r="H124" s="30">
        <f t="shared" si="7"/>
        <v>35.462646077786673</v>
      </c>
    </row>
    <row r="125" spans="1:8" ht="15.75" customHeight="1">
      <c r="A125" s="4">
        <v>124</v>
      </c>
      <c r="B125" s="3">
        <v>21674</v>
      </c>
      <c r="C125" s="4">
        <v>33</v>
      </c>
      <c r="D125" s="29">
        <f t="shared" si="4"/>
        <v>6119.6474333885299</v>
      </c>
      <c r="E125" s="25">
        <f>C125-solver_opt</f>
        <v>-1352.5805509558936</v>
      </c>
      <c r="F125" s="25">
        <f t="shared" si="5"/>
        <v>1352.5805509558936</v>
      </c>
      <c r="G125" s="25">
        <f t="shared" si="6"/>
        <v>1829474.1468241487</v>
      </c>
      <c r="H125" s="30">
        <f t="shared" si="7"/>
        <v>40.987289422905867</v>
      </c>
    </row>
    <row r="126" spans="1:8" ht="15.75" customHeight="1">
      <c r="A126" s="4">
        <v>125</v>
      </c>
      <c r="B126" s="3">
        <v>21675</v>
      </c>
      <c r="C126" s="4">
        <v>39</v>
      </c>
      <c r="D126" s="29">
        <f t="shared" si="4"/>
        <v>6158.1357820261937</v>
      </c>
      <c r="E126" s="25">
        <f>C126-solver_opt</f>
        <v>-1346.5805509558936</v>
      </c>
      <c r="F126" s="25">
        <f t="shared" si="5"/>
        <v>1346.5805509558936</v>
      </c>
      <c r="G126" s="25">
        <f t="shared" si="6"/>
        <v>1813279.1802126779</v>
      </c>
      <c r="H126" s="30">
        <f t="shared" si="7"/>
        <v>34.5277064347665</v>
      </c>
    </row>
    <row r="127" spans="1:8" ht="15.75" customHeight="1">
      <c r="A127" s="4">
        <v>126</v>
      </c>
      <c r="B127" s="3">
        <v>21676</v>
      </c>
      <c r="C127" s="4">
        <v>47</v>
      </c>
      <c r="D127" s="29">
        <f t="shared" si="4"/>
        <v>6196.6241306638576</v>
      </c>
      <c r="E127" s="25">
        <f>C127-solver_opt</f>
        <v>-1338.5805509558936</v>
      </c>
      <c r="F127" s="25">
        <f t="shared" si="5"/>
        <v>1338.5805509558936</v>
      </c>
      <c r="G127" s="25">
        <f t="shared" si="6"/>
        <v>1791797.8913973838</v>
      </c>
      <c r="H127" s="30">
        <f t="shared" si="7"/>
        <v>28.480437254380714</v>
      </c>
    </row>
    <row r="128" spans="1:8" ht="15.75" customHeight="1">
      <c r="A128" s="4">
        <v>127</v>
      </c>
      <c r="B128" s="3">
        <v>21677</v>
      </c>
      <c r="C128" s="4">
        <v>38</v>
      </c>
      <c r="D128" s="29">
        <f t="shared" si="4"/>
        <v>6235.1124793015215</v>
      </c>
      <c r="E128" s="25">
        <f>C128-solver_opt</f>
        <v>-1347.5805509558936</v>
      </c>
      <c r="F128" s="25">
        <f t="shared" si="5"/>
        <v>1347.5805509558936</v>
      </c>
      <c r="G128" s="25">
        <f t="shared" si="6"/>
        <v>1815973.3413145898</v>
      </c>
      <c r="H128" s="30">
        <f t="shared" si="7"/>
        <v>35.462646077786673</v>
      </c>
    </row>
    <row r="129" spans="1:8" ht="15.75" customHeight="1">
      <c r="A129" s="4">
        <v>128</v>
      </c>
      <c r="B129" s="3">
        <v>21678</v>
      </c>
      <c r="C129" s="4">
        <v>52</v>
      </c>
      <c r="D129" s="29">
        <f t="shared" si="4"/>
        <v>6273.6008279391854</v>
      </c>
      <c r="E129" s="25">
        <f>C129-solver_opt</f>
        <v>-1333.5805509558936</v>
      </c>
      <c r="F129" s="25">
        <f t="shared" si="5"/>
        <v>1333.5805509558936</v>
      </c>
      <c r="G129" s="25">
        <f t="shared" si="6"/>
        <v>1778437.0858878247</v>
      </c>
      <c r="H129" s="30">
        <f t="shared" si="7"/>
        <v>25.645779826074879</v>
      </c>
    </row>
    <row r="130" spans="1:8" ht="15.75" customHeight="1">
      <c r="A130" s="4">
        <v>129</v>
      </c>
      <c r="B130" s="3">
        <v>21679</v>
      </c>
      <c r="C130" s="4">
        <v>30</v>
      </c>
      <c r="D130" s="29">
        <f t="shared" si="4"/>
        <v>6312.0891765768492</v>
      </c>
      <c r="E130" s="25">
        <f>C130-solver_opt</f>
        <v>-1355.5805509558936</v>
      </c>
      <c r="F130" s="25">
        <f t="shared" si="5"/>
        <v>1355.5805509558936</v>
      </c>
      <c r="G130" s="25">
        <f t="shared" si="6"/>
        <v>1837598.630129884</v>
      </c>
      <c r="H130" s="30">
        <f t="shared" si="7"/>
        <v>45.186018365196453</v>
      </c>
    </row>
    <row r="131" spans="1:8" ht="15.75" customHeight="1">
      <c r="A131" s="4">
        <v>130</v>
      </c>
      <c r="B131" s="3">
        <v>21680</v>
      </c>
      <c r="C131" s="4">
        <v>34</v>
      </c>
      <c r="D131" s="29">
        <f t="shared" ref="D131:D194" si="8">$K$2*($C$2+A131)</f>
        <v>6350.5775252145122</v>
      </c>
      <c r="E131" s="25">
        <f>C131-solver_opt</f>
        <v>-1351.5805509558936</v>
      </c>
      <c r="F131" s="25">
        <f t="shared" ref="F131:F194" si="9">ABS(E131)</f>
        <v>1351.5805509558936</v>
      </c>
      <c r="G131" s="25">
        <f t="shared" ref="G131:G194" si="10">F131^2</f>
        <v>1826769.985722237</v>
      </c>
      <c r="H131" s="30">
        <f t="shared" ref="H131:H194" si="11">F131/C131</f>
        <v>39.752369145761577</v>
      </c>
    </row>
    <row r="132" spans="1:8" ht="15.75" customHeight="1">
      <c r="A132" s="4">
        <v>131</v>
      </c>
      <c r="B132" s="3">
        <v>21681</v>
      </c>
      <c r="C132" s="4">
        <v>40</v>
      </c>
      <c r="D132" s="29">
        <f t="shared" si="8"/>
        <v>6389.0658738521761</v>
      </c>
      <c r="E132" s="25">
        <f>C132-solver_opt</f>
        <v>-1345.5805509558936</v>
      </c>
      <c r="F132" s="25">
        <f t="shared" si="9"/>
        <v>1345.5805509558936</v>
      </c>
      <c r="G132" s="25">
        <f t="shared" si="10"/>
        <v>1810587.0191107662</v>
      </c>
      <c r="H132" s="30">
        <f t="shared" si="11"/>
        <v>33.639513773897342</v>
      </c>
    </row>
    <row r="133" spans="1:8" ht="15.75" customHeight="1">
      <c r="A133" s="4">
        <v>132</v>
      </c>
      <c r="B133" s="3">
        <v>21682</v>
      </c>
      <c r="C133" s="4">
        <v>35</v>
      </c>
      <c r="D133" s="29">
        <f t="shared" si="8"/>
        <v>6427.55422248984</v>
      </c>
      <c r="E133" s="25">
        <f>C133-solver_opt</f>
        <v>-1350.5805509558936</v>
      </c>
      <c r="F133" s="25">
        <f t="shared" si="9"/>
        <v>1350.5805509558936</v>
      </c>
      <c r="G133" s="25">
        <f t="shared" si="10"/>
        <v>1824067.8246203251</v>
      </c>
      <c r="H133" s="30">
        <f t="shared" si="11"/>
        <v>38.588015741596962</v>
      </c>
    </row>
    <row r="134" spans="1:8" ht="15.75" customHeight="1">
      <c r="A134" s="4">
        <v>133</v>
      </c>
      <c r="B134" s="3">
        <v>21683</v>
      </c>
      <c r="C134" s="4">
        <v>42</v>
      </c>
      <c r="D134" s="29">
        <f t="shared" si="8"/>
        <v>6466.0425711275038</v>
      </c>
      <c r="E134" s="25">
        <f>C134-solver_opt</f>
        <v>-1343.5805509558936</v>
      </c>
      <c r="F134" s="25">
        <f t="shared" si="9"/>
        <v>1343.5805509558936</v>
      </c>
      <c r="G134" s="25">
        <f t="shared" si="10"/>
        <v>1805208.6969069426</v>
      </c>
      <c r="H134" s="30">
        <f t="shared" si="11"/>
        <v>31.990013117997467</v>
      </c>
    </row>
    <row r="135" spans="1:8" ht="15.75" customHeight="1">
      <c r="A135" s="4">
        <v>134</v>
      </c>
      <c r="B135" s="3">
        <v>21684</v>
      </c>
      <c r="C135" s="4">
        <v>41</v>
      </c>
      <c r="D135" s="29">
        <f t="shared" si="8"/>
        <v>6504.5309197651677</v>
      </c>
      <c r="E135" s="25">
        <f>C135-solver_opt</f>
        <v>-1344.5805509558936</v>
      </c>
      <c r="F135" s="25">
        <f t="shared" si="9"/>
        <v>1344.5805509558936</v>
      </c>
      <c r="G135" s="25">
        <f t="shared" si="10"/>
        <v>1807896.8580088543</v>
      </c>
      <c r="H135" s="30">
        <f t="shared" si="11"/>
        <v>32.79464758429009</v>
      </c>
    </row>
    <row r="136" spans="1:8" ht="15.75" customHeight="1">
      <c r="A136" s="4">
        <v>135</v>
      </c>
      <c r="B136" s="3">
        <v>21685</v>
      </c>
      <c r="C136" s="4">
        <v>42</v>
      </c>
      <c r="D136" s="29">
        <f t="shared" si="8"/>
        <v>6543.0192684028307</v>
      </c>
      <c r="E136" s="25">
        <f>C136-solver_opt</f>
        <v>-1343.5805509558936</v>
      </c>
      <c r="F136" s="25">
        <f t="shared" si="9"/>
        <v>1343.5805509558936</v>
      </c>
      <c r="G136" s="25">
        <f t="shared" si="10"/>
        <v>1805208.6969069426</v>
      </c>
      <c r="H136" s="30">
        <f t="shared" si="11"/>
        <v>31.990013117997467</v>
      </c>
    </row>
    <row r="137" spans="1:8" ht="15.75" customHeight="1">
      <c r="A137" s="4">
        <v>136</v>
      </c>
      <c r="B137" s="3">
        <v>21686</v>
      </c>
      <c r="C137" s="4">
        <v>38</v>
      </c>
      <c r="D137" s="29">
        <f t="shared" si="8"/>
        <v>6581.5076170404946</v>
      </c>
      <c r="E137" s="25">
        <f>C137-solver_opt</f>
        <v>-1347.5805509558936</v>
      </c>
      <c r="F137" s="25">
        <f t="shared" si="9"/>
        <v>1347.5805509558936</v>
      </c>
      <c r="G137" s="25">
        <f t="shared" si="10"/>
        <v>1815973.3413145898</v>
      </c>
      <c r="H137" s="30">
        <f t="shared" si="11"/>
        <v>35.462646077786673</v>
      </c>
    </row>
    <row r="138" spans="1:8" ht="15.75" customHeight="1">
      <c r="A138" s="4">
        <v>137</v>
      </c>
      <c r="B138" s="3">
        <v>21687</v>
      </c>
      <c r="C138" s="4">
        <v>24</v>
      </c>
      <c r="D138" s="29">
        <f t="shared" si="8"/>
        <v>6619.9959656781584</v>
      </c>
      <c r="E138" s="25">
        <f>C138-solver_opt</f>
        <v>-1361.5805509558936</v>
      </c>
      <c r="F138" s="25">
        <f t="shared" si="9"/>
        <v>1361.5805509558936</v>
      </c>
      <c r="G138" s="25">
        <f t="shared" si="10"/>
        <v>1853901.5967413548</v>
      </c>
      <c r="H138" s="30">
        <f t="shared" si="11"/>
        <v>56.732522956495565</v>
      </c>
    </row>
    <row r="139" spans="1:8" ht="15.75" customHeight="1">
      <c r="A139" s="4">
        <v>138</v>
      </c>
      <c r="B139" s="3">
        <v>21688</v>
      </c>
      <c r="C139" s="4">
        <v>34</v>
      </c>
      <c r="D139" s="29">
        <f t="shared" si="8"/>
        <v>6658.4843143158223</v>
      </c>
      <c r="E139" s="25">
        <f>C139-solver_opt</f>
        <v>-1351.5805509558936</v>
      </c>
      <c r="F139" s="25">
        <f t="shared" si="9"/>
        <v>1351.5805509558936</v>
      </c>
      <c r="G139" s="25">
        <f t="shared" si="10"/>
        <v>1826769.985722237</v>
      </c>
      <c r="H139" s="30">
        <f t="shared" si="11"/>
        <v>39.752369145761577</v>
      </c>
    </row>
    <row r="140" spans="1:8" ht="15.75" customHeight="1">
      <c r="A140" s="4">
        <v>139</v>
      </c>
      <c r="B140" s="3">
        <v>21689</v>
      </c>
      <c r="C140" s="4">
        <v>43</v>
      </c>
      <c r="D140" s="29">
        <f t="shared" si="8"/>
        <v>6696.9726629534862</v>
      </c>
      <c r="E140" s="25">
        <f>C140-solver_opt</f>
        <v>-1342.5805509558936</v>
      </c>
      <c r="F140" s="25">
        <f t="shared" si="9"/>
        <v>1342.5805509558936</v>
      </c>
      <c r="G140" s="25">
        <f t="shared" si="10"/>
        <v>1802522.535805031</v>
      </c>
      <c r="H140" s="30">
        <f t="shared" si="11"/>
        <v>31.222803510602176</v>
      </c>
    </row>
    <row r="141" spans="1:8" ht="15.75" customHeight="1">
      <c r="A141" s="4">
        <v>140</v>
      </c>
      <c r="B141" s="3">
        <v>21690</v>
      </c>
      <c r="C141" s="4">
        <v>36</v>
      </c>
      <c r="D141" s="29">
        <f t="shared" si="8"/>
        <v>6735.4610115911501</v>
      </c>
      <c r="E141" s="25">
        <f>C141-solver_opt</f>
        <v>-1349.5805509558936</v>
      </c>
      <c r="F141" s="25">
        <f t="shared" si="9"/>
        <v>1349.5805509558936</v>
      </c>
      <c r="G141" s="25">
        <f t="shared" si="10"/>
        <v>1821367.6635184134</v>
      </c>
      <c r="H141" s="30">
        <f t="shared" si="11"/>
        <v>37.488348637663712</v>
      </c>
    </row>
    <row r="142" spans="1:8" ht="15.75" customHeight="1">
      <c r="A142" s="4">
        <v>141</v>
      </c>
      <c r="B142" s="3">
        <v>21691</v>
      </c>
      <c r="C142" s="4">
        <v>55</v>
      </c>
      <c r="D142" s="29">
        <f t="shared" si="8"/>
        <v>6773.949360228813</v>
      </c>
      <c r="E142" s="25">
        <f>C142-solver_opt</f>
        <v>-1330.5805509558936</v>
      </c>
      <c r="F142" s="25">
        <f t="shared" si="9"/>
        <v>1330.5805509558936</v>
      </c>
      <c r="G142" s="25">
        <f t="shared" si="10"/>
        <v>1770444.6025820894</v>
      </c>
      <c r="H142" s="30">
        <f t="shared" si="11"/>
        <v>24.19237365374352</v>
      </c>
    </row>
    <row r="143" spans="1:8" ht="15.75" customHeight="1">
      <c r="A143" s="4">
        <v>142</v>
      </c>
      <c r="B143" s="3">
        <v>21692</v>
      </c>
      <c r="C143" s="4">
        <v>41</v>
      </c>
      <c r="D143" s="29">
        <f t="shared" si="8"/>
        <v>6812.4377088664769</v>
      </c>
      <c r="E143" s="25">
        <f>C143-solver_opt</f>
        <v>-1344.5805509558936</v>
      </c>
      <c r="F143" s="25">
        <f t="shared" si="9"/>
        <v>1344.5805509558936</v>
      </c>
      <c r="G143" s="25">
        <f t="shared" si="10"/>
        <v>1807896.8580088543</v>
      </c>
      <c r="H143" s="30">
        <f t="shared" si="11"/>
        <v>32.79464758429009</v>
      </c>
    </row>
    <row r="144" spans="1:8" ht="15.75" customHeight="1">
      <c r="A144" s="4">
        <v>143</v>
      </c>
      <c r="B144" s="3">
        <v>21693</v>
      </c>
      <c r="C144" s="4">
        <v>45</v>
      </c>
      <c r="D144" s="29">
        <f t="shared" si="8"/>
        <v>6850.9260575041408</v>
      </c>
      <c r="E144" s="25">
        <f>C144-solver_opt</f>
        <v>-1340.5805509558936</v>
      </c>
      <c r="F144" s="25">
        <f t="shared" si="9"/>
        <v>1340.5805509558936</v>
      </c>
      <c r="G144" s="25">
        <f t="shared" si="10"/>
        <v>1797156.2136012074</v>
      </c>
      <c r="H144" s="30">
        <f t="shared" si="11"/>
        <v>29.790678910130968</v>
      </c>
    </row>
    <row r="145" spans="1:8" ht="15.75" customHeight="1">
      <c r="A145" s="4">
        <v>144</v>
      </c>
      <c r="B145" s="3">
        <v>21694</v>
      </c>
      <c r="C145" s="4">
        <v>41</v>
      </c>
      <c r="D145" s="29">
        <f t="shared" si="8"/>
        <v>6889.4144061418046</v>
      </c>
      <c r="E145" s="25">
        <f>C145-solver_opt</f>
        <v>-1344.5805509558936</v>
      </c>
      <c r="F145" s="25">
        <f t="shared" si="9"/>
        <v>1344.5805509558936</v>
      </c>
      <c r="G145" s="25">
        <f t="shared" si="10"/>
        <v>1807896.8580088543</v>
      </c>
      <c r="H145" s="30">
        <f t="shared" si="11"/>
        <v>32.79464758429009</v>
      </c>
    </row>
    <row r="146" spans="1:8" ht="15.75" customHeight="1">
      <c r="A146" s="4">
        <v>145</v>
      </c>
      <c r="B146" s="3">
        <v>21695</v>
      </c>
      <c r="C146" s="4">
        <v>37</v>
      </c>
      <c r="D146" s="29">
        <f t="shared" si="8"/>
        <v>6927.9027547794685</v>
      </c>
      <c r="E146" s="25">
        <f>C146-solver_opt</f>
        <v>-1348.5805509558936</v>
      </c>
      <c r="F146" s="25">
        <f t="shared" si="9"/>
        <v>1348.5805509558936</v>
      </c>
      <c r="G146" s="25">
        <f t="shared" si="10"/>
        <v>1818669.5024165015</v>
      </c>
      <c r="H146" s="30">
        <f t="shared" si="11"/>
        <v>36.448122998807932</v>
      </c>
    </row>
    <row r="147" spans="1:8" ht="15.75" customHeight="1">
      <c r="A147" s="4">
        <v>146</v>
      </c>
      <c r="B147" s="3">
        <v>21696</v>
      </c>
      <c r="C147" s="4">
        <v>43</v>
      </c>
      <c r="D147" s="29">
        <f t="shared" si="8"/>
        <v>6966.3911034171315</v>
      </c>
      <c r="E147" s="25">
        <f>C147-solver_opt</f>
        <v>-1342.5805509558936</v>
      </c>
      <c r="F147" s="25">
        <f t="shared" si="9"/>
        <v>1342.5805509558936</v>
      </c>
      <c r="G147" s="25">
        <f t="shared" si="10"/>
        <v>1802522.535805031</v>
      </c>
      <c r="H147" s="30">
        <f t="shared" si="11"/>
        <v>31.222803510602176</v>
      </c>
    </row>
    <row r="148" spans="1:8" ht="15.75" customHeight="1">
      <c r="A148" s="4">
        <v>147</v>
      </c>
      <c r="B148" s="3">
        <v>21697</v>
      </c>
      <c r="C148" s="4">
        <v>39</v>
      </c>
      <c r="D148" s="29">
        <f t="shared" si="8"/>
        <v>7004.8794520547954</v>
      </c>
      <c r="E148" s="25">
        <f>C148-solver_opt</f>
        <v>-1346.5805509558936</v>
      </c>
      <c r="F148" s="25">
        <f t="shared" si="9"/>
        <v>1346.5805509558936</v>
      </c>
      <c r="G148" s="25">
        <f t="shared" si="10"/>
        <v>1813279.1802126779</v>
      </c>
      <c r="H148" s="30">
        <f t="shared" si="11"/>
        <v>34.5277064347665</v>
      </c>
    </row>
    <row r="149" spans="1:8" ht="15.75" customHeight="1">
      <c r="A149" s="4">
        <v>148</v>
      </c>
      <c r="B149" s="3">
        <v>21698</v>
      </c>
      <c r="C149" s="4">
        <v>33</v>
      </c>
      <c r="D149" s="29">
        <f t="shared" si="8"/>
        <v>7043.3678006924592</v>
      </c>
      <c r="E149" s="25">
        <f>C149-solver_opt</f>
        <v>-1352.5805509558936</v>
      </c>
      <c r="F149" s="25">
        <f t="shared" si="9"/>
        <v>1352.5805509558936</v>
      </c>
      <c r="G149" s="25">
        <f t="shared" si="10"/>
        <v>1829474.1468241487</v>
      </c>
      <c r="H149" s="30">
        <f t="shared" si="11"/>
        <v>40.987289422905867</v>
      </c>
    </row>
    <row r="150" spans="1:8" ht="15.75" customHeight="1">
      <c r="A150" s="4">
        <v>149</v>
      </c>
      <c r="B150" s="3">
        <v>21699</v>
      </c>
      <c r="C150" s="4">
        <v>43</v>
      </c>
      <c r="D150" s="29">
        <f t="shared" si="8"/>
        <v>7081.8561493301231</v>
      </c>
      <c r="E150" s="25">
        <f>C150-solver_opt</f>
        <v>-1342.5805509558936</v>
      </c>
      <c r="F150" s="25">
        <f t="shared" si="9"/>
        <v>1342.5805509558936</v>
      </c>
      <c r="G150" s="25">
        <f t="shared" si="10"/>
        <v>1802522.535805031</v>
      </c>
      <c r="H150" s="30">
        <f t="shared" si="11"/>
        <v>31.222803510602176</v>
      </c>
    </row>
    <row r="151" spans="1:8" ht="15.75" customHeight="1">
      <c r="A151" s="4">
        <v>150</v>
      </c>
      <c r="B151" s="3">
        <v>21700</v>
      </c>
      <c r="C151" s="4">
        <v>40</v>
      </c>
      <c r="D151" s="29">
        <f t="shared" si="8"/>
        <v>7120.344497967787</v>
      </c>
      <c r="E151" s="25">
        <f>C151-solver_opt</f>
        <v>-1345.5805509558936</v>
      </c>
      <c r="F151" s="25">
        <f t="shared" si="9"/>
        <v>1345.5805509558936</v>
      </c>
      <c r="G151" s="25">
        <f t="shared" si="10"/>
        <v>1810587.0191107662</v>
      </c>
      <c r="H151" s="30">
        <f t="shared" si="11"/>
        <v>33.639513773897342</v>
      </c>
    </row>
    <row r="152" spans="1:8" ht="15.75" customHeight="1">
      <c r="A152" s="4">
        <v>151</v>
      </c>
      <c r="B152" s="3">
        <v>21701</v>
      </c>
      <c r="C152" s="4">
        <v>38</v>
      </c>
      <c r="D152" s="29">
        <f t="shared" si="8"/>
        <v>7158.8328466054509</v>
      </c>
      <c r="E152" s="25">
        <f>C152-solver_opt</f>
        <v>-1347.5805509558936</v>
      </c>
      <c r="F152" s="25">
        <f t="shared" si="9"/>
        <v>1347.5805509558936</v>
      </c>
      <c r="G152" s="25">
        <f t="shared" si="10"/>
        <v>1815973.3413145898</v>
      </c>
      <c r="H152" s="30">
        <f t="shared" si="11"/>
        <v>35.462646077786673</v>
      </c>
    </row>
    <row r="153" spans="1:8" ht="15.75" customHeight="1">
      <c r="A153" s="4">
        <v>152</v>
      </c>
      <c r="B153" s="3">
        <v>21702</v>
      </c>
      <c r="C153" s="4">
        <v>45</v>
      </c>
      <c r="D153" s="29">
        <f t="shared" si="8"/>
        <v>7197.3211952431138</v>
      </c>
      <c r="E153" s="25">
        <f>C153-solver_opt</f>
        <v>-1340.5805509558936</v>
      </c>
      <c r="F153" s="25">
        <f t="shared" si="9"/>
        <v>1340.5805509558936</v>
      </c>
      <c r="G153" s="25">
        <f t="shared" si="10"/>
        <v>1797156.2136012074</v>
      </c>
      <c r="H153" s="30">
        <f t="shared" si="11"/>
        <v>29.790678910130968</v>
      </c>
    </row>
    <row r="154" spans="1:8" ht="15.75" customHeight="1">
      <c r="A154" s="4">
        <v>153</v>
      </c>
      <c r="B154" s="3">
        <v>21703</v>
      </c>
      <c r="C154" s="4">
        <v>46</v>
      </c>
      <c r="D154" s="29">
        <f t="shared" si="8"/>
        <v>7235.8095438807777</v>
      </c>
      <c r="E154" s="25">
        <f>C154-solver_opt</f>
        <v>-1339.5805509558936</v>
      </c>
      <c r="F154" s="25">
        <f t="shared" si="9"/>
        <v>1339.5805509558936</v>
      </c>
      <c r="G154" s="25">
        <f t="shared" si="10"/>
        <v>1794476.0524992954</v>
      </c>
      <c r="H154" s="30">
        <f t="shared" si="11"/>
        <v>29.121316325128124</v>
      </c>
    </row>
    <row r="155" spans="1:8" ht="15.75" customHeight="1">
      <c r="A155" s="4">
        <v>154</v>
      </c>
      <c r="B155" s="3">
        <v>21704</v>
      </c>
      <c r="C155" s="4">
        <v>34</v>
      </c>
      <c r="D155" s="29">
        <f t="shared" si="8"/>
        <v>7274.2978925184416</v>
      </c>
      <c r="E155" s="25">
        <f>C155-solver_opt</f>
        <v>-1351.5805509558936</v>
      </c>
      <c r="F155" s="25">
        <f t="shared" si="9"/>
        <v>1351.5805509558936</v>
      </c>
      <c r="G155" s="25">
        <f t="shared" si="10"/>
        <v>1826769.985722237</v>
      </c>
      <c r="H155" s="30">
        <f t="shared" si="11"/>
        <v>39.752369145761577</v>
      </c>
    </row>
    <row r="156" spans="1:8" ht="15.75" customHeight="1">
      <c r="A156" s="4">
        <v>155</v>
      </c>
      <c r="B156" s="3">
        <v>21705</v>
      </c>
      <c r="C156" s="4">
        <v>35</v>
      </c>
      <c r="D156" s="29">
        <f t="shared" si="8"/>
        <v>7312.7862411561055</v>
      </c>
      <c r="E156" s="25">
        <f>C156-solver_opt</f>
        <v>-1350.5805509558936</v>
      </c>
      <c r="F156" s="25">
        <f t="shared" si="9"/>
        <v>1350.5805509558936</v>
      </c>
      <c r="G156" s="25">
        <f t="shared" si="10"/>
        <v>1824067.8246203251</v>
      </c>
      <c r="H156" s="30">
        <f t="shared" si="11"/>
        <v>38.588015741596962</v>
      </c>
    </row>
    <row r="157" spans="1:8" ht="15.75" customHeight="1">
      <c r="A157" s="4">
        <v>156</v>
      </c>
      <c r="B157" s="3">
        <v>21706</v>
      </c>
      <c r="C157" s="4">
        <v>48</v>
      </c>
      <c r="D157" s="29">
        <f t="shared" si="8"/>
        <v>7351.2745897937693</v>
      </c>
      <c r="E157" s="25">
        <f>C157-solver_opt</f>
        <v>-1337.5805509558936</v>
      </c>
      <c r="F157" s="25">
        <f t="shared" si="9"/>
        <v>1337.5805509558936</v>
      </c>
      <c r="G157" s="25">
        <f t="shared" si="10"/>
        <v>1789121.7302954718</v>
      </c>
      <c r="H157" s="30">
        <f t="shared" si="11"/>
        <v>27.866261478247782</v>
      </c>
    </row>
    <row r="158" spans="1:8" ht="15.75" customHeight="1">
      <c r="A158" s="4">
        <v>157</v>
      </c>
      <c r="B158" s="3">
        <v>21707</v>
      </c>
      <c r="C158" s="4">
        <v>51</v>
      </c>
      <c r="D158" s="29">
        <f t="shared" si="8"/>
        <v>7389.7629384314332</v>
      </c>
      <c r="E158" s="25">
        <f>C158-solver_opt</f>
        <v>-1334.5805509558936</v>
      </c>
      <c r="F158" s="25">
        <f t="shared" si="9"/>
        <v>1334.5805509558936</v>
      </c>
      <c r="G158" s="25">
        <f t="shared" si="10"/>
        <v>1781105.2469897366</v>
      </c>
      <c r="H158" s="30">
        <f t="shared" si="11"/>
        <v>26.168246097174386</v>
      </c>
    </row>
    <row r="159" spans="1:8" ht="15.75" customHeight="1">
      <c r="A159" s="4">
        <v>158</v>
      </c>
      <c r="B159" s="3">
        <v>21708</v>
      </c>
      <c r="C159" s="4">
        <v>36</v>
      </c>
      <c r="D159" s="29">
        <f t="shared" si="8"/>
        <v>7428.2512870690962</v>
      </c>
      <c r="E159" s="25">
        <f>C159-solver_opt</f>
        <v>-1349.5805509558936</v>
      </c>
      <c r="F159" s="25">
        <f t="shared" si="9"/>
        <v>1349.5805509558936</v>
      </c>
      <c r="G159" s="25">
        <f t="shared" si="10"/>
        <v>1821367.6635184134</v>
      </c>
      <c r="H159" s="30">
        <f t="shared" si="11"/>
        <v>37.488348637663712</v>
      </c>
    </row>
    <row r="160" spans="1:8" ht="15.75" customHeight="1">
      <c r="A160" s="4">
        <v>159</v>
      </c>
      <c r="B160" s="3">
        <v>21709</v>
      </c>
      <c r="C160" s="4">
        <v>33</v>
      </c>
      <c r="D160" s="29">
        <f t="shared" si="8"/>
        <v>7466.7396357067601</v>
      </c>
      <c r="E160" s="25">
        <f>C160-solver_opt</f>
        <v>-1352.5805509558936</v>
      </c>
      <c r="F160" s="25">
        <f t="shared" si="9"/>
        <v>1352.5805509558936</v>
      </c>
      <c r="G160" s="25">
        <f t="shared" si="10"/>
        <v>1829474.1468241487</v>
      </c>
      <c r="H160" s="30">
        <f t="shared" si="11"/>
        <v>40.987289422905867</v>
      </c>
    </row>
    <row r="161" spans="1:8" ht="15.75" customHeight="1">
      <c r="A161" s="4">
        <v>160</v>
      </c>
      <c r="B161" s="3">
        <v>21710</v>
      </c>
      <c r="C161" s="4">
        <v>46</v>
      </c>
      <c r="D161" s="29">
        <f t="shared" si="8"/>
        <v>7505.2279843444239</v>
      </c>
      <c r="E161" s="25">
        <f>C161-solver_opt</f>
        <v>-1339.5805509558936</v>
      </c>
      <c r="F161" s="25">
        <f t="shared" si="9"/>
        <v>1339.5805509558936</v>
      </c>
      <c r="G161" s="25">
        <f t="shared" si="10"/>
        <v>1794476.0524992954</v>
      </c>
      <c r="H161" s="30">
        <f t="shared" si="11"/>
        <v>29.121316325128124</v>
      </c>
    </row>
    <row r="162" spans="1:8" ht="15.75" customHeight="1">
      <c r="A162" s="4">
        <v>161</v>
      </c>
      <c r="B162" s="3">
        <v>21711</v>
      </c>
      <c r="C162" s="4">
        <v>42</v>
      </c>
      <c r="D162" s="29">
        <f t="shared" si="8"/>
        <v>7543.7163329820878</v>
      </c>
      <c r="E162" s="25">
        <f>C162-solver_opt</f>
        <v>-1343.5805509558936</v>
      </c>
      <c r="F162" s="25">
        <f t="shared" si="9"/>
        <v>1343.5805509558936</v>
      </c>
      <c r="G162" s="25">
        <f t="shared" si="10"/>
        <v>1805208.6969069426</v>
      </c>
      <c r="H162" s="30">
        <f t="shared" si="11"/>
        <v>31.990013117997467</v>
      </c>
    </row>
    <row r="163" spans="1:8" ht="15.75" customHeight="1">
      <c r="A163" s="4">
        <v>162</v>
      </c>
      <c r="B163" s="3">
        <v>21712</v>
      </c>
      <c r="C163" s="4">
        <v>48</v>
      </c>
      <c r="D163" s="29">
        <f t="shared" si="8"/>
        <v>7582.2046816197517</v>
      </c>
      <c r="E163" s="25">
        <f>C163-solver_opt</f>
        <v>-1337.5805509558936</v>
      </c>
      <c r="F163" s="25">
        <f t="shared" si="9"/>
        <v>1337.5805509558936</v>
      </c>
      <c r="G163" s="25">
        <f t="shared" si="10"/>
        <v>1789121.7302954718</v>
      </c>
      <c r="H163" s="30">
        <f t="shared" si="11"/>
        <v>27.866261478247782</v>
      </c>
    </row>
    <row r="164" spans="1:8" ht="15.75" customHeight="1">
      <c r="A164" s="4">
        <v>163</v>
      </c>
      <c r="B164" s="3">
        <v>21713</v>
      </c>
      <c r="C164" s="4">
        <v>34</v>
      </c>
      <c r="D164" s="29">
        <f t="shared" si="8"/>
        <v>7620.6930302574146</v>
      </c>
      <c r="E164" s="25">
        <f>C164-solver_opt</f>
        <v>-1351.5805509558936</v>
      </c>
      <c r="F164" s="25">
        <f t="shared" si="9"/>
        <v>1351.5805509558936</v>
      </c>
      <c r="G164" s="25">
        <f t="shared" si="10"/>
        <v>1826769.985722237</v>
      </c>
      <c r="H164" s="30">
        <f t="shared" si="11"/>
        <v>39.752369145761577</v>
      </c>
    </row>
    <row r="165" spans="1:8" ht="15.75" customHeight="1">
      <c r="A165" s="4">
        <v>164</v>
      </c>
      <c r="B165" s="3">
        <v>21714</v>
      </c>
      <c r="C165" s="4">
        <v>41</v>
      </c>
      <c r="D165" s="29">
        <f t="shared" si="8"/>
        <v>7659.1813788950785</v>
      </c>
      <c r="E165" s="25">
        <f>C165-solver_opt</f>
        <v>-1344.5805509558936</v>
      </c>
      <c r="F165" s="25">
        <f t="shared" si="9"/>
        <v>1344.5805509558936</v>
      </c>
      <c r="G165" s="25">
        <f t="shared" si="10"/>
        <v>1807896.8580088543</v>
      </c>
      <c r="H165" s="30">
        <f t="shared" si="11"/>
        <v>32.79464758429009</v>
      </c>
    </row>
    <row r="166" spans="1:8" ht="15.75" customHeight="1">
      <c r="A166" s="4">
        <v>165</v>
      </c>
      <c r="B166" s="3">
        <v>21715</v>
      </c>
      <c r="C166" s="4">
        <v>35</v>
      </c>
      <c r="D166" s="29">
        <f t="shared" si="8"/>
        <v>7697.6697275327424</v>
      </c>
      <c r="E166" s="25">
        <f>C166-solver_opt</f>
        <v>-1350.5805509558936</v>
      </c>
      <c r="F166" s="25">
        <f t="shared" si="9"/>
        <v>1350.5805509558936</v>
      </c>
      <c r="G166" s="25">
        <f t="shared" si="10"/>
        <v>1824067.8246203251</v>
      </c>
      <c r="H166" s="30">
        <f t="shared" si="11"/>
        <v>38.588015741596962</v>
      </c>
    </row>
    <row r="167" spans="1:8" ht="15.75" customHeight="1">
      <c r="A167" s="4">
        <v>166</v>
      </c>
      <c r="B167" s="3">
        <v>21716</v>
      </c>
      <c r="C167" s="4">
        <v>40</v>
      </c>
      <c r="D167" s="29">
        <f t="shared" si="8"/>
        <v>7736.1580761704063</v>
      </c>
      <c r="E167" s="25">
        <f>C167-solver_opt</f>
        <v>-1345.5805509558936</v>
      </c>
      <c r="F167" s="25">
        <f t="shared" si="9"/>
        <v>1345.5805509558936</v>
      </c>
      <c r="G167" s="25">
        <f t="shared" si="10"/>
        <v>1810587.0191107662</v>
      </c>
      <c r="H167" s="30">
        <f t="shared" si="11"/>
        <v>33.639513773897342</v>
      </c>
    </row>
    <row r="168" spans="1:8" ht="15.75" customHeight="1">
      <c r="A168" s="4">
        <v>167</v>
      </c>
      <c r="B168" s="3">
        <v>21717</v>
      </c>
      <c r="C168" s="4">
        <v>34</v>
      </c>
      <c r="D168" s="29">
        <f t="shared" si="8"/>
        <v>7774.6464248080702</v>
      </c>
      <c r="E168" s="25">
        <f>C168-solver_opt</f>
        <v>-1351.5805509558936</v>
      </c>
      <c r="F168" s="25">
        <f t="shared" si="9"/>
        <v>1351.5805509558936</v>
      </c>
      <c r="G168" s="25">
        <f t="shared" si="10"/>
        <v>1826769.985722237</v>
      </c>
      <c r="H168" s="30">
        <f t="shared" si="11"/>
        <v>39.752369145761577</v>
      </c>
    </row>
    <row r="169" spans="1:8" ht="15.75" customHeight="1">
      <c r="A169" s="4">
        <v>168</v>
      </c>
      <c r="B169" s="3">
        <v>21718</v>
      </c>
      <c r="C169" s="4">
        <v>30</v>
      </c>
      <c r="D169" s="29">
        <f t="shared" si="8"/>
        <v>7813.134773445734</v>
      </c>
      <c r="E169" s="25">
        <f>C169-solver_opt</f>
        <v>-1355.5805509558936</v>
      </c>
      <c r="F169" s="25">
        <f t="shared" si="9"/>
        <v>1355.5805509558936</v>
      </c>
      <c r="G169" s="25">
        <f t="shared" si="10"/>
        <v>1837598.630129884</v>
      </c>
      <c r="H169" s="30">
        <f t="shared" si="11"/>
        <v>45.186018365196453</v>
      </c>
    </row>
    <row r="170" spans="1:8" ht="15.75" customHeight="1">
      <c r="A170" s="4">
        <v>169</v>
      </c>
      <c r="B170" s="3">
        <v>21719</v>
      </c>
      <c r="C170" s="4">
        <v>36</v>
      </c>
      <c r="D170" s="29">
        <f t="shared" si="8"/>
        <v>7851.623122083397</v>
      </c>
      <c r="E170" s="25">
        <f>C170-solver_opt</f>
        <v>-1349.5805509558936</v>
      </c>
      <c r="F170" s="25">
        <f t="shared" si="9"/>
        <v>1349.5805509558936</v>
      </c>
      <c r="G170" s="25">
        <f t="shared" si="10"/>
        <v>1821367.6635184134</v>
      </c>
      <c r="H170" s="30">
        <f t="shared" si="11"/>
        <v>37.488348637663712</v>
      </c>
    </row>
    <row r="171" spans="1:8" ht="15.75" customHeight="1">
      <c r="A171" s="4">
        <v>170</v>
      </c>
      <c r="B171" s="3">
        <v>21720</v>
      </c>
      <c r="C171" s="4">
        <v>40</v>
      </c>
      <c r="D171" s="29">
        <f t="shared" si="8"/>
        <v>7890.1114707210609</v>
      </c>
      <c r="E171" s="25">
        <f>C171-solver_opt</f>
        <v>-1345.5805509558936</v>
      </c>
      <c r="F171" s="25">
        <f t="shared" si="9"/>
        <v>1345.5805509558936</v>
      </c>
      <c r="G171" s="25">
        <f t="shared" si="10"/>
        <v>1810587.0191107662</v>
      </c>
      <c r="H171" s="30">
        <f t="shared" si="11"/>
        <v>33.639513773897342</v>
      </c>
    </row>
    <row r="172" spans="1:8" ht="15.75" customHeight="1">
      <c r="A172" s="4">
        <v>171</v>
      </c>
      <c r="B172" s="3">
        <v>21721</v>
      </c>
      <c r="C172" s="4">
        <v>39</v>
      </c>
      <c r="D172" s="29">
        <f t="shared" si="8"/>
        <v>7928.5998193587247</v>
      </c>
      <c r="E172" s="25">
        <f>C172-solver_opt</f>
        <v>-1346.5805509558936</v>
      </c>
      <c r="F172" s="25">
        <f t="shared" si="9"/>
        <v>1346.5805509558936</v>
      </c>
      <c r="G172" s="25">
        <f t="shared" si="10"/>
        <v>1813279.1802126779</v>
      </c>
      <c r="H172" s="30">
        <f t="shared" si="11"/>
        <v>34.5277064347665</v>
      </c>
    </row>
    <row r="173" spans="1:8" ht="15.75" customHeight="1">
      <c r="A173" s="4">
        <v>172</v>
      </c>
      <c r="B173" s="3">
        <v>21722</v>
      </c>
      <c r="C173" s="4">
        <v>45</v>
      </c>
      <c r="D173" s="29">
        <f t="shared" si="8"/>
        <v>7967.0881679963886</v>
      </c>
      <c r="E173" s="25">
        <f>C173-solver_opt</f>
        <v>-1340.5805509558936</v>
      </c>
      <c r="F173" s="25">
        <f t="shared" si="9"/>
        <v>1340.5805509558936</v>
      </c>
      <c r="G173" s="25">
        <f t="shared" si="10"/>
        <v>1797156.2136012074</v>
      </c>
      <c r="H173" s="30">
        <f t="shared" si="11"/>
        <v>29.790678910130968</v>
      </c>
    </row>
    <row r="174" spans="1:8" ht="15.75" customHeight="1">
      <c r="A174" s="4">
        <v>173</v>
      </c>
      <c r="B174" s="3">
        <v>21723</v>
      </c>
      <c r="C174" s="4">
        <v>38</v>
      </c>
      <c r="D174" s="29">
        <f t="shared" si="8"/>
        <v>8005.5765166340525</v>
      </c>
      <c r="E174" s="25">
        <f>C174-solver_opt</f>
        <v>-1347.5805509558936</v>
      </c>
      <c r="F174" s="25">
        <f t="shared" si="9"/>
        <v>1347.5805509558936</v>
      </c>
      <c r="G174" s="25">
        <f t="shared" si="10"/>
        <v>1815973.3413145898</v>
      </c>
      <c r="H174" s="30">
        <f t="shared" si="11"/>
        <v>35.462646077786673</v>
      </c>
    </row>
    <row r="175" spans="1:8" ht="15.75" customHeight="1">
      <c r="A175" s="4">
        <v>174</v>
      </c>
      <c r="B175" s="3">
        <v>21724</v>
      </c>
      <c r="C175" s="4">
        <v>47</v>
      </c>
      <c r="D175" s="29">
        <f t="shared" si="8"/>
        <v>8044.0648652717155</v>
      </c>
      <c r="E175" s="25">
        <f>C175-solver_opt</f>
        <v>-1338.5805509558936</v>
      </c>
      <c r="F175" s="25">
        <f t="shared" si="9"/>
        <v>1338.5805509558936</v>
      </c>
      <c r="G175" s="25">
        <f t="shared" si="10"/>
        <v>1791797.8913973838</v>
      </c>
      <c r="H175" s="30">
        <f t="shared" si="11"/>
        <v>28.480437254380714</v>
      </c>
    </row>
    <row r="176" spans="1:8" ht="15.75" customHeight="1">
      <c r="A176" s="4">
        <v>175</v>
      </c>
      <c r="B176" s="3">
        <v>21725</v>
      </c>
      <c r="C176" s="4">
        <v>33</v>
      </c>
      <c r="D176" s="29">
        <f t="shared" si="8"/>
        <v>8082.5532139093793</v>
      </c>
      <c r="E176" s="25">
        <f>C176-solver_opt</f>
        <v>-1352.5805509558936</v>
      </c>
      <c r="F176" s="25">
        <f t="shared" si="9"/>
        <v>1352.5805509558936</v>
      </c>
      <c r="G176" s="25">
        <f t="shared" si="10"/>
        <v>1829474.1468241487</v>
      </c>
      <c r="H176" s="30">
        <f t="shared" si="11"/>
        <v>40.987289422905867</v>
      </c>
    </row>
    <row r="177" spans="1:8" ht="15.75" customHeight="1">
      <c r="A177" s="4">
        <v>176</v>
      </c>
      <c r="B177" s="3">
        <v>21726</v>
      </c>
      <c r="C177" s="4">
        <v>30</v>
      </c>
      <c r="D177" s="29">
        <f t="shared" si="8"/>
        <v>8121.0415625470432</v>
      </c>
      <c r="E177" s="25">
        <f>C177-solver_opt</f>
        <v>-1355.5805509558936</v>
      </c>
      <c r="F177" s="25">
        <f t="shared" si="9"/>
        <v>1355.5805509558936</v>
      </c>
      <c r="G177" s="25">
        <f t="shared" si="10"/>
        <v>1837598.630129884</v>
      </c>
      <c r="H177" s="30">
        <f t="shared" si="11"/>
        <v>45.186018365196453</v>
      </c>
    </row>
    <row r="178" spans="1:8" ht="15.75" customHeight="1">
      <c r="A178" s="4">
        <v>177</v>
      </c>
      <c r="B178" s="3">
        <v>21727</v>
      </c>
      <c r="C178" s="4">
        <v>42</v>
      </c>
      <c r="D178" s="29">
        <f t="shared" si="8"/>
        <v>8159.5299111847071</v>
      </c>
      <c r="E178" s="25">
        <f>C178-solver_opt</f>
        <v>-1343.5805509558936</v>
      </c>
      <c r="F178" s="25">
        <f t="shared" si="9"/>
        <v>1343.5805509558936</v>
      </c>
      <c r="G178" s="25">
        <f t="shared" si="10"/>
        <v>1805208.6969069426</v>
      </c>
      <c r="H178" s="30">
        <f t="shared" si="11"/>
        <v>31.990013117997467</v>
      </c>
    </row>
    <row r="179" spans="1:8" ht="15.75" customHeight="1">
      <c r="A179" s="4">
        <v>178</v>
      </c>
      <c r="B179" s="3">
        <v>21728</v>
      </c>
      <c r="C179" s="4">
        <v>43</v>
      </c>
      <c r="D179" s="29">
        <f t="shared" si="8"/>
        <v>8198.018259822371</v>
      </c>
      <c r="E179" s="25">
        <f>C179-solver_opt</f>
        <v>-1342.5805509558936</v>
      </c>
      <c r="F179" s="25">
        <f t="shared" si="9"/>
        <v>1342.5805509558936</v>
      </c>
      <c r="G179" s="25">
        <f t="shared" si="10"/>
        <v>1802522.535805031</v>
      </c>
      <c r="H179" s="30">
        <f t="shared" si="11"/>
        <v>31.222803510602176</v>
      </c>
    </row>
    <row r="180" spans="1:8" ht="15.75" customHeight="1">
      <c r="A180" s="4">
        <v>179</v>
      </c>
      <c r="B180" s="3">
        <v>21729</v>
      </c>
      <c r="C180" s="4">
        <v>41</v>
      </c>
      <c r="D180" s="29">
        <f t="shared" si="8"/>
        <v>8236.5066084600348</v>
      </c>
      <c r="E180" s="25">
        <f>C180-solver_opt</f>
        <v>-1344.5805509558936</v>
      </c>
      <c r="F180" s="25">
        <f t="shared" si="9"/>
        <v>1344.5805509558936</v>
      </c>
      <c r="G180" s="25">
        <f t="shared" si="10"/>
        <v>1807896.8580088543</v>
      </c>
      <c r="H180" s="30">
        <f t="shared" si="11"/>
        <v>32.79464758429009</v>
      </c>
    </row>
    <row r="181" spans="1:8" ht="15.75" customHeight="1">
      <c r="A181" s="4">
        <v>180</v>
      </c>
      <c r="B181" s="3">
        <v>21730</v>
      </c>
      <c r="C181" s="4">
        <v>41</v>
      </c>
      <c r="D181" s="29">
        <f t="shared" si="8"/>
        <v>8274.9949570976987</v>
      </c>
      <c r="E181" s="25">
        <f>C181-solver_opt</f>
        <v>-1344.5805509558936</v>
      </c>
      <c r="F181" s="25">
        <f t="shared" si="9"/>
        <v>1344.5805509558936</v>
      </c>
      <c r="G181" s="25">
        <f t="shared" si="10"/>
        <v>1807896.8580088543</v>
      </c>
      <c r="H181" s="30">
        <f t="shared" si="11"/>
        <v>32.79464758429009</v>
      </c>
    </row>
    <row r="182" spans="1:8" ht="15.75" customHeight="1">
      <c r="A182" s="4">
        <v>181</v>
      </c>
      <c r="B182" s="3">
        <v>21731</v>
      </c>
      <c r="C182" s="4">
        <v>59</v>
      </c>
      <c r="D182" s="29">
        <f t="shared" si="8"/>
        <v>8313.4833057353626</v>
      </c>
      <c r="E182" s="25">
        <f>C182-solver_opt</f>
        <v>-1326.5805509558936</v>
      </c>
      <c r="F182" s="25">
        <f t="shared" si="9"/>
        <v>1326.5805509558936</v>
      </c>
      <c r="G182" s="25">
        <f t="shared" si="10"/>
        <v>1759815.9581744422</v>
      </c>
      <c r="H182" s="30">
        <f t="shared" si="11"/>
        <v>22.484416117896501</v>
      </c>
    </row>
    <row r="183" spans="1:8" ht="15.75" customHeight="1">
      <c r="A183" s="4">
        <v>182</v>
      </c>
      <c r="B183" s="3">
        <v>21732</v>
      </c>
      <c r="C183" s="4">
        <v>43</v>
      </c>
      <c r="D183" s="29">
        <f t="shared" si="8"/>
        <v>8351.9716543730265</v>
      </c>
      <c r="E183" s="25">
        <f>C183-solver_opt</f>
        <v>-1342.5805509558936</v>
      </c>
      <c r="F183" s="25">
        <f t="shared" si="9"/>
        <v>1342.5805509558936</v>
      </c>
      <c r="G183" s="25">
        <f t="shared" si="10"/>
        <v>1802522.535805031</v>
      </c>
      <c r="H183" s="30">
        <f t="shared" si="11"/>
        <v>31.222803510602176</v>
      </c>
    </row>
    <row r="184" spans="1:8" ht="15.75" customHeight="1">
      <c r="A184" s="4">
        <v>183</v>
      </c>
      <c r="B184" s="3">
        <v>21733</v>
      </c>
      <c r="C184" s="4">
        <v>45</v>
      </c>
      <c r="D184" s="29">
        <f t="shared" si="8"/>
        <v>8390.4600030106885</v>
      </c>
      <c r="E184" s="25">
        <f>C184-solver_opt</f>
        <v>-1340.5805509558936</v>
      </c>
      <c r="F184" s="25">
        <f t="shared" si="9"/>
        <v>1340.5805509558936</v>
      </c>
      <c r="G184" s="25">
        <f t="shared" si="10"/>
        <v>1797156.2136012074</v>
      </c>
      <c r="H184" s="30">
        <f t="shared" si="11"/>
        <v>29.790678910130968</v>
      </c>
    </row>
    <row r="185" spans="1:8" ht="15.75" customHeight="1">
      <c r="A185" s="4">
        <v>184</v>
      </c>
      <c r="B185" s="3">
        <v>21734</v>
      </c>
      <c r="C185" s="4">
        <v>38</v>
      </c>
      <c r="D185" s="29">
        <f t="shared" si="8"/>
        <v>8428.9483516483524</v>
      </c>
      <c r="E185" s="25">
        <f>C185-solver_opt</f>
        <v>-1347.5805509558936</v>
      </c>
      <c r="F185" s="25">
        <f t="shared" si="9"/>
        <v>1347.5805509558936</v>
      </c>
      <c r="G185" s="25">
        <f t="shared" si="10"/>
        <v>1815973.3413145898</v>
      </c>
      <c r="H185" s="30">
        <f t="shared" si="11"/>
        <v>35.462646077786673</v>
      </c>
    </row>
    <row r="186" spans="1:8" ht="15.75" customHeight="1">
      <c r="A186" s="4">
        <v>185</v>
      </c>
      <c r="B186" s="3">
        <v>21735</v>
      </c>
      <c r="C186" s="4">
        <v>37</v>
      </c>
      <c r="D186" s="29">
        <f t="shared" si="8"/>
        <v>8467.4367002860163</v>
      </c>
      <c r="E186" s="25">
        <f>C186-solver_opt</f>
        <v>-1348.5805509558936</v>
      </c>
      <c r="F186" s="25">
        <f t="shared" si="9"/>
        <v>1348.5805509558936</v>
      </c>
      <c r="G186" s="25">
        <f t="shared" si="10"/>
        <v>1818669.5024165015</v>
      </c>
      <c r="H186" s="30">
        <f t="shared" si="11"/>
        <v>36.448122998807932</v>
      </c>
    </row>
    <row r="187" spans="1:8" ht="15.75" customHeight="1">
      <c r="A187" s="4">
        <v>186</v>
      </c>
      <c r="B187" s="3">
        <v>21736</v>
      </c>
      <c r="C187" s="4">
        <v>45</v>
      </c>
      <c r="D187" s="29">
        <f t="shared" si="8"/>
        <v>8505.9250489236802</v>
      </c>
      <c r="E187" s="25">
        <f>C187-solver_opt</f>
        <v>-1340.5805509558936</v>
      </c>
      <c r="F187" s="25">
        <f t="shared" si="9"/>
        <v>1340.5805509558936</v>
      </c>
      <c r="G187" s="25">
        <f t="shared" si="10"/>
        <v>1797156.2136012074</v>
      </c>
      <c r="H187" s="30">
        <f t="shared" si="11"/>
        <v>29.790678910130968</v>
      </c>
    </row>
    <row r="188" spans="1:8" ht="15.75" customHeight="1">
      <c r="A188" s="4">
        <v>187</v>
      </c>
      <c r="B188" s="3">
        <v>21737</v>
      </c>
      <c r="C188" s="4">
        <v>42</v>
      </c>
      <c r="D188" s="29">
        <f t="shared" si="8"/>
        <v>8544.413397561344</v>
      </c>
      <c r="E188" s="25">
        <f>C188-solver_opt</f>
        <v>-1343.5805509558936</v>
      </c>
      <c r="F188" s="25">
        <f t="shared" si="9"/>
        <v>1343.5805509558936</v>
      </c>
      <c r="G188" s="25">
        <f t="shared" si="10"/>
        <v>1805208.6969069426</v>
      </c>
      <c r="H188" s="30">
        <f t="shared" si="11"/>
        <v>31.990013117997467</v>
      </c>
    </row>
    <row r="189" spans="1:8" ht="15.75" customHeight="1">
      <c r="A189" s="4">
        <v>188</v>
      </c>
      <c r="B189" s="3">
        <v>21738</v>
      </c>
      <c r="C189" s="4">
        <v>57</v>
      </c>
      <c r="D189" s="29">
        <f t="shared" si="8"/>
        <v>8582.9017461990079</v>
      </c>
      <c r="E189" s="25">
        <f>C189-solver_opt</f>
        <v>-1328.5805509558936</v>
      </c>
      <c r="F189" s="25">
        <f t="shared" si="9"/>
        <v>1328.5805509558936</v>
      </c>
      <c r="G189" s="25">
        <f t="shared" si="10"/>
        <v>1765126.2803782658</v>
      </c>
      <c r="H189" s="30">
        <f t="shared" si="11"/>
        <v>23.308430718524448</v>
      </c>
    </row>
    <row r="190" spans="1:8" ht="15.75" customHeight="1">
      <c r="A190" s="4">
        <v>189</v>
      </c>
      <c r="B190" s="3">
        <v>21739</v>
      </c>
      <c r="C190" s="4">
        <v>46</v>
      </c>
      <c r="D190" s="29">
        <f t="shared" si="8"/>
        <v>8621.3900948366718</v>
      </c>
      <c r="E190" s="25">
        <f>C190-solver_opt</f>
        <v>-1339.5805509558936</v>
      </c>
      <c r="F190" s="25">
        <f t="shared" si="9"/>
        <v>1339.5805509558936</v>
      </c>
      <c r="G190" s="25">
        <f t="shared" si="10"/>
        <v>1794476.0524992954</v>
      </c>
      <c r="H190" s="30">
        <f t="shared" si="11"/>
        <v>29.121316325128124</v>
      </c>
    </row>
    <row r="191" spans="1:8" ht="15.75" customHeight="1">
      <c r="A191" s="4">
        <v>190</v>
      </c>
      <c r="B191" s="3">
        <v>21740</v>
      </c>
      <c r="C191" s="4">
        <v>51</v>
      </c>
      <c r="D191" s="29">
        <f t="shared" si="8"/>
        <v>8659.8784434743357</v>
      </c>
      <c r="E191" s="25">
        <f>C191-solver_opt</f>
        <v>-1334.5805509558936</v>
      </c>
      <c r="F191" s="25">
        <f t="shared" si="9"/>
        <v>1334.5805509558936</v>
      </c>
      <c r="G191" s="25">
        <f t="shared" si="10"/>
        <v>1781105.2469897366</v>
      </c>
      <c r="H191" s="30">
        <f t="shared" si="11"/>
        <v>26.168246097174386</v>
      </c>
    </row>
    <row r="192" spans="1:8" ht="15.75" customHeight="1">
      <c r="A192" s="4">
        <v>191</v>
      </c>
      <c r="B192" s="3">
        <v>21741</v>
      </c>
      <c r="C192" s="4">
        <v>41</v>
      </c>
      <c r="D192" s="29">
        <f t="shared" si="8"/>
        <v>8698.3667921119995</v>
      </c>
      <c r="E192" s="25">
        <f>C192-solver_opt</f>
        <v>-1344.5805509558936</v>
      </c>
      <c r="F192" s="25">
        <f t="shared" si="9"/>
        <v>1344.5805509558936</v>
      </c>
      <c r="G192" s="25">
        <f t="shared" si="10"/>
        <v>1807896.8580088543</v>
      </c>
      <c r="H192" s="30">
        <f t="shared" si="11"/>
        <v>32.79464758429009</v>
      </c>
    </row>
    <row r="193" spans="1:8" ht="15.75" customHeight="1">
      <c r="A193" s="4">
        <v>192</v>
      </c>
      <c r="B193" s="3">
        <v>21742</v>
      </c>
      <c r="C193" s="4">
        <v>47</v>
      </c>
      <c r="D193" s="29">
        <f t="shared" si="8"/>
        <v>8736.8551407496634</v>
      </c>
      <c r="E193" s="25">
        <f>C193-solver_opt</f>
        <v>-1338.5805509558936</v>
      </c>
      <c r="F193" s="25">
        <f t="shared" si="9"/>
        <v>1338.5805509558936</v>
      </c>
      <c r="G193" s="25">
        <f t="shared" si="10"/>
        <v>1791797.8913973838</v>
      </c>
      <c r="H193" s="30">
        <f t="shared" si="11"/>
        <v>28.480437254380714</v>
      </c>
    </row>
    <row r="194" spans="1:8" ht="15.75" customHeight="1">
      <c r="A194" s="4">
        <v>193</v>
      </c>
      <c r="B194" s="3">
        <v>21743</v>
      </c>
      <c r="C194" s="4">
        <v>26</v>
      </c>
      <c r="D194" s="29">
        <f t="shared" si="8"/>
        <v>8775.3434893873273</v>
      </c>
      <c r="E194" s="25">
        <f>C194-solver_opt</f>
        <v>-1359.5805509558936</v>
      </c>
      <c r="F194" s="25">
        <f t="shared" si="9"/>
        <v>1359.5805509558936</v>
      </c>
      <c r="G194" s="25">
        <f t="shared" si="10"/>
        <v>1848459.2745375312</v>
      </c>
      <c r="H194" s="30">
        <f t="shared" si="11"/>
        <v>52.291559652149758</v>
      </c>
    </row>
    <row r="195" spans="1:8" ht="15.75" customHeight="1">
      <c r="A195" s="4">
        <v>194</v>
      </c>
      <c r="B195" s="3">
        <v>21744</v>
      </c>
      <c r="C195" s="4">
        <v>35</v>
      </c>
      <c r="D195" s="29">
        <f t="shared" ref="D195:D258" si="12">$K$2*($C$2+A195)</f>
        <v>8813.8318380249893</v>
      </c>
      <c r="E195" s="25">
        <f>C195-solver_opt</f>
        <v>-1350.5805509558936</v>
      </c>
      <c r="F195" s="25">
        <f t="shared" ref="F195:F258" si="13">ABS(E195)</f>
        <v>1350.5805509558936</v>
      </c>
      <c r="G195" s="25">
        <f t="shared" ref="G195:G258" si="14">F195^2</f>
        <v>1824067.8246203251</v>
      </c>
      <c r="H195" s="30">
        <f t="shared" ref="H195:H258" si="15">F195/C195</f>
        <v>38.588015741596962</v>
      </c>
    </row>
    <row r="196" spans="1:8" ht="15.75" customHeight="1">
      <c r="A196" s="4">
        <v>195</v>
      </c>
      <c r="B196" s="3">
        <v>21745</v>
      </c>
      <c r="C196" s="4">
        <v>44</v>
      </c>
      <c r="D196" s="29">
        <f t="shared" si="12"/>
        <v>8852.3201866626532</v>
      </c>
      <c r="E196" s="25">
        <f>C196-solver_opt</f>
        <v>-1341.5805509558936</v>
      </c>
      <c r="F196" s="25">
        <f t="shared" si="13"/>
        <v>1341.5805509558936</v>
      </c>
      <c r="G196" s="25">
        <f t="shared" si="14"/>
        <v>1799838.374703119</v>
      </c>
      <c r="H196" s="30">
        <f t="shared" si="15"/>
        <v>30.490467067179399</v>
      </c>
    </row>
    <row r="197" spans="1:8" ht="15.75" customHeight="1">
      <c r="A197" s="4">
        <v>196</v>
      </c>
      <c r="B197" s="3">
        <v>21746</v>
      </c>
      <c r="C197" s="4">
        <v>41</v>
      </c>
      <c r="D197" s="29">
        <f t="shared" si="12"/>
        <v>8890.8085353003171</v>
      </c>
      <c r="E197" s="25">
        <f>C197-solver_opt</f>
        <v>-1344.5805509558936</v>
      </c>
      <c r="F197" s="25">
        <f t="shared" si="13"/>
        <v>1344.5805509558936</v>
      </c>
      <c r="G197" s="25">
        <f t="shared" si="14"/>
        <v>1807896.8580088543</v>
      </c>
      <c r="H197" s="30">
        <f t="shared" si="15"/>
        <v>32.79464758429009</v>
      </c>
    </row>
    <row r="198" spans="1:8" ht="15.75" customHeight="1">
      <c r="A198" s="4">
        <v>197</v>
      </c>
      <c r="B198" s="3">
        <v>21747</v>
      </c>
      <c r="C198" s="4">
        <v>42</v>
      </c>
      <c r="D198" s="29">
        <f t="shared" si="12"/>
        <v>8929.296883937981</v>
      </c>
      <c r="E198" s="25">
        <f>C198-solver_opt</f>
        <v>-1343.5805509558936</v>
      </c>
      <c r="F198" s="25">
        <f t="shared" si="13"/>
        <v>1343.5805509558936</v>
      </c>
      <c r="G198" s="25">
        <f t="shared" si="14"/>
        <v>1805208.6969069426</v>
      </c>
      <c r="H198" s="30">
        <f t="shared" si="15"/>
        <v>31.990013117997467</v>
      </c>
    </row>
    <row r="199" spans="1:8" ht="15.75" customHeight="1">
      <c r="A199" s="4">
        <v>198</v>
      </c>
      <c r="B199" s="3">
        <v>21748</v>
      </c>
      <c r="C199" s="4">
        <v>36</v>
      </c>
      <c r="D199" s="29">
        <f t="shared" si="12"/>
        <v>8967.7852325756448</v>
      </c>
      <c r="E199" s="25">
        <f>C199-solver_opt</f>
        <v>-1349.5805509558936</v>
      </c>
      <c r="F199" s="25">
        <f t="shared" si="13"/>
        <v>1349.5805509558936</v>
      </c>
      <c r="G199" s="25">
        <f t="shared" si="14"/>
        <v>1821367.6635184134</v>
      </c>
      <c r="H199" s="30">
        <f t="shared" si="15"/>
        <v>37.488348637663712</v>
      </c>
    </row>
    <row r="200" spans="1:8" ht="15.75" customHeight="1">
      <c r="A200" s="4">
        <v>199</v>
      </c>
      <c r="B200" s="3">
        <v>21749</v>
      </c>
      <c r="C200" s="4">
        <v>45</v>
      </c>
      <c r="D200" s="29">
        <f t="shared" si="12"/>
        <v>9006.2735812133087</v>
      </c>
      <c r="E200" s="25">
        <f>C200-solver_opt</f>
        <v>-1340.5805509558936</v>
      </c>
      <c r="F200" s="25">
        <f t="shared" si="13"/>
        <v>1340.5805509558936</v>
      </c>
      <c r="G200" s="25">
        <f t="shared" si="14"/>
        <v>1797156.2136012074</v>
      </c>
      <c r="H200" s="30">
        <f t="shared" si="15"/>
        <v>29.790678910130968</v>
      </c>
    </row>
    <row r="201" spans="1:8" ht="15.75" customHeight="1">
      <c r="A201" s="4">
        <v>200</v>
      </c>
      <c r="B201" s="3">
        <v>21750</v>
      </c>
      <c r="C201" s="4">
        <v>45</v>
      </c>
      <c r="D201" s="29">
        <f t="shared" si="12"/>
        <v>9044.7619298509726</v>
      </c>
      <c r="E201" s="25">
        <f>C201-solver_opt</f>
        <v>-1340.5805509558936</v>
      </c>
      <c r="F201" s="25">
        <f t="shared" si="13"/>
        <v>1340.5805509558936</v>
      </c>
      <c r="G201" s="25">
        <f t="shared" si="14"/>
        <v>1797156.2136012074</v>
      </c>
      <c r="H201" s="30">
        <f t="shared" si="15"/>
        <v>29.790678910130968</v>
      </c>
    </row>
    <row r="202" spans="1:8" ht="15.75" customHeight="1">
      <c r="A202" s="4">
        <v>201</v>
      </c>
      <c r="B202" s="3">
        <v>21751</v>
      </c>
      <c r="C202" s="4">
        <v>45</v>
      </c>
      <c r="D202" s="29">
        <f t="shared" si="12"/>
        <v>9083.2502784886365</v>
      </c>
      <c r="E202" s="25">
        <f>C202-solver_opt</f>
        <v>-1340.5805509558936</v>
      </c>
      <c r="F202" s="25">
        <f t="shared" si="13"/>
        <v>1340.5805509558936</v>
      </c>
      <c r="G202" s="25">
        <f t="shared" si="14"/>
        <v>1797156.2136012074</v>
      </c>
      <c r="H202" s="30">
        <f t="shared" si="15"/>
        <v>29.790678910130968</v>
      </c>
    </row>
    <row r="203" spans="1:8" ht="15.75" customHeight="1">
      <c r="A203" s="4">
        <v>202</v>
      </c>
      <c r="B203" s="3">
        <v>21752</v>
      </c>
      <c r="C203" s="4">
        <v>47</v>
      </c>
      <c r="D203" s="29">
        <f t="shared" si="12"/>
        <v>9121.7386271263003</v>
      </c>
      <c r="E203" s="25">
        <f>C203-solver_opt</f>
        <v>-1338.5805509558936</v>
      </c>
      <c r="F203" s="25">
        <f t="shared" si="13"/>
        <v>1338.5805509558936</v>
      </c>
      <c r="G203" s="25">
        <f t="shared" si="14"/>
        <v>1791797.8913973838</v>
      </c>
      <c r="H203" s="30">
        <f t="shared" si="15"/>
        <v>28.480437254380714</v>
      </c>
    </row>
    <row r="204" spans="1:8" ht="15.75" customHeight="1">
      <c r="A204" s="4">
        <v>203</v>
      </c>
      <c r="B204" s="3">
        <v>21753</v>
      </c>
      <c r="C204" s="4">
        <v>38</v>
      </c>
      <c r="D204" s="29">
        <f t="shared" si="12"/>
        <v>9160.2269757639642</v>
      </c>
      <c r="E204" s="25">
        <f>C204-solver_opt</f>
        <v>-1347.5805509558936</v>
      </c>
      <c r="F204" s="25">
        <f t="shared" si="13"/>
        <v>1347.5805509558936</v>
      </c>
      <c r="G204" s="25">
        <f t="shared" si="14"/>
        <v>1815973.3413145898</v>
      </c>
      <c r="H204" s="30">
        <f t="shared" si="15"/>
        <v>35.462646077786673</v>
      </c>
    </row>
    <row r="205" spans="1:8" ht="15.75" customHeight="1">
      <c r="A205" s="4">
        <v>204</v>
      </c>
      <c r="B205" s="3">
        <v>21754</v>
      </c>
      <c r="C205" s="4">
        <v>42</v>
      </c>
      <c r="D205" s="29">
        <f t="shared" si="12"/>
        <v>9198.7153244016281</v>
      </c>
      <c r="E205" s="25">
        <f>C205-solver_opt</f>
        <v>-1343.5805509558936</v>
      </c>
      <c r="F205" s="25">
        <f t="shared" si="13"/>
        <v>1343.5805509558936</v>
      </c>
      <c r="G205" s="25">
        <f t="shared" si="14"/>
        <v>1805208.6969069426</v>
      </c>
      <c r="H205" s="30">
        <f t="shared" si="15"/>
        <v>31.990013117997467</v>
      </c>
    </row>
    <row r="206" spans="1:8" ht="15.75" customHeight="1">
      <c r="A206" s="4">
        <v>205</v>
      </c>
      <c r="B206" s="3">
        <v>21755</v>
      </c>
      <c r="C206" s="4">
        <v>35</v>
      </c>
      <c r="D206" s="29">
        <f t="shared" si="12"/>
        <v>9237.2036730392902</v>
      </c>
      <c r="E206" s="25">
        <f>C206-solver_opt</f>
        <v>-1350.5805509558936</v>
      </c>
      <c r="F206" s="25">
        <f t="shared" si="13"/>
        <v>1350.5805509558936</v>
      </c>
      <c r="G206" s="25">
        <f t="shared" si="14"/>
        <v>1824067.8246203251</v>
      </c>
      <c r="H206" s="30">
        <f t="shared" si="15"/>
        <v>38.588015741596962</v>
      </c>
    </row>
    <row r="207" spans="1:8" ht="15.75" customHeight="1">
      <c r="A207" s="4">
        <v>206</v>
      </c>
      <c r="B207" s="3">
        <v>21756</v>
      </c>
      <c r="C207" s="4">
        <v>36</v>
      </c>
      <c r="D207" s="29">
        <f t="shared" si="12"/>
        <v>9275.692021676954</v>
      </c>
      <c r="E207" s="25">
        <f>C207-solver_opt</f>
        <v>-1349.5805509558936</v>
      </c>
      <c r="F207" s="25">
        <f t="shared" si="13"/>
        <v>1349.5805509558936</v>
      </c>
      <c r="G207" s="25">
        <f t="shared" si="14"/>
        <v>1821367.6635184134</v>
      </c>
      <c r="H207" s="30">
        <f t="shared" si="15"/>
        <v>37.488348637663712</v>
      </c>
    </row>
    <row r="208" spans="1:8" ht="15.75" customHeight="1">
      <c r="A208" s="4">
        <v>207</v>
      </c>
      <c r="B208" s="3">
        <v>21757</v>
      </c>
      <c r="C208" s="4">
        <v>39</v>
      </c>
      <c r="D208" s="29">
        <f t="shared" si="12"/>
        <v>9314.1803703146179</v>
      </c>
      <c r="E208" s="25">
        <f>C208-solver_opt</f>
        <v>-1346.5805509558936</v>
      </c>
      <c r="F208" s="25">
        <f t="shared" si="13"/>
        <v>1346.5805509558936</v>
      </c>
      <c r="G208" s="25">
        <f t="shared" si="14"/>
        <v>1813279.1802126779</v>
      </c>
      <c r="H208" s="30">
        <f t="shared" si="15"/>
        <v>34.5277064347665</v>
      </c>
    </row>
    <row r="209" spans="1:8" ht="15.75" customHeight="1">
      <c r="A209" s="4">
        <v>208</v>
      </c>
      <c r="B209" s="3">
        <v>21758</v>
      </c>
      <c r="C209" s="4">
        <v>45</v>
      </c>
      <c r="D209" s="29">
        <f t="shared" si="12"/>
        <v>9352.6687189522818</v>
      </c>
      <c r="E209" s="25">
        <f>C209-solver_opt</f>
        <v>-1340.5805509558936</v>
      </c>
      <c r="F209" s="25">
        <f t="shared" si="13"/>
        <v>1340.5805509558936</v>
      </c>
      <c r="G209" s="25">
        <f t="shared" si="14"/>
        <v>1797156.2136012074</v>
      </c>
      <c r="H209" s="30">
        <f t="shared" si="15"/>
        <v>29.790678910130968</v>
      </c>
    </row>
    <row r="210" spans="1:8" ht="15.75" customHeight="1">
      <c r="A210" s="4">
        <v>209</v>
      </c>
      <c r="B210" s="3">
        <v>21759</v>
      </c>
      <c r="C210" s="4">
        <v>43</v>
      </c>
      <c r="D210" s="29">
        <f t="shared" si="12"/>
        <v>9391.1570675899457</v>
      </c>
      <c r="E210" s="25">
        <f>C210-solver_opt</f>
        <v>-1342.5805509558936</v>
      </c>
      <c r="F210" s="25">
        <f t="shared" si="13"/>
        <v>1342.5805509558936</v>
      </c>
      <c r="G210" s="25">
        <f t="shared" si="14"/>
        <v>1802522.535805031</v>
      </c>
      <c r="H210" s="30">
        <f t="shared" si="15"/>
        <v>31.222803510602176</v>
      </c>
    </row>
    <row r="211" spans="1:8" ht="15.75" customHeight="1">
      <c r="A211" s="4">
        <v>210</v>
      </c>
      <c r="B211" s="3">
        <v>21760</v>
      </c>
      <c r="C211" s="4">
        <v>47</v>
      </c>
      <c r="D211" s="29">
        <f t="shared" si="12"/>
        <v>9429.6454162276095</v>
      </c>
      <c r="E211" s="25">
        <f>C211-solver_opt</f>
        <v>-1338.5805509558936</v>
      </c>
      <c r="F211" s="25">
        <f t="shared" si="13"/>
        <v>1338.5805509558936</v>
      </c>
      <c r="G211" s="25">
        <f t="shared" si="14"/>
        <v>1791797.8913973838</v>
      </c>
      <c r="H211" s="30">
        <f t="shared" si="15"/>
        <v>28.480437254380714</v>
      </c>
    </row>
    <row r="212" spans="1:8" ht="15.75" customHeight="1">
      <c r="A212" s="4">
        <v>211</v>
      </c>
      <c r="B212" s="3">
        <v>21761</v>
      </c>
      <c r="C212" s="4">
        <v>36</v>
      </c>
      <c r="D212" s="29">
        <f t="shared" si="12"/>
        <v>9468.1337648652734</v>
      </c>
      <c r="E212" s="25">
        <f>C212-solver_opt</f>
        <v>-1349.5805509558936</v>
      </c>
      <c r="F212" s="25">
        <f t="shared" si="13"/>
        <v>1349.5805509558936</v>
      </c>
      <c r="G212" s="25">
        <f t="shared" si="14"/>
        <v>1821367.6635184134</v>
      </c>
      <c r="H212" s="30">
        <f t="shared" si="15"/>
        <v>37.488348637663712</v>
      </c>
    </row>
    <row r="213" spans="1:8" ht="15.75" customHeight="1">
      <c r="A213" s="4">
        <v>212</v>
      </c>
      <c r="B213" s="3">
        <v>21762</v>
      </c>
      <c r="C213" s="4">
        <v>41</v>
      </c>
      <c r="D213" s="29">
        <f t="shared" si="12"/>
        <v>9506.6221135029373</v>
      </c>
      <c r="E213" s="25">
        <f>C213-solver_opt</f>
        <v>-1344.5805509558936</v>
      </c>
      <c r="F213" s="25">
        <f t="shared" si="13"/>
        <v>1344.5805509558936</v>
      </c>
      <c r="G213" s="25">
        <f t="shared" si="14"/>
        <v>1807896.8580088543</v>
      </c>
      <c r="H213" s="30">
        <f t="shared" si="15"/>
        <v>32.79464758429009</v>
      </c>
    </row>
    <row r="214" spans="1:8" ht="15.75" customHeight="1">
      <c r="A214" s="4">
        <v>213</v>
      </c>
      <c r="B214" s="3">
        <v>21763</v>
      </c>
      <c r="C214" s="4">
        <v>50</v>
      </c>
      <c r="D214" s="29">
        <f t="shared" si="12"/>
        <v>9545.1104621406012</v>
      </c>
      <c r="E214" s="25">
        <f>C214-solver_opt</f>
        <v>-1335.5805509558936</v>
      </c>
      <c r="F214" s="25">
        <f t="shared" si="13"/>
        <v>1335.5805509558936</v>
      </c>
      <c r="G214" s="25">
        <f t="shared" si="14"/>
        <v>1783775.4080916482</v>
      </c>
      <c r="H214" s="30">
        <f t="shared" si="15"/>
        <v>26.711611019117871</v>
      </c>
    </row>
    <row r="215" spans="1:8" ht="15.75" customHeight="1">
      <c r="A215" s="4">
        <v>214</v>
      </c>
      <c r="B215" s="3">
        <v>21764</v>
      </c>
      <c r="C215" s="4">
        <v>39</v>
      </c>
      <c r="D215" s="29">
        <f t="shared" si="12"/>
        <v>9583.598810778265</v>
      </c>
      <c r="E215" s="25">
        <f>C215-solver_opt</f>
        <v>-1346.5805509558936</v>
      </c>
      <c r="F215" s="25">
        <f t="shared" si="13"/>
        <v>1346.5805509558936</v>
      </c>
      <c r="G215" s="25">
        <f t="shared" si="14"/>
        <v>1813279.1802126779</v>
      </c>
      <c r="H215" s="30">
        <f t="shared" si="15"/>
        <v>34.5277064347665</v>
      </c>
    </row>
    <row r="216" spans="1:8" ht="15.75" customHeight="1">
      <c r="A216" s="4">
        <v>215</v>
      </c>
      <c r="B216" s="3">
        <v>21765</v>
      </c>
      <c r="C216" s="4">
        <v>41</v>
      </c>
      <c r="D216" s="29">
        <f t="shared" si="12"/>
        <v>9622.0871594159289</v>
      </c>
      <c r="E216" s="25">
        <f>C216-solver_opt</f>
        <v>-1344.5805509558936</v>
      </c>
      <c r="F216" s="25">
        <f t="shared" si="13"/>
        <v>1344.5805509558936</v>
      </c>
      <c r="G216" s="25">
        <f t="shared" si="14"/>
        <v>1807896.8580088543</v>
      </c>
      <c r="H216" s="30">
        <f t="shared" si="15"/>
        <v>32.79464758429009</v>
      </c>
    </row>
    <row r="217" spans="1:8" ht="15.75" customHeight="1">
      <c r="A217" s="4">
        <v>216</v>
      </c>
      <c r="B217" s="3">
        <v>21766</v>
      </c>
      <c r="C217" s="4">
        <v>46</v>
      </c>
      <c r="D217" s="29">
        <f t="shared" si="12"/>
        <v>9660.575508053591</v>
      </c>
      <c r="E217" s="25">
        <f>C217-solver_opt</f>
        <v>-1339.5805509558936</v>
      </c>
      <c r="F217" s="25">
        <f t="shared" si="13"/>
        <v>1339.5805509558936</v>
      </c>
      <c r="G217" s="25">
        <f t="shared" si="14"/>
        <v>1794476.0524992954</v>
      </c>
      <c r="H217" s="30">
        <f t="shared" si="15"/>
        <v>29.121316325128124</v>
      </c>
    </row>
    <row r="218" spans="1:8" ht="15.75" customHeight="1">
      <c r="A218" s="4">
        <v>217</v>
      </c>
      <c r="B218" s="3">
        <v>21767</v>
      </c>
      <c r="C218" s="4">
        <v>64</v>
      </c>
      <c r="D218" s="29">
        <f t="shared" si="12"/>
        <v>9699.0638566912548</v>
      </c>
      <c r="E218" s="25">
        <f>C218-solver_opt</f>
        <v>-1321.5805509558936</v>
      </c>
      <c r="F218" s="25">
        <f t="shared" si="13"/>
        <v>1321.5805509558936</v>
      </c>
      <c r="G218" s="25">
        <f t="shared" si="14"/>
        <v>1746575.1526648833</v>
      </c>
      <c r="H218" s="30">
        <f t="shared" si="15"/>
        <v>20.649696108685838</v>
      </c>
    </row>
    <row r="219" spans="1:8" ht="15.75" customHeight="1">
      <c r="A219" s="4">
        <v>218</v>
      </c>
      <c r="B219" s="3">
        <v>21768</v>
      </c>
      <c r="C219" s="4">
        <v>45</v>
      </c>
      <c r="D219" s="29">
        <f t="shared" si="12"/>
        <v>9737.5522053289187</v>
      </c>
      <c r="E219" s="25">
        <f>C219-solver_opt</f>
        <v>-1340.5805509558936</v>
      </c>
      <c r="F219" s="25">
        <f t="shared" si="13"/>
        <v>1340.5805509558936</v>
      </c>
      <c r="G219" s="25">
        <f t="shared" si="14"/>
        <v>1797156.2136012074</v>
      </c>
      <c r="H219" s="30">
        <f t="shared" si="15"/>
        <v>29.790678910130968</v>
      </c>
    </row>
    <row r="220" spans="1:8" ht="15.75" customHeight="1">
      <c r="A220" s="4">
        <v>219</v>
      </c>
      <c r="B220" s="3">
        <v>21769</v>
      </c>
      <c r="C220" s="4">
        <v>34</v>
      </c>
      <c r="D220" s="29">
        <f t="shared" si="12"/>
        <v>9776.0405539665826</v>
      </c>
      <c r="E220" s="25">
        <f>C220-solver_opt</f>
        <v>-1351.5805509558936</v>
      </c>
      <c r="F220" s="25">
        <f t="shared" si="13"/>
        <v>1351.5805509558936</v>
      </c>
      <c r="G220" s="25">
        <f t="shared" si="14"/>
        <v>1826769.985722237</v>
      </c>
      <c r="H220" s="30">
        <f t="shared" si="15"/>
        <v>39.752369145761577</v>
      </c>
    </row>
    <row r="221" spans="1:8" ht="15.75" customHeight="1">
      <c r="A221" s="4">
        <v>220</v>
      </c>
      <c r="B221" s="3">
        <v>21770</v>
      </c>
      <c r="C221" s="4">
        <v>38</v>
      </c>
      <c r="D221" s="29">
        <f t="shared" si="12"/>
        <v>9814.5289026042465</v>
      </c>
      <c r="E221" s="25">
        <f>C221-solver_opt</f>
        <v>-1347.5805509558936</v>
      </c>
      <c r="F221" s="25">
        <f t="shared" si="13"/>
        <v>1347.5805509558936</v>
      </c>
      <c r="G221" s="25">
        <f t="shared" si="14"/>
        <v>1815973.3413145898</v>
      </c>
      <c r="H221" s="30">
        <f t="shared" si="15"/>
        <v>35.462646077786673</v>
      </c>
    </row>
    <row r="222" spans="1:8" ht="15.75" customHeight="1">
      <c r="A222" s="4">
        <v>221</v>
      </c>
      <c r="B222" s="3">
        <v>21771</v>
      </c>
      <c r="C222" s="4">
        <v>44</v>
      </c>
      <c r="D222" s="29">
        <f t="shared" si="12"/>
        <v>9853.0172512419103</v>
      </c>
      <c r="E222" s="25">
        <f>C222-solver_opt</f>
        <v>-1341.5805509558936</v>
      </c>
      <c r="F222" s="25">
        <f t="shared" si="13"/>
        <v>1341.5805509558936</v>
      </c>
      <c r="G222" s="25">
        <f t="shared" si="14"/>
        <v>1799838.374703119</v>
      </c>
      <c r="H222" s="30">
        <f t="shared" si="15"/>
        <v>30.490467067179399</v>
      </c>
    </row>
    <row r="223" spans="1:8" ht="15.75" customHeight="1">
      <c r="A223" s="4">
        <v>222</v>
      </c>
      <c r="B223" s="3">
        <v>21772</v>
      </c>
      <c r="C223" s="4">
        <v>48</v>
      </c>
      <c r="D223" s="29">
        <f t="shared" si="12"/>
        <v>9891.5055998795742</v>
      </c>
      <c r="E223" s="25">
        <f>C223-solver_opt</f>
        <v>-1337.5805509558936</v>
      </c>
      <c r="F223" s="25">
        <f t="shared" si="13"/>
        <v>1337.5805509558936</v>
      </c>
      <c r="G223" s="25">
        <f t="shared" si="14"/>
        <v>1789121.7302954718</v>
      </c>
      <c r="H223" s="30">
        <f t="shared" si="15"/>
        <v>27.866261478247782</v>
      </c>
    </row>
    <row r="224" spans="1:8" ht="15.75" customHeight="1">
      <c r="A224" s="4">
        <v>223</v>
      </c>
      <c r="B224" s="3">
        <v>21773</v>
      </c>
      <c r="C224" s="4">
        <v>46</v>
      </c>
      <c r="D224" s="29">
        <f t="shared" si="12"/>
        <v>9929.9939485172381</v>
      </c>
      <c r="E224" s="25">
        <f>C224-solver_opt</f>
        <v>-1339.5805509558936</v>
      </c>
      <c r="F224" s="25">
        <f t="shared" si="13"/>
        <v>1339.5805509558936</v>
      </c>
      <c r="G224" s="25">
        <f t="shared" si="14"/>
        <v>1794476.0524992954</v>
      </c>
      <c r="H224" s="30">
        <f t="shared" si="15"/>
        <v>29.121316325128124</v>
      </c>
    </row>
    <row r="225" spans="1:8" ht="15.75" customHeight="1">
      <c r="A225" s="4">
        <v>224</v>
      </c>
      <c r="B225" s="3">
        <v>21774</v>
      </c>
      <c r="C225" s="4">
        <v>44</v>
      </c>
      <c r="D225" s="29">
        <f t="shared" si="12"/>
        <v>9968.482297154902</v>
      </c>
      <c r="E225" s="25">
        <f>C225-solver_opt</f>
        <v>-1341.5805509558936</v>
      </c>
      <c r="F225" s="25">
        <f t="shared" si="13"/>
        <v>1341.5805509558936</v>
      </c>
      <c r="G225" s="25">
        <f t="shared" si="14"/>
        <v>1799838.374703119</v>
      </c>
      <c r="H225" s="30">
        <f t="shared" si="15"/>
        <v>30.490467067179399</v>
      </c>
    </row>
    <row r="226" spans="1:8" ht="15.75" customHeight="1">
      <c r="A226" s="4">
        <v>225</v>
      </c>
      <c r="B226" s="3">
        <v>21775</v>
      </c>
      <c r="C226" s="4">
        <v>37</v>
      </c>
      <c r="D226" s="29">
        <f t="shared" si="12"/>
        <v>10006.970645792566</v>
      </c>
      <c r="E226" s="25">
        <f>C226-solver_opt</f>
        <v>-1348.5805509558936</v>
      </c>
      <c r="F226" s="25">
        <f t="shared" si="13"/>
        <v>1348.5805509558936</v>
      </c>
      <c r="G226" s="25">
        <f t="shared" si="14"/>
        <v>1818669.5024165015</v>
      </c>
      <c r="H226" s="30">
        <f t="shared" si="15"/>
        <v>36.448122998807932</v>
      </c>
    </row>
    <row r="227" spans="1:8" ht="15.75" customHeight="1">
      <c r="A227" s="4">
        <v>226</v>
      </c>
      <c r="B227" s="3">
        <v>21776</v>
      </c>
      <c r="C227" s="4">
        <v>39</v>
      </c>
      <c r="D227" s="29">
        <f t="shared" si="12"/>
        <v>10045.45899443023</v>
      </c>
      <c r="E227" s="25">
        <f>C227-solver_opt</f>
        <v>-1346.5805509558936</v>
      </c>
      <c r="F227" s="25">
        <f t="shared" si="13"/>
        <v>1346.5805509558936</v>
      </c>
      <c r="G227" s="25">
        <f t="shared" si="14"/>
        <v>1813279.1802126779</v>
      </c>
      <c r="H227" s="30">
        <f t="shared" si="15"/>
        <v>34.5277064347665</v>
      </c>
    </row>
    <row r="228" spans="1:8" ht="15.75" customHeight="1">
      <c r="A228" s="4">
        <v>227</v>
      </c>
      <c r="B228" s="3">
        <v>21777</v>
      </c>
      <c r="C228" s="4">
        <v>44</v>
      </c>
      <c r="D228" s="29">
        <f t="shared" si="12"/>
        <v>10083.947343067892</v>
      </c>
      <c r="E228" s="25">
        <f>C228-solver_opt</f>
        <v>-1341.5805509558936</v>
      </c>
      <c r="F228" s="25">
        <f t="shared" si="13"/>
        <v>1341.5805509558936</v>
      </c>
      <c r="G228" s="25">
        <f t="shared" si="14"/>
        <v>1799838.374703119</v>
      </c>
      <c r="H228" s="30">
        <f t="shared" si="15"/>
        <v>30.490467067179399</v>
      </c>
    </row>
    <row r="229" spans="1:8" ht="15.75" customHeight="1">
      <c r="A229" s="4">
        <v>228</v>
      </c>
      <c r="B229" s="3">
        <v>21778</v>
      </c>
      <c r="C229" s="4">
        <v>45</v>
      </c>
      <c r="D229" s="29">
        <f t="shared" si="12"/>
        <v>10122.435691705556</v>
      </c>
      <c r="E229" s="25">
        <f>C229-solver_opt</f>
        <v>-1340.5805509558936</v>
      </c>
      <c r="F229" s="25">
        <f t="shared" si="13"/>
        <v>1340.5805509558936</v>
      </c>
      <c r="G229" s="25">
        <f t="shared" si="14"/>
        <v>1797156.2136012074</v>
      </c>
      <c r="H229" s="30">
        <f t="shared" si="15"/>
        <v>29.790678910130968</v>
      </c>
    </row>
    <row r="230" spans="1:8" ht="15.75" customHeight="1">
      <c r="A230" s="4">
        <v>229</v>
      </c>
      <c r="B230" s="3">
        <v>21779</v>
      </c>
      <c r="C230" s="4">
        <v>33</v>
      </c>
      <c r="D230" s="29">
        <f t="shared" si="12"/>
        <v>10160.92404034322</v>
      </c>
      <c r="E230" s="25">
        <f>C230-solver_opt</f>
        <v>-1352.5805509558936</v>
      </c>
      <c r="F230" s="25">
        <f t="shared" si="13"/>
        <v>1352.5805509558936</v>
      </c>
      <c r="G230" s="25">
        <f t="shared" si="14"/>
        <v>1829474.1468241487</v>
      </c>
      <c r="H230" s="30">
        <f t="shared" si="15"/>
        <v>40.987289422905867</v>
      </c>
    </row>
    <row r="231" spans="1:8" ht="15.75" customHeight="1">
      <c r="A231" s="4">
        <v>230</v>
      </c>
      <c r="B231" s="3">
        <v>21780</v>
      </c>
      <c r="C231" s="4">
        <v>44</v>
      </c>
      <c r="D231" s="29">
        <f t="shared" si="12"/>
        <v>10199.412388980883</v>
      </c>
      <c r="E231" s="25">
        <f>C231-solver_opt</f>
        <v>-1341.5805509558936</v>
      </c>
      <c r="F231" s="25">
        <f t="shared" si="13"/>
        <v>1341.5805509558936</v>
      </c>
      <c r="G231" s="25">
        <f t="shared" si="14"/>
        <v>1799838.374703119</v>
      </c>
      <c r="H231" s="30">
        <f t="shared" si="15"/>
        <v>30.490467067179399</v>
      </c>
    </row>
    <row r="232" spans="1:8" ht="15.75" customHeight="1">
      <c r="A232" s="4">
        <v>231</v>
      </c>
      <c r="B232" s="3">
        <v>21781</v>
      </c>
      <c r="C232" s="4">
        <v>38</v>
      </c>
      <c r="D232" s="29">
        <f t="shared" si="12"/>
        <v>10237.900737618547</v>
      </c>
      <c r="E232" s="25">
        <f>C232-solver_opt</f>
        <v>-1347.5805509558936</v>
      </c>
      <c r="F232" s="25">
        <f t="shared" si="13"/>
        <v>1347.5805509558936</v>
      </c>
      <c r="G232" s="25">
        <f t="shared" si="14"/>
        <v>1815973.3413145898</v>
      </c>
      <c r="H232" s="30">
        <f t="shared" si="15"/>
        <v>35.462646077786673</v>
      </c>
    </row>
    <row r="233" spans="1:8" ht="15.75" customHeight="1">
      <c r="A233" s="4">
        <v>232</v>
      </c>
      <c r="B233" s="3">
        <v>21782</v>
      </c>
      <c r="C233" s="4">
        <v>46</v>
      </c>
      <c r="D233" s="29">
        <f t="shared" si="12"/>
        <v>10276.389086256211</v>
      </c>
      <c r="E233" s="25">
        <f>C233-solver_opt</f>
        <v>-1339.5805509558936</v>
      </c>
      <c r="F233" s="25">
        <f t="shared" si="13"/>
        <v>1339.5805509558936</v>
      </c>
      <c r="G233" s="25">
        <f t="shared" si="14"/>
        <v>1794476.0524992954</v>
      </c>
      <c r="H233" s="30">
        <f t="shared" si="15"/>
        <v>29.121316325128124</v>
      </c>
    </row>
    <row r="234" spans="1:8" ht="15.75" customHeight="1">
      <c r="A234" s="4">
        <v>233</v>
      </c>
      <c r="B234" s="3">
        <v>21783</v>
      </c>
      <c r="C234" s="4">
        <v>46</v>
      </c>
      <c r="D234" s="29">
        <f t="shared" si="12"/>
        <v>10314.877434893875</v>
      </c>
      <c r="E234" s="25">
        <f>C234-solver_opt</f>
        <v>-1339.5805509558936</v>
      </c>
      <c r="F234" s="25">
        <f t="shared" si="13"/>
        <v>1339.5805509558936</v>
      </c>
      <c r="G234" s="25">
        <f t="shared" si="14"/>
        <v>1794476.0524992954</v>
      </c>
      <c r="H234" s="30">
        <f t="shared" si="15"/>
        <v>29.121316325128124</v>
      </c>
    </row>
    <row r="235" spans="1:8" ht="15.75" customHeight="1">
      <c r="A235" s="4">
        <v>234</v>
      </c>
      <c r="B235" s="3">
        <v>21784</v>
      </c>
      <c r="C235" s="4">
        <v>40</v>
      </c>
      <c r="D235" s="29">
        <f t="shared" si="12"/>
        <v>10353.365783531539</v>
      </c>
      <c r="E235" s="25">
        <f>C235-solver_opt</f>
        <v>-1345.5805509558936</v>
      </c>
      <c r="F235" s="25">
        <f t="shared" si="13"/>
        <v>1345.5805509558936</v>
      </c>
      <c r="G235" s="25">
        <f t="shared" si="14"/>
        <v>1810587.0191107662</v>
      </c>
      <c r="H235" s="30">
        <f t="shared" si="15"/>
        <v>33.639513773897342</v>
      </c>
    </row>
    <row r="236" spans="1:8" ht="15.75" customHeight="1">
      <c r="A236" s="4">
        <v>235</v>
      </c>
      <c r="B236" s="3">
        <v>21785</v>
      </c>
      <c r="C236" s="4">
        <v>39</v>
      </c>
      <c r="D236" s="29">
        <f t="shared" si="12"/>
        <v>10391.854132169203</v>
      </c>
      <c r="E236" s="25">
        <f>C236-solver_opt</f>
        <v>-1346.5805509558936</v>
      </c>
      <c r="F236" s="25">
        <f t="shared" si="13"/>
        <v>1346.5805509558936</v>
      </c>
      <c r="G236" s="25">
        <f t="shared" si="14"/>
        <v>1813279.1802126779</v>
      </c>
      <c r="H236" s="30">
        <f t="shared" si="15"/>
        <v>34.5277064347665</v>
      </c>
    </row>
    <row r="237" spans="1:8" ht="15.75" customHeight="1">
      <c r="A237" s="4">
        <v>236</v>
      </c>
      <c r="B237" s="3">
        <v>21786</v>
      </c>
      <c r="C237" s="4">
        <v>44</v>
      </c>
      <c r="D237" s="29">
        <f t="shared" si="12"/>
        <v>10430.342480806867</v>
      </c>
      <c r="E237" s="25">
        <f>C237-solver_opt</f>
        <v>-1341.5805509558936</v>
      </c>
      <c r="F237" s="25">
        <f t="shared" si="13"/>
        <v>1341.5805509558936</v>
      </c>
      <c r="G237" s="25">
        <f t="shared" si="14"/>
        <v>1799838.374703119</v>
      </c>
      <c r="H237" s="30">
        <f t="shared" si="15"/>
        <v>30.490467067179399</v>
      </c>
    </row>
    <row r="238" spans="1:8" ht="15.75" customHeight="1">
      <c r="A238" s="4">
        <v>237</v>
      </c>
      <c r="B238" s="3">
        <v>21787</v>
      </c>
      <c r="C238" s="4">
        <v>48</v>
      </c>
      <c r="D238" s="29">
        <f t="shared" si="12"/>
        <v>10468.830829444531</v>
      </c>
      <c r="E238" s="25">
        <f>C238-solver_opt</f>
        <v>-1337.5805509558936</v>
      </c>
      <c r="F238" s="25">
        <f t="shared" si="13"/>
        <v>1337.5805509558936</v>
      </c>
      <c r="G238" s="25">
        <f t="shared" si="14"/>
        <v>1789121.7302954718</v>
      </c>
      <c r="H238" s="30">
        <f t="shared" si="15"/>
        <v>27.866261478247782</v>
      </c>
    </row>
    <row r="239" spans="1:8" ht="15.75" customHeight="1">
      <c r="A239" s="4">
        <v>238</v>
      </c>
      <c r="B239" s="3">
        <v>21788</v>
      </c>
      <c r="C239" s="4">
        <v>50</v>
      </c>
      <c r="D239" s="29">
        <f t="shared" si="12"/>
        <v>10507.319178082193</v>
      </c>
      <c r="E239" s="25">
        <f>C239-solver_opt</f>
        <v>-1335.5805509558936</v>
      </c>
      <c r="F239" s="25">
        <f t="shared" si="13"/>
        <v>1335.5805509558936</v>
      </c>
      <c r="G239" s="25">
        <f t="shared" si="14"/>
        <v>1783775.4080916482</v>
      </c>
      <c r="H239" s="30">
        <f t="shared" si="15"/>
        <v>26.711611019117871</v>
      </c>
    </row>
    <row r="240" spans="1:8" ht="15.75" customHeight="1">
      <c r="A240" s="4">
        <v>239</v>
      </c>
      <c r="B240" s="3">
        <v>21789</v>
      </c>
      <c r="C240" s="4">
        <v>41</v>
      </c>
      <c r="D240" s="29">
        <f t="shared" si="12"/>
        <v>10545.807526719856</v>
      </c>
      <c r="E240" s="25">
        <f>C240-solver_opt</f>
        <v>-1344.5805509558936</v>
      </c>
      <c r="F240" s="25">
        <f t="shared" si="13"/>
        <v>1344.5805509558936</v>
      </c>
      <c r="G240" s="25">
        <f t="shared" si="14"/>
        <v>1807896.8580088543</v>
      </c>
      <c r="H240" s="30">
        <f t="shared" si="15"/>
        <v>32.79464758429009</v>
      </c>
    </row>
    <row r="241" spans="1:8" ht="15.75" customHeight="1">
      <c r="A241" s="4">
        <v>240</v>
      </c>
      <c r="B241" s="3">
        <v>21790</v>
      </c>
      <c r="C241" s="4">
        <v>42</v>
      </c>
      <c r="D241" s="29">
        <f t="shared" si="12"/>
        <v>10584.29587535752</v>
      </c>
      <c r="E241" s="25">
        <f>C241-solver_opt</f>
        <v>-1343.5805509558936</v>
      </c>
      <c r="F241" s="25">
        <f t="shared" si="13"/>
        <v>1343.5805509558936</v>
      </c>
      <c r="G241" s="25">
        <f t="shared" si="14"/>
        <v>1805208.6969069426</v>
      </c>
      <c r="H241" s="30">
        <f t="shared" si="15"/>
        <v>31.990013117997467</v>
      </c>
    </row>
    <row r="242" spans="1:8" ht="15.75" customHeight="1">
      <c r="A242" s="4">
        <v>241</v>
      </c>
      <c r="B242" s="3">
        <v>21791</v>
      </c>
      <c r="C242" s="4">
        <v>51</v>
      </c>
      <c r="D242" s="29">
        <f t="shared" si="12"/>
        <v>10622.784223995184</v>
      </c>
      <c r="E242" s="25">
        <f>C242-solver_opt</f>
        <v>-1334.5805509558936</v>
      </c>
      <c r="F242" s="25">
        <f t="shared" si="13"/>
        <v>1334.5805509558936</v>
      </c>
      <c r="G242" s="25">
        <f t="shared" si="14"/>
        <v>1781105.2469897366</v>
      </c>
      <c r="H242" s="30">
        <f t="shared" si="15"/>
        <v>26.168246097174386</v>
      </c>
    </row>
    <row r="243" spans="1:8" ht="15.75" customHeight="1">
      <c r="A243" s="4">
        <v>242</v>
      </c>
      <c r="B243" s="3">
        <v>21792</v>
      </c>
      <c r="C243" s="4">
        <v>41</v>
      </c>
      <c r="D243" s="29">
        <f t="shared" si="12"/>
        <v>10661.272572632848</v>
      </c>
      <c r="E243" s="25">
        <f>C243-solver_opt</f>
        <v>-1344.5805509558936</v>
      </c>
      <c r="F243" s="25">
        <f t="shared" si="13"/>
        <v>1344.5805509558936</v>
      </c>
      <c r="G243" s="25">
        <f t="shared" si="14"/>
        <v>1807896.8580088543</v>
      </c>
      <c r="H243" s="30">
        <f t="shared" si="15"/>
        <v>32.79464758429009</v>
      </c>
    </row>
    <row r="244" spans="1:8" ht="15.75" customHeight="1">
      <c r="A244" s="4">
        <v>243</v>
      </c>
      <c r="B244" s="3">
        <v>21793</v>
      </c>
      <c r="C244" s="4">
        <v>44</v>
      </c>
      <c r="D244" s="29">
        <f t="shared" si="12"/>
        <v>10699.760921270512</v>
      </c>
      <c r="E244" s="25">
        <f>C244-solver_opt</f>
        <v>-1341.5805509558936</v>
      </c>
      <c r="F244" s="25">
        <f t="shared" si="13"/>
        <v>1341.5805509558936</v>
      </c>
      <c r="G244" s="25">
        <f t="shared" si="14"/>
        <v>1799838.374703119</v>
      </c>
      <c r="H244" s="30">
        <f t="shared" si="15"/>
        <v>30.490467067179399</v>
      </c>
    </row>
    <row r="245" spans="1:8" ht="15.75" customHeight="1">
      <c r="A245" s="4">
        <v>244</v>
      </c>
      <c r="B245" s="3">
        <v>21794</v>
      </c>
      <c r="C245" s="4">
        <v>38</v>
      </c>
      <c r="D245" s="29">
        <f t="shared" si="12"/>
        <v>10738.249269908176</v>
      </c>
      <c r="E245" s="25">
        <f>C245-solver_opt</f>
        <v>-1347.5805509558936</v>
      </c>
      <c r="F245" s="25">
        <f t="shared" si="13"/>
        <v>1347.5805509558936</v>
      </c>
      <c r="G245" s="25">
        <f t="shared" si="14"/>
        <v>1815973.3413145898</v>
      </c>
      <c r="H245" s="30">
        <f t="shared" si="15"/>
        <v>35.462646077786673</v>
      </c>
    </row>
    <row r="246" spans="1:8" ht="15.75" customHeight="1">
      <c r="A246" s="4">
        <v>245</v>
      </c>
      <c r="B246" s="3">
        <v>21795</v>
      </c>
      <c r="C246" s="4">
        <v>68</v>
      </c>
      <c r="D246" s="29">
        <f t="shared" si="12"/>
        <v>10776.73761854584</v>
      </c>
      <c r="E246" s="25">
        <f>C246-solver_opt</f>
        <v>-1317.5805509558936</v>
      </c>
      <c r="F246" s="25">
        <f t="shared" si="13"/>
        <v>1317.5805509558936</v>
      </c>
      <c r="G246" s="25">
        <f t="shared" si="14"/>
        <v>1736018.5082572361</v>
      </c>
      <c r="H246" s="30">
        <f t="shared" si="15"/>
        <v>19.376184572880788</v>
      </c>
    </row>
    <row r="247" spans="1:8" ht="15.75" customHeight="1">
      <c r="A247" s="4">
        <v>246</v>
      </c>
      <c r="B247" s="3">
        <v>21796</v>
      </c>
      <c r="C247" s="4">
        <v>40</v>
      </c>
      <c r="D247" s="29">
        <f t="shared" si="12"/>
        <v>10815.225967183504</v>
      </c>
      <c r="E247" s="25">
        <f>C247-solver_opt</f>
        <v>-1345.5805509558936</v>
      </c>
      <c r="F247" s="25">
        <f t="shared" si="13"/>
        <v>1345.5805509558936</v>
      </c>
      <c r="G247" s="25">
        <f t="shared" si="14"/>
        <v>1810587.0191107662</v>
      </c>
      <c r="H247" s="30">
        <f t="shared" si="15"/>
        <v>33.639513773897342</v>
      </c>
    </row>
    <row r="248" spans="1:8" ht="15.75" customHeight="1">
      <c r="A248" s="4">
        <v>247</v>
      </c>
      <c r="B248" s="3">
        <v>21797</v>
      </c>
      <c r="C248" s="4">
        <v>42</v>
      </c>
      <c r="D248" s="29">
        <f t="shared" si="12"/>
        <v>10853.714315821167</v>
      </c>
      <c r="E248" s="25">
        <f>C248-solver_opt</f>
        <v>-1343.5805509558936</v>
      </c>
      <c r="F248" s="25">
        <f t="shared" si="13"/>
        <v>1343.5805509558936</v>
      </c>
      <c r="G248" s="25">
        <f t="shared" si="14"/>
        <v>1805208.6969069426</v>
      </c>
      <c r="H248" s="30">
        <f t="shared" si="15"/>
        <v>31.990013117997467</v>
      </c>
    </row>
    <row r="249" spans="1:8" ht="15.75" customHeight="1">
      <c r="A249" s="4">
        <v>248</v>
      </c>
      <c r="B249" s="3">
        <v>21798</v>
      </c>
      <c r="C249" s="4">
        <v>51</v>
      </c>
      <c r="D249" s="29">
        <f t="shared" si="12"/>
        <v>10892.202664458831</v>
      </c>
      <c r="E249" s="25">
        <f>C249-solver_opt</f>
        <v>-1334.5805509558936</v>
      </c>
      <c r="F249" s="25">
        <f t="shared" si="13"/>
        <v>1334.5805509558936</v>
      </c>
      <c r="G249" s="25">
        <f t="shared" si="14"/>
        <v>1781105.2469897366</v>
      </c>
      <c r="H249" s="30">
        <f t="shared" si="15"/>
        <v>26.168246097174386</v>
      </c>
    </row>
    <row r="250" spans="1:8" ht="15.75" customHeight="1">
      <c r="A250" s="4">
        <v>249</v>
      </c>
      <c r="B250" s="3">
        <v>21799</v>
      </c>
      <c r="C250" s="4">
        <v>44</v>
      </c>
      <c r="D250" s="29">
        <f t="shared" si="12"/>
        <v>10930.691013096493</v>
      </c>
      <c r="E250" s="25">
        <f>C250-solver_opt</f>
        <v>-1341.5805509558936</v>
      </c>
      <c r="F250" s="25">
        <f t="shared" si="13"/>
        <v>1341.5805509558936</v>
      </c>
      <c r="G250" s="25">
        <f t="shared" si="14"/>
        <v>1799838.374703119</v>
      </c>
      <c r="H250" s="30">
        <f t="shared" si="15"/>
        <v>30.490467067179399</v>
      </c>
    </row>
    <row r="251" spans="1:8" ht="15.75" customHeight="1">
      <c r="A251" s="4">
        <v>250</v>
      </c>
      <c r="B251" s="3">
        <v>21800</v>
      </c>
      <c r="C251" s="4">
        <v>45</v>
      </c>
      <c r="D251" s="29">
        <f t="shared" si="12"/>
        <v>10969.179361734157</v>
      </c>
      <c r="E251" s="25">
        <f>C251-solver_opt</f>
        <v>-1340.5805509558936</v>
      </c>
      <c r="F251" s="25">
        <f t="shared" si="13"/>
        <v>1340.5805509558936</v>
      </c>
      <c r="G251" s="25">
        <f t="shared" si="14"/>
        <v>1797156.2136012074</v>
      </c>
      <c r="H251" s="30">
        <f t="shared" si="15"/>
        <v>29.790678910130968</v>
      </c>
    </row>
    <row r="252" spans="1:8" ht="15.75" customHeight="1">
      <c r="A252" s="4">
        <v>251</v>
      </c>
      <c r="B252" s="3">
        <v>21801</v>
      </c>
      <c r="C252" s="4">
        <v>36</v>
      </c>
      <c r="D252" s="29">
        <f t="shared" si="12"/>
        <v>11007.667710371821</v>
      </c>
      <c r="E252" s="25">
        <f>C252-solver_opt</f>
        <v>-1349.5805509558936</v>
      </c>
      <c r="F252" s="25">
        <f t="shared" si="13"/>
        <v>1349.5805509558936</v>
      </c>
      <c r="G252" s="25">
        <f t="shared" si="14"/>
        <v>1821367.6635184134</v>
      </c>
      <c r="H252" s="30">
        <f t="shared" si="15"/>
        <v>37.488348637663712</v>
      </c>
    </row>
    <row r="253" spans="1:8" ht="15.75" customHeight="1">
      <c r="A253" s="4">
        <v>252</v>
      </c>
      <c r="B253" s="3">
        <v>21802</v>
      </c>
      <c r="C253" s="4">
        <v>57</v>
      </c>
      <c r="D253" s="29">
        <f t="shared" si="12"/>
        <v>11046.156059009485</v>
      </c>
      <c r="E253" s="25">
        <f>C253-solver_opt</f>
        <v>-1328.5805509558936</v>
      </c>
      <c r="F253" s="25">
        <f t="shared" si="13"/>
        <v>1328.5805509558936</v>
      </c>
      <c r="G253" s="25">
        <f t="shared" si="14"/>
        <v>1765126.2803782658</v>
      </c>
      <c r="H253" s="30">
        <f t="shared" si="15"/>
        <v>23.308430718524448</v>
      </c>
    </row>
    <row r="254" spans="1:8" ht="15.75" customHeight="1">
      <c r="A254" s="4">
        <v>253</v>
      </c>
      <c r="B254" s="3">
        <v>21803</v>
      </c>
      <c r="C254" s="4">
        <v>44</v>
      </c>
      <c r="D254" s="29">
        <f t="shared" si="12"/>
        <v>11084.644407647149</v>
      </c>
      <c r="E254" s="25">
        <f>C254-solver_opt</f>
        <v>-1341.5805509558936</v>
      </c>
      <c r="F254" s="25">
        <f t="shared" si="13"/>
        <v>1341.5805509558936</v>
      </c>
      <c r="G254" s="25">
        <f t="shared" si="14"/>
        <v>1799838.374703119</v>
      </c>
      <c r="H254" s="30">
        <f t="shared" si="15"/>
        <v>30.490467067179399</v>
      </c>
    </row>
    <row r="255" spans="1:8" ht="15.75" customHeight="1">
      <c r="A255" s="4">
        <v>254</v>
      </c>
      <c r="B255" s="3">
        <v>21804</v>
      </c>
      <c r="C255" s="4">
        <v>42</v>
      </c>
      <c r="D255" s="29">
        <f t="shared" si="12"/>
        <v>11123.132756284813</v>
      </c>
      <c r="E255" s="25">
        <f>C255-solver_opt</f>
        <v>-1343.5805509558936</v>
      </c>
      <c r="F255" s="25">
        <f t="shared" si="13"/>
        <v>1343.5805509558936</v>
      </c>
      <c r="G255" s="25">
        <f t="shared" si="14"/>
        <v>1805208.6969069426</v>
      </c>
      <c r="H255" s="30">
        <f t="shared" si="15"/>
        <v>31.990013117997467</v>
      </c>
    </row>
    <row r="256" spans="1:8" ht="15.75" customHeight="1">
      <c r="A256" s="4">
        <v>255</v>
      </c>
      <c r="B256" s="3">
        <v>21805</v>
      </c>
      <c r="C256" s="4">
        <v>53</v>
      </c>
      <c r="D256" s="29">
        <f t="shared" si="12"/>
        <v>11161.621104922477</v>
      </c>
      <c r="E256" s="25">
        <f>C256-solver_opt</f>
        <v>-1332.5805509558936</v>
      </c>
      <c r="F256" s="25">
        <f t="shared" si="13"/>
        <v>1332.5805509558936</v>
      </c>
      <c r="G256" s="25">
        <f t="shared" si="14"/>
        <v>1775770.924785913</v>
      </c>
      <c r="H256" s="30">
        <f t="shared" si="15"/>
        <v>25.143029263318748</v>
      </c>
    </row>
    <row r="257" spans="1:8" ht="15.75" customHeight="1">
      <c r="A257" s="4">
        <v>256</v>
      </c>
      <c r="B257" s="3">
        <v>21806</v>
      </c>
      <c r="C257" s="4">
        <v>42</v>
      </c>
      <c r="D257" s="29">
        <f t="shared" si="12"/>
        <v>11200.109453560141</v>
      </c>
      <c r="E257" s="25">
        <f>C257-solver_opt</f>
        <v>-1343.5805509558936</v>
      </c>
      <c r="F257" s="25">
        <f t="shared" si="13"/>
        <v>1343.5805509558936</v>
      </c>
      <c r="G257" s="25">
        <f t="shared" si="14"/>
        <v>1805208.6969069426</v>
      </c>
      <c r="H257" s="30">
        <f t="shared" si="15"/>
        <v>31.990013117997467</v>
      </c>
    </row>
    <row r="258" spans="1:8" ht="15.75" customHeight="1">
      <c r="A258" s="4">
        <v>257</v>
      </c>
      <c r="B258" s="3">
        <v>21807</v>
      </c>
      <c r="C258" s="4">
        <v>34</v>
      </c>
      <c r="D258" s="29">
        <f t="shared" si="12"/>
        <v>11238.597802197804</v>
      </c>
      <c r="E258" s="25">
        <f>C258-solver_opt</f>
        <v>-1351.5805509558936</v>
      </c>
      <c r="F258" s="25">
        <f t="shared" si="13"/>
        <v>1351.5805509558936</v>
      </c>
      <c r="G258" s="25">
        <f t="shared" si="14"/>
        <v>1826769.985722237</v>
      </c>
      <c r="H258" s="30">
        <f t="shared" si="15"/>
        <v>39.752369145761577</v>
      </c>
    </row>
    <row r="259" spans="1:8" ht="15.75" customHeight="1">
      <c r="A259" s="4">
        <v>258</v>
      </c>
      <c r="B259" s="3">
        <v>21808</v>
      </c>
      <c r="C259" s="4">
        <v>40</v>
      </c>
      <c r="D259" s="29">
        <f t="shared" ref="D259:D322" si="16">$K$2*($C$2+A259)</f>
        <v>11277.086150835468</v>
      </c>
      <c r="E259" s="25">
        <f>C259-solver_opt</f>
        <v>-1345.5805509558936</v>
      </c>
      <c r="F259" s="25">
        <f t="shared" ref="F259:F322" si="17">ABS(E259)</f>
        <v>1345.5805509558936</v>
      </c>
      <c r="G259" s="25">
        <f t="shared" ref="G259:G322" si="18">F259^2</f>
        <v>1810587.0191107662</v>
      </c>
      <c r="H259" s="30">
        <f t="shared" ref="H259:H322" si="19">F259/C259</f>
        <v>33.639513773897342</v>
      </c>
    </row>
    <row r="260" spans="1:8" ht="15.75" customHeight="1">
      <c r="A260" s="4">
        <v>259</v>
      </c>
      <c r="B260" s="3">
        <v>21809</v>
      </c>
      <c r="C260" s="4">
        <v>56</v>
      </c>
      <c r="D260" s="29">
        <f t="shared" si="16"/>
        <v>11315.574499473132</v>
      </c>
      <c r="E260" s="25">
        <f>C260-solver_opt</f>
        <v>-1329.5805509558936</v>
      </c>
      <c r="F260" s="25">
        <f t="shared" si="17"/>
        <v>1329.5805509558936</v>
      </c>
      <c r="G260" s="25">
        <f t="shared" si="18"/>
        <v>1767784.4414801777</v>
      </c>
      <c r="H260" s="30">
        <f t="shared" si="19"/>
        <v>23.742509838498101</v>
      </c>
    </row>
    <row r="261" spans="1:8" ht="15.75" customHeight="1">
      <c r="A261" s="4">
        <v>260</v>
      </c>
      <c r="B261" s="3">
        <v>21810</v>
      </c>
      <c r="C261" s="4">
        <v>44</v>
      </c>
      <c r="D261" s="29">
        <f t="shared" si="16"/>
        <v>11354.062848110794</v>
      </c>
      <c r="E261" s="25">
        <f>C261-solver_opt</f>
        <v>-1341.5805509558936</v>
      </c>
      <c r="F261" s="25">
        <f t="shared" si="17"/>
        <v>1341.5805509558936</v>
      </c>
      <c r="G261" s="25">
        <f t="shared" si="18"/>
        <v>1799838.374703119</v>
      </c>
      <c r="H261" s="30">
        <f t="shared" si="19"/>
        <v>30.490467067179399</v>
      </c>
    </row>
    <row r="262" spans="1:8" ht="15.75" customHeight="1">
      <c r="A262" s="4">
        <v>261</v>
      </c>
      <c r="B262" s="3">
        <v>21811</v>
      </c>
      <c r="C262" s="4">
        <v>53</v>
      </c>
      <c r="D262" s="29">
        <f t="shared" si="16"/>
        <v>11392.551196748458</v>
      </c>
      <c r="E262" s="25">
        <f>C262-solver_opt</f>
        <v>-1332.5805509558936</v>
      </c>
      <c r="F262" s="25">
        <f t="shared" si="17"/>
        <v>1332.5805509558936</v>
      </c>
      <c r="G262" s="25">
        <f t="shared" si="18"/>
        <v>1775770.924785913</v>
      </c>
      <c r="H262" s="30">
        <f t="shared" si="19"/>
        <v>25.143029263318748</v>
      </c>
    </row>
    <row r="263" spans="1:8" ht="15.75" customHeight="1">
      <c r="A263" s="4">
        <v>262</v>
      </c>
      <c r="B263" s="3">
        <v>21812</v>
      </c>
      <c r="C263" s="4">
        <v>55</v>
      </c>
      <c r="D263" s="29">
        <f t="shared" si="16"/>
        <v>11431.039545386122</v>
      </c>
      <c r="E263" s="25">
        <f>C263-solver_opt</f>
        <v>-1330.5805509558936</v>
      </c>
      <c r="F263" s="25">
        <f t="shared" si="17"/>
        <v>1330.5805509558936</v>
      </c>
      <c r="G263" s="25">
        <f t="shared" si="18"/>
        <v>1770444.6025820894</v>
      </c>
      <c r="H263" s="30">
        <f t="shared" si="19"/>
        <v>24.19237365374352</v>
      </c>
    </row>
    <row r="264" spans="1:8" ht="15.75" customHeight="1">
      <c r="A264" s="4">
        <v>263</v>
      </c>
      <c r="B264" s="3">
        <v>21813</v>
      </c>
      <c r="C264" s="4">
        <v>39</v>
      </c>
      <c r="D264" s="29">
        <f t="shared" si="16"/>
        <v>11469.527894023786</v>
      </c>
      <c r="E264" s="25">
        <f>C264-solver_opt</f>
        <v>-1346.5805509558936</v>
      </c>
      <c r="F264" s="25">
        <f t="shared" si="17"/>
        <v>1346.5805509558936</v>
      </c>
      <c r="G264" s="25">
        <f t="shared" si="18"/>
        <v>1813279.1802126779</v>
      </c>
      <c r="H264" s="30">
        <f t="shared" si="19"/>
        <v>34.5277064347665</v>
      </c>
    </row>
    <row r="265" spans="1:8" ht="15.75" customHeight="1">
      <c r="A265" s="4">
        <v>264</v>
      </c>
      <c r="B265" s="3">
        <v>21814</v>
      </c>
      <c r="C265" s="4">
        <v>59</v>
      </c>
      <c r="D265" s="29">
        <f t="shared" si="16"/>
        <v>11508.01624266145</v>
      </c>
      <c r="E265" s="25">
        <f>C265-solver_opt</f>
        <v>-1326.5805509558936</v>
      </c>
      <c r="F265" s="25">
        <f t="shared" si="17"/>
        <v>1326.5805509558936</v>
      </c>
      <c r="G265" s="25">
        <f t="shared" si="18"/>
        <v>1759815.9581744422</v>
      </c>
      <c r="H265" s="30">
        <f t="shared" si="19"/>
        <v>22.484416117896501</v>
      </c>
    </row>
    <row r="266" spans="1:8" ht="15.75" customHeight="1">
      <c r="A266" s="4">
        <v>265</v>
      </c>
      <c r="B266" s="3">
        <v>21815</v>
      </c>
      <c r="C266" s="4">
        <v>55</v>
      </c>
      <c r="D266" s="29">
        <f t="shared" si="16"/>
        <v>11546.504591299114</v>
      </c>
      <c r="E266" s="25">
        <f>C266-solver_opt</f>
        <v>-1330.5805509558936</v>
      </c>
      <c r="F266" s="25">
        <f t="shared" si="17"/>
        <v>1330.5805509558936</v>
      </c>
      <c r="G266" s="25">
        <f t="shared" si="18"/>
        <v>1770444.6025820894</v>
      </c>
      <c r="H266" s="30">
        <f t="shared" si="19"/>
        <v>24.19237365374352</v>
      </c>
    </row>
    <row r="267" spans="1:8" ht="15.75" customHeight="1">
      <c r="A267" s="4">
        <v>266</v>
      </c>
      <c r="B267" s="3">
        <v>21816</v>
      </c>
      <c r="C267" s="4">
        <v>73</v>
      </c>
      <c r="D267" s="29">
        <f t="shared" si="16"/>
        <v>11584.992939936777</v>
      </c>
      <c r="E267" s="25">
        <f>C267-solver_opt</f>
        <v>-1312.5805509558936</v>
      </c>
      <c r="F267" s="25">
        <f t="shared" si="17"/>
        <v>1312.5805509558936</v>
      </c>
      <c r="G267" s="25">
        <f t="shared" si="18"/>
        <v>1722867.7027476772</v>
      </c>
      <c r="H267" s="30">
        <f t="shared" si="19"/>
        <v>17.980555492546486</v>
      </c>
    </row>
    <row r="268" spans="1:8" ht="15.75" customHeight="1">
      <c r="A268" s="4">
        <v>267</v>
      </c>
      <c r="B268" s="3">
        <v>21817</v>
      </c>
      <c r="C268" s="4">
        <v>55</v>
      </c>
      <c r="D268" s="29">
        <f t="shared" si="16"/>
        <v>11623.481288574441</v>
      </c>
      <c r="E268" s="25">
        <f>C268-solver_opt</f>
        <v>-1330.5805509558936</v>
      </c>
      <c r="F268" s="25">
        <f t="shared" si="17"/>
        <v>1330.5805509558936</v>
      </c>
      <c r="G268" s="25">
        <f t="shared" si="18"/>
        <v>1770444.6025820894</v>
      </c>
      <c r="H268" s="30">
        <f t="shared" si="19"/>
        <v>24.19237365374352</v>
      </c>
    </row>
    <row r="269" spans="1:8" ht="15.75" customHeight="1">
      <c r="A269" s="4">
        <v>268</v>
      </c>
      <c r="B269" s="3">
        <v>21818</v>
      </c>
      <c r="C269" s="4">
        <v>44</v>
      </c>
      <c r="D269" s="29">
        <f t="shared" si="16"/>
        <v>11661.969637212105</v>
      </c>
      <c r="E269" s="25">
        <f>C269-solver_opt</f>
        <v>-1341.5805509558936</v>
      </c>
      <c r="F269" s="25">
        <f t="shared" si="17"/>
        <v>1341.5805509558936</v>
      </c>
      <c r="G269" s="25">
        <f t="shared" si="18"/>
        <v>1799838.374703119</v>
      </c>
      <c r="H269" s="30">
        <f t="shared" si="19"/>
        <v>30.490467067179399</v>
      </c>
    </row>
    <row r="270" spans="1:8" ht="15.75" customHeight="1">
      <c r="A270" s="4">
        <v>269</v>
      </c>
      <c r="B270" s="3">
        <v>21819</v>
      </c>
      <c r="C270" s="4">
        <v>43</v>
      </c>
      <c r="D270" s="29">
        <f t="shared" si="16"/>
        <v>11700.457985849769</v>
      </c>
      <c r="E270" s="25">
        <f>C270-solver_opt</f>
        <v>-1342.5805509558936</v>
      </c>
      <c r="F270" s="25">
        <f t="shared" si="17"/>
        <v>1342.5805509558936</v>
      </c>
      <c r="G270" s="25">
        <f t="shared" si="18"/>
        <v>1802522.535805031</v>
      </c>
      <c r="H270" s="30">
        <f t="shared" si="19"/>
        <v>31.222803510602176</v>
      </c>
    </row>
    <row r="271" spans="1:8" ht="15.75" customHeight="1">
      <c r="A271" s="4">
        <v>270</v>
      </c>
      <c r="B271" s="3">
        <v>21820</v>
      </c>
      <c r="C271" s="4">
        <v>40</v>
      </c>
      <c r="D271" s="29">
        <f t="shared" si="16"/>
        <v>11738.946334487433</v>
      </c>
      <c r="E271" s="25">
        <f>C271-solver_opt</f>
        <v>-1345.5805509558936</v>
      </c>
      <c r="F271" s="25">
        <f t="shared" si="17"/>
        <v>1345.5805509558936</v>
      </c>
      <c r="G271" s="25">
        <f t="shared" si="18"/>
        <v>1810587.0191107662</v>
      </c>
      <c r="H271" s="30">
        <f t="shared" si="19"/>
        <v>33.639513773897342</v>
      </c>
    </row>
    <row r="272" spans="1:8" ht="15.75" customHeight="1">
      <c r="A272" s="4">
        <v>271</v>
      </c>
      <c r="B272" s="3">
        <v>21821</v>
      </c>
      <c r="C272" s="4">
        <v>47</v>
      </c>
      <c r="D272" s="29">
        <f t="shared" si="16"/>
        <v>11777.434683125097</v>
      </c>
      <c r="E272" s="25">
        <f>C272-solver_opt</f>
        <v>-1338.5805509558936</v>
      </c>
      <c r="F272" s="25">
        <f t="shared" si="17"/>
        <v>1338.5805509558936</v>
      </c>
      <c r="G272" s="25">
        <f t="shared" si="18"/>
        <v>1791797.8913973838</v>
      </c>
      <c r="H272" s="30">
        <f t="shared" si="19"/>
        <v>28.480437254380714</v>
      </c>
    </row>
    <row r="273" spans="1:8" ht="15.75" customHeight="1">
      <c r="A273" s="4">
        <v>272</v>
      </c>
      <c r="B273" s="3">
        <v>21822</v>
      </c>
      <c r="C273" s="4">
        <v>51</v>
      </c>
      <c r="D273" s="29">
        <f t="shared" si="16"/>
        <v>11815.923031762759</v>
      </c>
      <c r="E273" s="25">
        <f>C273-solver_opt</f>
        <v>-1334.5805509558936</v>
      </c>
      <c r="F273" s="25">
        <f t="shared" si="17"/>
        <v>1334.5805509558936</v>
      </c>
      <c r="G273" s="25">
        <f t="shared" si="18"/>
        <v>1781105.2469897366</v>
      </c>
      <c r="H273" s="30">
        <f t="shared" si="19"/>
        <v>26.168246097174386</v>
      </c>
    </row>
    <row r="274" spans="1:8" ht="15.75" customHeight="1">
      <c r="A274" s="4">
        <v>273</v>
      </c>
      <c r="B274" s="3">
        <v>21823</v>
      </c>
      <c r="C274" s="4">
        <v>56</v>
      </c>
      <c r="D274" s="29">
        <f t="shared" si="16"/>
        <v>11854.411380400423</v>
      </c>
      <c r="E274" s="25">
        <f>C274-solver_opt</f>
        <v>-1329.5805509558936</v>
      </c>
      <c r="F274" s="25">
        <f t="shared" si="17"/>
        <v>1329.5805509558936</v>
      </c>
      <c r="G274" s="25">
        <f t="shared" si="18"/>
        <v>1767784.4414801777</v>
      </c>
      <c r="H274" s="30">
        <f t="shared" si="19"/>
        <v>23.742509838498101</v>
      </c>
    </row>
    <row r="275" spans="1:8" ht="15.75" customHeight="1">
      <c r="A275" s="4">
        <v>274</v>
      </c>
      <c r="B275" s="3">
        <v>21824</v>
      </c>
      <c r="C275" s="4">
        <v>49</v>
      </c>
      <c r="D275" s="29">
        <f t="shared" si="16"/>
        <v>11892.899729038087</v>
      </c>
      <c r="E275" s="25">
        <f>C275-solver_opt</f>
        <v>-1336.5805509558936</v>
      </c>
      <c r="F275" s="25">
        <f t="shared" si="17"/>
        <v>1336.5805509558936</v>
      </c>
      <c r="G275" s="25">
        <f t="shared" si="18"/>
        <v>1786447.5691935602</v>
      </c>
      <c r="H275" s="30">
        <f t="shared" si="19"/>
        <v>27.277154101140685</v>
      </c>
    </row>
    <row r="276" spans="1:8" ht="15.75" customHeight="1">
      <c r="A276" s="4">
        <v>275</v>
      </c>
      <c r="B276" s="3">
        <v>21825</v>
      </c>
      <c r="C276" s="4">
        <v>54</v>
      </c>
      <c r="D276" s="29">
        <f t="shared" si="16"/>
        <v>11931.388077675751</v>
      </c>
      <c r="E276" s="25">
        <f>C276-solver_opt</f>
        <v>-1331.5805509558936</v>
      </c>
      <c r="F276" s="25">
        <f t="shared" si="17"/>
        <v>1331.5805509558936</v>
      </c>
      <c r="G276" s="25">
        <f t="shared" si="18"/>
        <v>1773106.7636840013</v>
      </c>
      <c r="H276" s="30">
        <f t="shared" si="19"/>
        <v>24.658899091775808</v>
      </c>
    </row>
    <row r="277" spans="1:8" ht="15.75" customHeight="1">
      <c r="A277" s="4">
        <v>276</v>
      </c>
      <c r="B277" s="3">
        <v>21826</v>
      </c>
      <c r="C277" s="4">
        <v>56</v>
      </c>
      <c r="D277" s="29">
        <f t="shared" si="16"/>
        <v>11969.876426313414</v>
      </c>
      <c r="E277" s="25">
        <f>C277-solver_opt</f>
        <v>-1329.5805509558936</v>
      </c>
      <c r="F277" s="25">
        <f t="shared" si="17"/>
        <v>1329.5805509558936</v>
      </c>
      <c r="G277" s="25">
        <f t="shared" si="18"/>
        <v>1767784.4414801777</v>
      </c>
      <c r="H277" s="30">
        <f t="shared" si="19"/>
        <v>23.742509838498101</v>
      </c>
    </row>
    <row r="278" spans="1:8" ht="15.75" customHeight="1">
      <c r="A278" s="4">
        <v>277</v>
      </c>
      <c r="B278" s="3">
        <v>21827</v>
      </c>
      <c r="C278" s="4">
        <v>47</v>
      </c>
      <c r="D278" s="29">
        <f t="shared" si="16"/>
        <v>12008.364774951078</v>
      </c>
      <c r="E278" s="25">
        <f>C278-solver_opt</f>
        <v>-1338.5805509558936</v>
      </c>
      <c r="F278" s="25">
        <f t="shared" si="17"/>
        <v>1338.5805509558936</v>
      </c>
      <c r="G278" s="25">
        <f t="shared" si="18"/>
        <v>1791797.8913973838</v>
      </c>
      <c r="H278" s="30">
        <f t="shared" si="19"/>
        <v>28.480437254380714</v>
      </c>
    </row>
    <row r="279" spans="1:8" ht="15.75" customHeight="1">
      <c r="A279" s="4">
        <v>278</v>
      </c>
      <c r="B279" s="3">
        <v>21828</v>
      </c>
      <c r="C279" s="4">
        <v>44</v>
      </c>
      <c r="D279" s="29">
        <f t="shared" si="16"/>
        <v>12046.853123588742</v>
      </c>
      <c r="E279" s="25">
        <f>C279-solver_opt</f>
        <v>-1341.5805509558936</v>
      </c>
      <c r="F279" s="25">
        <f t="shared" si="17"/>
        <v>1341.5805509558936</v>
      </c>
      <c r="G279" s="25">
        <f t="shared" si="18"/>
        <v>1799838.374703119</v>
      </c>
      <c r="H279" s="30">
        <f t="shared" si="19"/>
        <v>30.490467067179399</v>
      </c>
    </row>
    <row r="280" spans="1:8" ht="15.75" customHeight="1">
      <c r="A280" s="4">
        <v>279</v>
      </c>
      <c r="B280" s="3">
        <v>21829</v>
      </c>
      <c r="C280" s="4">
        <v>43</v>
      </c>
      <c r="D280" s="29">
        <f t="shared" si="16"/>
        <v>12085.341472226406</v>
      </c>
      <c r="E280" s="25">
        <f>C280-solver_opt</f>
        <v>-1342.5805509558936</v>
      </c>
      <c r="F280" s="25">
        <f t="shared" si="17"/>
        <v>1342.5805509558936</v>
      </c>
      <c r="G280" s="25">
        <f t="shared" si="18"/>
        <v>1802522.535805031</v>
      </c>
      <c r="H280" s="30">
        <f t="shared" si="19"/>
        <v>31.222803510602176</v>
      </c>
    </row>
    <row r="281" spans="1:8" ht="15.75" customHeight="1">
      <c r="A281" s="4">
        <v>280</v>
      </c>
      <c r="B281" s="3">
        <v>21830</v>
      </c>
      <c r="C281" s="4">
        <v>42</v>
      </c>
      <c r="D281" s="29">
        <f t="shared" si="16"/>
        <v>12123.82982086407</v>
      </c>
      <c r="E281" s="25">
        <f>C281-solver_opt</f>
        <v>-1343.5805509558936</v>
      </c>
      <c r="F281" s="25">
        <f t="shared" si="17"/>
        <v>1343.5805509558936</v>
      </c>
      <c r="G281" s="25">
        <f t="shared" si="18"/>
        <v>1805208.6969069426</v>
      </c>
      <c r="H281" s="30">
        <f t="shared" si="19"/>
        <v>31.990013117997467</v>
      </c>
    </row>
    <row r="282" spans="1:8" ht="15.75" customHeight="1">
      <c r="A282" s="4">
        <v>281</v>
      </c>
      <c r="B282" s="3">
        <v>21831</v>
      </c>
      <c r="C282" s="4">
        <v>45</v>
      </c>
      <c r="D282" s="29">
        <f t="shared" si="16"/>
        <v>12162.318169501734</v>
      </c>
      <c r="E282" s="25">
        <f>C282-solver_opt</f>
        <v>-1340.5805509558936</v>
      </c>
      <c r="F282" s="25">
        <f t="shared" si="17"/>
        <v>1340.5805509558936</v>
      </c>
      <c r="G282" s="25">
        <f t="shared" si="18"/>
        <v>1797156.2136012074</v>
      </c>
      <c r="H282" s="30">
        <f t="shared" si="19"/>
        <v>29.790678910130968</v>
      </c>
    </row>
    <row r="283" spans="1:8" ht="15.75" customHeight="1">
      <c r="A283" s="4">
        <v>282</v>
      </c>
      <c r="B283" s="3">
        <v>21832</v>
      </c>
      <c r="C283" s="4">
        <v>50</v>
      </c>
      <c r="D283" s="29">
        <f t="shared" si="16"/>
        <v>12200.806518139398</v>
      </c>
      <c r="E283" s="25">
        <f>C283-solver_opt</f>
        <v>-1335.5805509558936</v>
      </c>
      <c r="F283" s="25">
        <f t="shared" si="17"/>
        <v>1335.5805509558936</v>
      </c>
      <c r="G283" s="25">
        <f t="shared" si="18"/>
        <v>1783775.4080916482</v>
      </c>
      <c r="H283" s="30">
        <f t="shared" si="19"/>
        <v>26.711611019117871</v>
      </c>
    </row>
    <row r="284" spans="1:8" ht="15.75" customHeight="1">
      <c r="A284" s="4">
        <v>283</v>
      </c>
      <c r="B284" s="3">
        <v>21833</v>
      </c>
      <c r="C284" s="4">
        <v>48</v>
      </c>
      <c r="D284" s="29">
        <f t="shared" si="16"/>
        <v>12239.29486677706</v>
      </c>
      <c r="E284" s="25">
        <f>C284-solver_opt</f>
        <v>-1337.5805509558936</v>
      </c>
      <c r="F284" s="25">
        <f t="shared" si="17"/>
        <v>1337.5805509558936</v>
      </c>
      <c r="G284" s="25">
        <f t="shared" si="18"/>
        <v>1789121.7302954718</v>
      </c>
      <c r="H284" s="30">
        <f t="shared" si="19"/>
        <v>27.866261478247782</v>
      </c>
    </row>
    <row r="285" spans="1:8" ht="15.75" customHeight="1">
      <c r="A285" s="4">
        <v>284</v>
      </c>
      <c r="B285" s="3">
        <v>21834</v>
      </c>
      <c r="C285" s="4">
        <v>43</v>
      </c>
      <c r="D285" s="29">
        <f t="shared" si="16"/>
        <v>12277.783215414724</v>
      </c>
      <c r="E285" s="25">
        <f>C285-solver_opt</f>
        <v>-1342.5805509558936</v>
      </c>
      <c r="F285" s="25">
        <f t="shared" si="17"/>
        <v>1342.5805509558936</v>
      </c>
      <c r="G285" s="25">
        <f t="shared" si="18"/>
        <v>1802522.535805031</v>
      </c>
      <c r="H285" s="30">
        <f t="shared" si="19"/>
        <v>31.222803510602176</v>
      </c>
    </row>
    <row r="286" spans="1:8" ht="15.75" customHeight="1">
      <c r="A286" s="4">
        <v>285</v>
      </c>
      <c r="B286" s="3">
        <v>21835</v>
      </c>
      <c r="C286" s="4">
        <v>40</v>
      </c>
      <c r="D286" s="29">
        <f t="shared" si="16"/>
        <v>12316.271564052387</v>
      </c>
      <c r="E286" s="25">
        <f>C286-solver_opt</f>
        <v>-1345.5805509558936</v>
      </c>
      <c r="F286" s="25">
        <f t="shared" si="17"/>
        <v>1345.5805509558936</v>
      </c>
      <c r="G286" s="25">
        <f t="shared" si="18"/>
        <v>1810587.0191107662</v>
      </c>
      <c r="H286" s="30">
        <f t="shared" si="19"/>
        <v>33.639513773897342</v>
      </c>
    </row>
    <row r="287" spans="1:8" ht="15.75" customHeight="1">
      <c r="A287" s="4">
        <v>286</v>
      </c>
      <c r="B287" s="3">
        <v>21836</v>
      </c>
      <c r="C287" s="4">
        <v>59</v>
      </c>
      <c r="D287" s="29">
        <f t="shared" si="16"/>
        <v>12354.759912690051</v>
      </c>
      <c r="E287" s="25">
        <f>C287-solver_opt</f>
        <v>-1326.5805509558936</v>
      </c>
      <c r="F287" s="25">
        <f t="shared" si="17"/>
        <v>1326.5805509558936</v>
      </c>
      <c r="G287" s="25">
        <f t="shared" si="18"/>
        <v>1759815.9581744422</v>
      </c>
      <c r="H287" s="30">
        <f t="shared" si="19"/>
        <v>22.484416117896501</v>
      </c>
    </row>
    <row r="288" spans="1:8" ht="15.75" customHeight="1">
      <c r="A288" s="4">
        <v>287</v>
      </c>
      <c r="B288" s="3">
        <v>21837</v>
      </c>
      <c r="C288" s="4">
        <v>41</v>
      </c>
      <c r="D288" s="29">
        <f t="shared" si="16"/>
        <v>12393.248261327715</v>
      </c>
      <c r="E288" s="25">
        <f>C288-solver_opt</f>
        <v>-1344.5805509558936</v>
      </c>
      <c r="F288" s="25">
        <f t="shared" si="17"/>
        <v>1344.5805509558936</v>
      </c>
      <c r="G288" s="25">
        <f t="shared" si="18"/>
        <v>1807896.8580088543</v>
      </c>
      <c r="H288" s="30">
        <f t="shared" si="19"/>
        <v>32.79464758429009</v>
      </c>
    </row>
    <row r="289" spans="1:8" ht="15.75" customHeight="1">
      <c r="A289" s="4">
        <v>288</v>
      </c>
      <c r="B289" s="3">
        <v>21838</v>
      </c>
      <c r="C289" s="4">
        <v>42</v>
      </c>
      <c r="D289" s="29">
        <f t="shared" si="16"/>
        <v>12431.736609965379</v>
      </c>
      <c r="E289" s="25">
        <f>C289-solver_opt</f>
        <v>-1343.5805509558936</v>
      </c>
      <c r="F289" s="25">
        <f t="shared" si="17"/>
        <v>1343.5805509558936</v>
      </c>
      <c r="G289" s="25">
        <f t="shared" si="18"/>
        <v>1805208.6969069426</v>
      </c>
      <c r="H289" s="30">
        <f t="shared" si="19"/>
        <v>31.990013117997467</v>
      </c>
    </row>
    <row r="290" spans="1:8" ht="15.75" customHeight="1">
      <c r="A290" s="4">
        <v>289</v>
      </c>
      <c r="B290" s="3">
        <v>21839</v>
      </c>
      <c r="C290" s="4">
        <v>51</v>
      </c>
      <c r="D290" s="29">
        <f t="shared" si="16"/>
        <v>12470.224958603043</v>
      </c>
      <c r="E290" s="25">
        <f>C290-solver_opt</f>
        <v>-1334.5805509558936</v>
      </c>
      <c r="F290" s="25">
        <f t="shared" si="17"/>
        <v>1334.5805509558936</v>
      </c>
      <c r="G290" s="25">
        <f t="shared" si="18"/>
        <v>1781105.2469897366</v>
      </c>
      <c r="H290" s="30">
        <f t="shared" si="19"/>
        <v>26.168246097174386</v>
      </c>
    </row>
    <row r="291" spans="1:8" ht="15.75" customHeight="1">
      <c r="A291" s="4">
        <v>290</v>
      </c>
      <c r="B291" s="3">
        <v>21840</v>
      </c>
      <c r="C291" s="4">
        <v>49</v>
      </c>
      <c r="D291" s="29">
        <f t="shared" si="16"/>
        <v>12508.713307240707</v>
      </c>
      <c r="E291" s="25">
        <f>C291-solver_opt</f>
        <v>-1336.5805509558936</v>
      </c>
      <c r="F291" s="25">
        <f t="shared" si="17"/>
        <v>1336.5805509558936</v>
      </c>
      <c r="G291" s="25">
        <f t="shared" si="18"/>
        <v>1786447.5691935602</v>
      </c>
      <c r="H291" s="30">
        <f t="shared" si="19"/>
        <v>27.277154101140685</v>
      </c>
    </row>
    <row r="292" spans="1:8" ht="15.75" customHeight="1">
      <c r="A292" s="4">
        <v>291</v>
      </c>
      <c r="B292" s="3">
        <v>21841</v>
      </c>
      <c r="C292" s="4">
        <v>45</v>
      </c>
      <c r="D292" s="29">
        <f t="shared" si="16"/>
        <v>12547.201655878371</v>
      </c>
      <c r="E292" s="25">
        <f>C292-solver_opt</f>
        <v>-1340.5805509558936</v>
      </c>
      <c r="F292" s="25">
        <f t="shared" si="17"/>
        <v>1340.5805509558936</v>
      </c>
      <c r="G292" s="25">
        <f t="shared" si="18"/>
        <v>1797156.2136012074</v>
      </c>
      <c r="H292" s="30">
        <f t="shared" si="19"/>
        <v>29.790678910130968</v>
      </c>
    </row>
    <row r="293" spans="1:8" ht="15.75" customHeight="1">
      <c r="A293" s="4">
        <v>292</v>
      </c>
      <c r="B293" s="3">
        <v>21842</v>
      </c>
      <c r="C293" s="4">
        <v>43</v>
      </c>
      <c r="D293" s="29">
        <f t="shared" si="16"/>
        <v>12585.690004516035</v>
      </c>
      <c r="E293" s="25">
        <f>C293-solver_opt</f>
        <v>-1342.5805509558936</v>
      </c>
      <c r="F293" s="25">
        <f t="shared" si="17"/>
        <v>1342.5805509558936</v>
      </c>
      <c r="G293" s="25">
        <f t="shared" si="18"/>
        <v>1802522.535805031</v>
      </c>
      <c r="H293" s="30">
        <f t="shared" si="19"/>
        <v>31.222803510602176</v>
      </c>
    </row>
    <row r="294" spans="1:8" ht="15.75" customHeight="1">
      <c r="A294" s="4">
        <v>293</v>
      </c>
      <c r="B294" s="3">
        <v>21843</v>
      </c>
      <c r="C294" s="4">
        <v>42</v>
      </c>
      <c r="D294" s="29">
        <f t="shared" si="16"/>
        <v>12624.178353153698</v>
      </c>
      <c r="E294" s="25">
        <f>C294-solver_opt</f>
        <v>-1343.5805509558936</v>
      </c>
      <c r="F294" s="25">
        <f t="shared" si="17"/>
        <v>1343.5805509558936</v>
      </c>
      <c r="G294" s="25">
        <f t="shared" si="18"/>
        <v>1805208.6969069426</v>
      </c>
      <c r="H294" s="30">
        <f t="shared" si="19"/>
        <v>31.990013117997467</v>
      </c>
    </row>
    <row r="295" spans="1:8" ht="15.75" customHeight="1">
      <c r="A295" s="4">
        <v>294</v>
      </c>
      <c r="B295" s="3">
        <v>21844</v>
      </c>
      <c r="C295" s="4">
        <v>38</v>
      </c>
      <c r="D295" s="29">
        <f t="shared" si="16"/>
        <v>12662.666701791361</v>
      </c>
      <c r="E295" s="25">
        <f>C295-solver_opt</f>
        <v>-1347.5805509558936</v>
      </c>
      <c r="F295" s="25">
        <f t="shared" si="17"/>
        <v>1347.5805509558936</v>
      </c>
      <c r="G295" s="25">
        <f t="shared" si="18"/>
        <v>1815973.3413145898</v>
      </c>
      <c r="H295" s="30">
        <f t="shared" si="19"/>
        <v>35.462646077786673</v>
      </c>
    </row>
    <row r="296" spans="1:8" ht="15.75" customHeight="1">
      <c r="A296" s="4">
        <v>295</v>
      </c>
      <c r="B296" s="3">
        <v>21845</v>
      </c>
      <c r="C296" s="4">
        <v>47</v>
      </c>
      <c r="D296" s="29">
        <f t="shared" si="16"/>
        <v>12701.155050429024</v>
      </c>
      <c r="E296" s="25">
        <f>C296-solver_opt</f>
        <v>-1338.5805509558936</v>
      </c>
      <c r="F296" s="25">
        <f t="shared" si="17"/>
        <v>1338.5805509558936</v>
      </c>
      <c r="G296" s="25">
        <f t="shared" si="18"/>
        <v>1791797.8913973838</v>
      </c>
      <c r="H296" s="30">
        <f t="shared" si="19"/>
        <v>28.480437254380714</v>
      </c>
    </row>
    <row r="297" spans="1:8" ht="15.75" customHeight="1">
      <c r="A297" s="4">
        <v>296</v>
      </c>
      <c r="B297" s="3">
        <v>21846</v>
      </c>
      <c r="C297" s="4">
        <v>38</v>
      </c>
      <c r="D297" s="29">
        <f t="shared" si="16"/>
        <v>12739.643399066688</v>
      </c>
      <c r="E297" s="25">
        <f>C297-solver_opt</f>
        <v>-1347.5805509558936</v>
      </c>
      <c r="F297" s="25">
        <f t="shared" si="17"/>
        <v>1347.5805509558936</v>
      </c>
      <c r="G297" s="25">
        <f t="shared" si="18"/>
        <v>1815973.3413145898</v>
      </c>
      <c r="H297" s="30">
        <f t="shared" si="19"/>
        <v>35.462646077786673</v>
      </c>
    </row>
    <row r="298" spans="1:8" ht="15.75" customHeight="1">
      <c r="A298" s="4">
        <v>297</v>
      </c>
      <c r="B298" s="3">
        <v>21847</v>
      </c>
      <c r="C298" s="4">
        <v>36</v>
      </c>
      <c r="D298" s="29">
        <f t="shared" si="16"/>
        <v>12778.131747704352</v>
      </c>
      <c r="E298" s="25">
        <f>C298-solver_opt</f>
        <v>-1349.5805509558936</v>
      </c>
      <c r="F298" s="25">
        <f t="shared" si="17"/>
        <v>1349.5805509558936</v>
      </c>
      <c r="G298" s="25">
        <f t="shared" si="18"/>
        <v>1821367.6635184134</v>
      </c>
      <c r="H298" s="30">
        <f t="shared" si="19"/>
        <v>37.488348637663712</v>
      </c>
    </row>
    <row r="299" spans="1:8" ht="15.75" customHeight="1">
      <c r="A299" s="4">
        <v>298</v>
      </c>
      <c r="B299" s="3">
        <v>21848</v>
      </c>
      <c r="C299" s="4">
        <v>42</v>
      </c>
      <c r="D299" s="29">
        <f t="shared" si="16"/>
        <v>12816.620096342016</v>
      </c>
      <c r="E299" s="25">
        <f>C299-solver_opt</f>
        <v>-1343.5805509558936</v>
      </c>
      <c r="F299" s="25">
        <f t="shared" si="17"/>
        <v>1343.5805509558936</v>
      </c>
      <c r="G299" s="25">
        <f t="shared" si="18"/>
        <v>1805208.6969069426</v>
      </c>
      <c r="H299" s="30">
        <f t="shared" si="19"/>
        <v>31.990013117997467</v>
      </c>
    </row>
    <row r="300" spans="1:8" ht="15.75" customHeight="1">
      <c r="A300" s="4">
        <v>299</v>
      </c>
      <c r="B300" s="3">
        <v>21849</v>
      </c>
      <c r="C300" s="4">
        <v>35</v>
      </c>
      <c r="D300" s="29">
        <f t="shared" si="16"/>
        <v>12855.10844497968</v>
      </c>
      <c r="E300" s="25">
        <f>C300-solver_opt</f>
        <v>-1350.5805509558936</v>
      </c>
      <c r="F300" s="25">
        <f t="shared" si="17"/>
        <v>1350.5805509558936</v>
      </c>
      <c r="G300" s="25">
        <f t="shared" si="18"/>
        <v>1824067.8246203251</v>
      </c>
      <c r="H300" s="30">
        <f t="shared" si="19"/>
        <v>38.588015741596962</v>
      </c>
    </row>
    <row r="301" spans="1:8" ht="15.75" customHeight="1">
      <c r="A301" s="4">
        <v>300</v>
      </c>
      <c r="B301" s="3">
        <v>21850</v>
      </c>
      <c r="C301" s="4">
        <v>28</v>
      </c>
      <c r="D301" s="29">
        <f t="shared" si="16"/>
        <v>12893.596793617344</v>
      </c>
      <c r="E301" s="25">
        <f>C301-solver_opt</f>
        <v>-1357.5805509558936</v>
      </c>
      <c r="F301" s="25">
        <f t="shared" si="17"/>
        <v>1357.5805509558936</v>
      </c>
      <c r="G301" s="25">
        <f t="shared" si="18"/>
        <v>1843024.9523337076</v>
      </c>
      <c r="H301" s="30">
        <f t="shared" si="19"/>
        <v>48.485019676996203</v>
      </c>
    </row>
    <row r="302" spans="1:8" ht="15.75" customHeight="1">
      <c r="A302" s="4">
        <v>301</v>
      </c>
      <c r="B302" s="3">
        <v>21851</v>
      </c>
      <c r="C302" s="4">
        <v>44</v>
      </c>
      <c r="D302" s="29">
        <f t="shared" si="16"/>
        <v>12932.085142255008</v>
      </c>
      <c r="E302" s="25">
        <f>C302-solver_opt</f>
        <v>-1341.5805509558936</v>
      </c>
      <c r="F302" s="25">
        <f t="shared" si="17"/>
        <v>1341.5805509558936</v>
      </c>
      <c r="G302" s="25">
        <f t="shared" si="18"/>
        <v>1799838.374703119</v>
      </c>
      <c r="H302" s="30">
        <f t="shared" si="19"/>
        <v>30.490467067179399</v>
      </c>
    </row>
    <row r="303" spans="1:8" ht="15.75" customHeight="1">
      <c r="A303" s="4">
        <v>302</v>
      </c>
      <c r="B303" s="3">
        <v>21852</v>
      </c>
      <c r="C303" s="4">
        <v>36</v>
      </c>
      <c r="D303" s="29">
        <f t="shared" si="16"/>
        <v>12970.573490892672</v>
      </c>
      <c r="E303" s="25">
        <f>C303-solver_opt</f>
        <v>-1349.5805509558936</v>
      </c>
      <c r="F303" s="25">
        <f t="shared" si="17"/>
        <v>1349.5805509558936</v>
      </c>
      <c r="G303" s="25">
        <f t="shared" si="18"/>
        <v>1821367.6635184134</v>
      </c>
      <c r="H303" s="30">
        <f t="shared" si="19"/>
        <v>37.488348637663712</v>
      </c>
    </row>
    <row r="304" spans="1:8" ht="15.75" customHeight="1">
      <c r="A304" s="4">
        <v>303</v>
      </c>
      <c r="B304" s="3">
        <v>21853</v>
      </c>
      <c r="C304" s="4">
        <v>45</v>
      </c>
      <c r="D304" s="29">
        <f t="shared" si="16"/>
        <v>13009.061839530335</v>
      </c>
      <c r="E304" s="25">
        <f>C304-solver_opt</f>
        <v>-1340.5805509558936</v>
      </c>
      <c r="F304" s="25">
        <f t="shared" si="17"/>
        <v>1340.5805509558936</v>
      </c>
      <c r="G304" s="25">
        <f t="shared" si="18"/>
        <v>1797156.2136012074</v>
      </c>
      <c r="H304" s="30">
        <f t="shared" si="19"/>
        <v>29.790678910130968</v>
      </c>
    </row>
    <row r="305" spans="1:8" ht="15.75" customHeight="1">
      <c r="A305" s="4">
        <v>304</v>
      </c>
      <c r="B305" s="3">
        <v>21854</v>
      </c>
      <c r="C305" s="4">
        <v>46</v>
      </c>
      <c r="D305" s="29">
        <f t="shared" si="16"/>
        <v>13047.550188167999</v>
      </c>
      <c r="E305" s="25">
        <f>C305-solver_opt</f>
        <v>-1339.5805509558936</v>
      </c>
      <c r="F305" s="25">
        <f t="shared" si="17"/>
        <v>1339.5805509558936</v>
      </c>
      <c r="G305" s="25">
        <f t="shared" si="18"/>
        <v>1794476.0524992954</v>
      </c>
      <c r="H305" s="30">
        <f t="shared" si="19"/>
        <v>29.121316325128124</v>
      </c>
    </row>
    <row r="306" spans="1:8" ht="15.75" customHeight="1">
      <c r="A306" s="4">
        <v>305</v>
      </c>
      <c r="B306" s="3">
        <v>21855</v>
      </c>
      <c r="C306" s="4">
        <v>48</v>
      </c>
      <c r="D306" s="29">
        <f t="shared" si="16"/>
        <v>13086.038536805661</v>
      </c>
      <c r="E306" s="25">
        <f>C306-solver_opt</f>
        <v>-1337.5805509558936</v>
      </c>
      <c r="F306" s="25">
        <f t="shared" si="17"/>
        <v>1337.5805509558936</v>
      </c>
      <c r="G306" s="25">
        <f t="shared" si="18"/>
        <v>1789121.7302954718</v>
      </c>
      <c r="H306" s="30">
        <f t="shared" si="19"/>
        <v>27.866261478247782</v>
      </c>
    </row>
    <row r="307" spans="1:8" ht="15.75" customHeight="1">
      <c r="A307" s="4">
        <v>306</v>
      </c>
      <c r="B307" s="3">
        <v>21856</v>
      </c>
      <c r="C307" s="4">
        <v>49</v>
      </c>
      <c r="D307" s="29">
        <f t="shared" si="16"/>
        <v>13124.526885443325</v>
      </c>
      <c r="E307" s="25">
        <f>C307-solver_opt</f>
        <v>-1336.5805509558936</v>
      </c>
      <c r="F307" s="25">
        <f t="shared" si="17"/>
        <v>1336.5805509558936</v>
      </c>
      <c r="G307" s="25">
        <f t="shared" si="18"/>
        <v>1786447.5691935602</v>
      </c>
      <c r="H307" s="30">
        <f t="shared" si="19"/>
        <v>27.277154101140685</v>
      </c>
    </row>
    <row r="308" spans="1:8" ht="15.75" customHeight="1">
      <c r="A308" s="4">
        <v>307</v>
      </c>
      <c r="B308" s="3">
        <v>21857</v>
      </c>
      <c r="C308" s="4">
        <v>43</v>
      </c>
      <c r="D308" s="29">
        <f t="shared" si="16"/>
        <v>13163.015234080989</v>
      </c>
      <c r="E308" s="25">
        <f>C308-solver_opt</f>
        <v>-1342.5805509558936</v>
      </c>
      <c r="F308" s="25">
        <f t="shared" si="17"/>
        <v>1342.5805509558936</v>
      </c>
      <c r="G308" s="25">
        <f t="shared" si="18"/>
        <v>1802522.535805031</v>
      </c>
      <c r="H308" s="30">
        <f t="shared" si="19"/>
        <v>31.222803510602176</v>
      </c>
    </row>
    <row r="309" spans="1:8" ht="15.75" customHeight="1">
      <c r="A309" s="4">
        <v>308</v>
      </c>
      <c r="B309" s="3">
        <v>21858</v>
      </c>
      <c r="C309" s="4">
        <v>42</v>
      </c>
      <c r="D309" s="29">
        <f t="shared" si="16"/>
        <v>13201.503582718653</v>
      </c>
      <c r="E309" s="25">
        <f>C309-solver_opt</f>
        <v>-1343.5805509558936</v>
      </c>
      <c r="F309" s="25">
        <f t="shared" si="17"/>
        <v>1343.5805509558936</v>
      </c>
      <c r="G309" s="25">
        <f t="shared" si="18"/>
        <v>1805208.6969069426</v>
      </c>
      <c r="H309" s="30">
        <f t="shared" si="19"/>
        <v>31.990013117997467</v>
      </c>
    </row>
    <row r="310" spans="1:8" ht="15.75" customHeight="1">
      <c r="A310" s="4">
        <v>309</v>
      </c>
      <c r="B310" s="3">
        <v>21859</v>
      </c>
      <c r="C310" s="4">
        <v>59</v>
      </c>
      <c r="D310" s="29">
        <f t="shared" si="16"/>
        <v>13239.991931356317</v>
      </c>
      <c r="E310" s="25">
        <f>C310-solver_opt</f>
        <v>-1326.5805509558936</v>
      </c>
      <c r="F310" s="25">
        <f t="shared" si="17"/>
        <v>1326.5805509558936</v>
      </c>
      <c r="G310" s="25">
        <f t="shared" si="18"/>
        <v>1759815.9581744422</v>
      </c>
      <c r="H310" s="30">
        <f t="shared" si="19"/>
        <v>22.484416117896501</v>
      </c>
    </row>
    <row r="311" spans="1:8" ht="15.75" customHeight="1">
      <c r="A311" s="4">
        <v>310</v>
      </c>
      <c r="B311" s="3">
        <v>21860</v>
      </c>
      <c r="C311" s="4">
        <v>45</v>
      </c>
      <c r="D311" s="29">
        <f t="shared" si="16"/>
        <v>13278.480279993981</v>
      </c>
      <c r="E311" s="25">
        <f>C311-solver_opt</f>
        <v>-1340.5805509558936</v>
      </c>
      <c r="F311" s="25">
        <f t="shared" si="17"/>
        <v>1340.5805509558936</v>
      </c>
      <c r="G311" s="25">
        <f t="shared" si="18"/>
        <v>1797156.2136012074</v>
      </c>
      <c r="H311" s="30">
        <f t="shared" si="19"/>
        <v>29.790678910130968</v>
      </c>
    </row>
    <row r="312" spans="1:8" ht="15.75" customHeight="1">
      <c r="A312" s="4">
        <v>311</v>
      </c>
      <c r="B312" s="3">
        <v>21861</v>
      </c>
      <c r="C312" s="4">
        <v>52</v>
      </c>
      <c r="D312" s="29">
        <f t="shared" si="16"/>
        <v>13316.968628631645</v>
      </c>
      <c r="E312" s="25">
        <f>C312-solver_opt</f>
        <v>-1333.5805509558936</v>
      </c>
      <c r="F312" s="25">
        <f t="shared" si="17"/>
        <v>1333.5805509558936</v>
      </c>
      <c r="G312" s="25">
        <f t="shared" si="18"/>
        <v>1778437.0858878247</v>
      </c>
      <c r="H312" s="30">
        <f t="shared" si="19"/>
        <v>25.645779826074879</v>
      </c>
    </row>
    <row r="313" spans="1:8" ht="15.75" customHeight="1">
      <c r="A313" s="4">
        <v>312</v>
      </c>
      <c r="B313" s="3">
        <v>21862</v>
      </c>
      <c r="C313" s="4">
        <v>46</v>
      </c>
      <c r="D313" s="29">
        <f t="shared" si="16"/>
        <v>13355.456977269308</v>
      </c>
      <c r="E313" s="25">
        <f>C313-solver_opt</f>
        <v>-1339.5805509558936</v>
      </c>
      <c r="F313" s="25">
        <f t="shared" si="17"/>
        <v>1339.5805509558936</v>
      </c>
      <c r="G313" s="25">
        <f t="shared" si="18"/>
        <v>1794476.0524992954</v>
      </c>
      <c r="H313" s="30">
        <f t="shared" si="19"/>
        <v>29.121316325128124</v>
      </c>
    </row>
    <row r="314" spans="1:8" ht="15.75" customHeight="1">
      <c r="A314" s="4">
        <v>313</v>
      </c>
      <c r="B314" s="3">
        <v>21863</v>
      </c>
      <c r="C314" s="4">
        <v>42</v>
      </c>
      <c r="D314" s="29">
        <f t="shared" si="16"/>
        <v>13393.945325906972</v>
      </c>
      <c r="E314" s="25">
        <f>C314-solver_opt</f>
        <v>-1343.5805509558936</v>
      </c>
      <c r="F314" s="25">
        <f t="shared" si="17"/>
        <v>1343.5805509558936</v>
      </c>
      <c r="G314" s="25">
        <f t="shared" si="18"/>
        <v>1805208.6969069426</v>
      </c>
      <c r="H314" s="30">
        <f t="shared" si="19"/>
        <v>31.990013117997467</v>
      </c>
    </row>
    <row r="315" spans="1:8" ht="15.75" customHeight="1">
      <c r="A315" s="4">
        <v>314</v>
      </c>
      <c r="B315" s="3">
        <v>21864</v>
      </c>
      <c r="C315" s="4">
        <v>40</v>
      </c>
      <c r="D315" s="29">
        <f t="shared" si="16"/>
        <v>13432.433674544636</v>
      </c>
      <c r="E315" s="25">
        <f>C315-solver_opt</f>
        <v>-1345.5805509558936</v>
      </c>
      <c r="F315" s="25">
        <f t="shared" si="17"/>
        <v>1345.5805509558936</v>
      </c>
      <c r="G315" s="25">
        <f t="shared" si="18"/>
        <v>1810587.0191107662</v>
      </c>
      <c r="H315" s="30">
        <f t="shared" si="19"/>
        <v>33.639513773897342</v>
      </c>
    </row>
    <row r="316" spans="1:8" ht="15.75" customHeight="1">
      <c r="A316" s="4">
        <v>315</v>
      </c>
      <c r="B316" s="3">
        <v>21865</v>
      </c>
      <c r="C316" s="4">
        <v>40</v>
      </c>
      <c r="D316" s="29">
        <f t="shared" si="16"/>
        <v>13470.9220231823</v>
      </c>
      <c r="E316" s="25">
        <f>C316-solver_opt</f>
        <v>-1345.5805509558936</v>
      </c>
      <c r="F316" s="25">
        <f t="shared" si="17"/>
        <v>1345.5805509558936</v>
      </c>
      <c r="G316" s="25">
        <f t="shared" si="18"/>
        <v>1810587.0191107662</v>
      </c>
      <c r="H316" s="30">
        <f t="shared" si="19"/>
        <v>33.639513773897342</v>
      </c>
    </row>
    <row r="317" spans="1:8" ht="15.75" customHeight="1">
      <c r="A317" s="4">
        <v>316</v>
      </c>
      <c r="B317" s="3">
        <v>21866</v>
      </c>
      <c r="C317" s="4">
        <v>45</v>
      </c>
      <c r="D317" s="29">
        <f t="shared" si="16"/>
        <v>13509.410371819962</v>
      </c>
      <c r="E317" s="25">
        <f>C317-solver_opt</f>
        <v>-1340.5805509558936</v>
      </c>
      <c r="F317" s="25">
        <f t="shared" si="17"/>
        <v>1340.5805509558936</v>
      </c>
      <c r="G317" s="25">
        <f t="shared" si="18"/>
        <v>1797156.2136012074</v>
      </c>
      <c r="H317" s="30">
        <f t="shared" si="19"/>
        <v>29.790678910130968</v>
      </c>
    </row>
    <row r="318" spans="1:8" ht="15.75" customHeight="1">
      <c r="A318" s="4">
        <v>317</v>
      </c>
      <c r="B318" s="3">
        <v>21867</v>
      </c>
      <c r="C318" s="4">
        <v>35</v>
      </c>
      <c r="D318" s="29">
        <f t="shared" si="16"/>
        <v>13547.898720457626</v>
      </c>
      <c r="E318" s="25">
        <f>C318-solver_opt</f>
        <v>-1350.5805509558936</v>
      </c>
      <c r="F318" s="25">
        <f t="shared" si="17"/>
        <v>1350.5805509558936</v>
      </c>
      <c r="G318" s="25">
        <f t="shared" si="18"/>
        <v>1824067.8246203251</v>
      </c>
      <c r="H318" s="30">
        <f t="shared" si="19"/>
        <v>38.588015741596962</v>
      </c>
    </row>
    <row r="319" spans="1:8" ht="15.75" customHeight="1">
      <c r="A319" s="4">
        <v>318</v>
      </c>
      <c r="B319" s="3">
        <v>21868</v>
      </c>
      <c r="C319" s="4">
        <v>35</v>
      </c>
      <c r="D319" s="29">
        <f t="shared" si="16"/>
        <v>13586.38706909529</v>
      </c>
      <c r="E319" s="25">
        <f>C319-solver_opt</f>
        <v>-1350.5805509558936</v>
      </c>
      <c r="F319" s="25">
        <f t="shared" si="17"/>
        <v>1350.5805509558936</v>
      </c>
      <c r="G319" s="25">
        <f t="shared" si="18"/>
        <v>1824067.8246203251</v>
      </c>
      <c r="H319" s="30">
        <f t="shared" si="19"/>
        <v>38.588015741596962</v>
      </c>
    </row>
    <row r="320" spans="1:8" ht="15.75" customHeight="1">
      <c r="A320" s="4">
        <v>319</v>
      </c>
      <c r="B320" s="3">
        <v>21869</v>
      </c>
      <c r="C320" s="4">
        <v>40</v>
      </c>
      <c r="D320" s="29">
        <f t="shared" si="16"/>
        <v>13624.875417732954</v>
      </c>
      <c r="E320" s="25">
        <f>C320-solver_opt</f>
        <v>-1345.5805509558936</v>
      </c>
      <c r="F320" s="25">
        <f t="shared" si="17"/>
        <v>1345.5805509558936</v>
      </c>
      <c r="G320" s="25">
        <f t="shared" si="18"/>
        <v>1810587.0191107662</v>
      </c>
      <c r="H320" s="30">
        <f t="shared" si="19"/>
        <v>33.639513773897342</v>
      </c>
    </row>
    <row r="321" spans="1:8" ht="15.75" customHeight="1">
      <c r="A321" s="4">
        <v>320</v>
      </c>
      <c r="B321" s="3">
        <v>21870</v>
      </c>
      <c r="C321" s="4">
        <v>39</v>
      </c>
      <c r="D321" s="29">
        <f t="shared" si="16"/>
        <v>13663.363766370618</v>
      </c>
      <c r="E321" s="25">
        <f>C321-solver_opt</f>
        <v>-1346.5805509558936</v>
      </c>
      <c r="F321" s="25">
        <f t="shared" si="17"/>
        <v>1346.5805509558936</v>
      </c>
      <c r="G321" s="25">
        <f t="shared" si="18"/>
        <v>1813279.1802126779</v>
      </c>
      <c r="H321" s="30">
        <f t="shared" si="19"/>
        <v>34.5277064347665</v>
      </c>
    </row>
    <row r="322" spans="1:8" ht="15.75" customHeight="1">
      <c r="A322" s="4">
        <v>321</v>
      </c>
      <c r="B322" s="3">
        <v>21871</v>
      </c>
      <c r="C322" s="4">
        <v>33</v>
      </c>
      <c r="D322" s="29">
        <f t="shared" si="16"/>
        <v>13701.852115008282</v>
      </c>
      <c r="E322" s="25">
        <f>C322-solver_opt</f>
        <v>-1352.5805509558936</v>
      </c>
      <c r="F322" s="25">
        <f t="shared" si="17"/>
        <v>1352.5805509558936</v>
      </c>
      <c r="G322" s="25">
        <f t="shared" si="18"/>
        <v>1829474.1468241487</v>
      </c>
      <c r="H322" s="30">
        <f t="shared" si="19"/>
        <v>40.987289422905867</v>
      </c>
    </row>
    <row r="323" spans="1:8" ht="15.75" customHeight="1">
      <c r="A323" s="4">
        <v>322</v>
      </c>
      <c r="B323" s="3">
        <v>21872</v>
      </c>
      <c r="C323" s="4">
        <v>42</v>
      </c>
      <c r="D323" s="29">
        <f t="shared" ref="D323:D366" si="20">$K$2*($C$2+A323)</f>
        <v>13740.340463645945</v>
      </c>
      <c r="E323" s="25">
        <f>C323-solver_opt</f>
        <v>-1343.5805509558936</v>
      </c>
      <c r="F323" s="25">
        <f t="shared" ref="F323:F366" si="21">ABS(E323)</f>
        <v>1343.5805509558936</v>
      </c>
      <c r="G323" s="25">
        <f t="shared" ref="G323:G366" si="22">F323^2</f>
        <v>1805208.6969069426</v>
      </c>
      <c r="H323" s="30">
        <f t="shared" ref="H323:H366" si="23">F323/C323</f>
        <v>31.990013117997467</v>
      </c>
    </row>
    <row r="324" spans="1:8" ht="15.75" customHeight="1">
      <c r="A324" s="4">
        <v>323</v>
      </c>
      <c r="B324" s="3">
        <v>21873</v>
      </c>
      <c r="C324" s="4">
        <v>47</v>
      </c>
      <c r="D324" s="29">
        <f t="shared" si="20"/>
        <v>13778.828812283609</v>
      </c>
      <c r="E324" s="25">
        <f>C324-solver_opt</f>
        <v>-1338.5805509558936</v>
      </c>
      <c r="F324" s="25">
        <f t="shared" si="21"/>
        <v>1338.5805509558936</v>
      </c>
      <c r="G324" s="25">
        <f t="shared" si="22"/>
        <v>1791797.8913973838</v>
      </c>
      <c r="H324" s="30">
        <f t="shared" si="23"/>
        <v>28.480437254380714</v>
      </c>
    </row>
    <row r="325" spans="1:8" ht="15.75" customHeight="1">
      <c r="A325" s="4">
        <v>324</v>
      </c>
      <c r="B325" s="3">
        <v>21874</v>
      </c>
      <c r="C325" s="4">
        <v>51</v>
      </c>
      <c r="D325" s="29">
        <f t="shared" si="20"/>
        <v>13817.317160921273</v>
      </c>
      <c r="E325" s="25">
        <f>C325-solver_opt</f>
        <v>-1334.5805509558936</v>
      </c>
      <c r="F325" s="25">
        <f t="shared" si="21"/>
        <v>1334.5805509558936</v>
      </c>
      <c r="G325" s="25">
        <f t="shared" si="22"/>
        <v>1781105.2469897366</v>
      </c>
      <c r="H325" s="30">
        <f t="shared" si="23"/>
        <v>26.168246097174386</v>
      </c>
    </row>
    <row r="326" spans="1:8" ht="15.75" customHeight="1">
      <c r="A326" s="4">
        <v>325</v>
      </c>
      <c r="B326" s="3">
        <v>21875</v>
      </c>
      <c r="C326" s="4">
        <v>44</v>
      </c>
      <c r="D326" s="29">
        <f t="shared" si="20"/>
        <v>13855.805509558937</v>
      </c>
      <c r="E326" s="25">
        <f>C326-solver_opt</f>
        <v>-1341.5805509558936</v>
      </c>
      <c r="F326" s="25">
        <f t="shared" si="21"/>
        <v>1341.5805509558936</v>
      </c>
      <c r="G326" s="25">
        <f t="shared" si="22"/>
        <v>1799838.374703119</v>
      </c>
      <c r="H326" s="30">
        <f t="shared" si="23"/>
        <v>30.490467067179399</v>
      </c>
    </row>
    <row r="327" spans="1:8" ht="15.75" customHeight="1">
      <c r="A327" s="4">
        <v>326</v>
      </c>
      <c r="B327" s="3">
        <v>21876</v>
      </c>
      <c r="C327" s="4">
        <v>40</v>
      </c>
      <c r="D327" s="29">
        <f t="shared" si="20"/>
        <v>13894.293858196601</v>
      </c>
      <c r="E327" s="25">
        <f>C327-solver_opt</f>
        <v>-1345.5805509558936</v>
      </c>
      <c r="F327" s="25">
        <f t="shared" si="21"/>
        <v>1345.5805509558936</v>
      </c>
      <c r="G327" s="25">
        <f t="shared" si="22"/>
        <v>1810587.0191107662</v>
      </c>
      <c r="H327" s="30">
        <f t="shared" si="23"/>
        <v>33.639513773897342</v>
      </c>
    </row>
    <row r="328" spans="1:8" ht="15.75" customHeight="1">
      <c r="A328" s="4">
        <v>327</v>
      </c>
      <c r="B328" s="3">
        <v>21877</v>
      </c>
      <c r="C328" s="4">
        <v>57</v>
      </c>
      <c r="D328" s="29">
        <f t="shared" si="20"/>
        <v>13932.782206834263</v>
      </c>
      <c r="E328" s="25">
        <f>C328-solver_opt</f>
        <v>-1328.5805509558936</v>
      </c>
      <c r="F328" s="25">
        <f t="shared" si="21"/>
        <v>1328.5805509558936</v>
      </c>
      <c r="G328" s="25">
        <f t="shared" si="22"/>
        <v>1765126.2803782658</v>
      </c>
      <c r="H328" s="30">
        <f t="shared" si="23"/>
        <v>23.308430718524448</v>
      </c>
    </row>
    <row r="329" spans="1:8" ht="15.75" customHeight="1">
      <c r="A329" s="4">
        <v>328</v>
      </c>
      <c r="B329" s="3">
        <v>21878</v>
      </c>
      <c r="C329" s="4">
        <v>49</v>
      </c>
      <c r="D329" s="29">
        <f t="shared" si="20"/>
        <v>13971.270555471927</v>
      </c>
      <c r="E329" s="25">
        <f>C329-solver_opt</f>
        <v>-1336.5805509558936</v>
      </c>
      <c r="F329" s="25">
        <f t="shared" si="21"/>
        <v>1336.5805509558936</v>
      </c>
      <c r="G329" s="25">
        <f t="shared" si="22"/>
        <v>1786447.5691935602</v>
      </c>
      <c r="H329" s="30">
        <f t="shared" si="23"/>
        <v>27.277154101140685</v>
      </c>
    </row>
    <row r="330" spans="1:8" ht="15.75" customHeight="1">
      <c r="A330" s="4">
        <v>329</v>
      </c>
      <c r="B330" s="3">
        <v>21879</v>
      </c>
      <c r="C330" s="4">
        <v>45</v>
      </c>
      <c r="D330" s="29">
        <f t="shared" si="20"/>
        <v>14009.758904109591</v>
      </c>
      <c r="E330" s="25">
        <f>C330-solver_opt</f>
        <v>-1340.5805509558936</v>
      </c>
      <c r="F330" s="25">
        <f t="shared" si="21"/>
        <v>1340.5805509558936</v>
      </c>
      <c r="G330" s="25">
        <f t="shared" si="22"/>
        <v>1797156.2136012074</v>
      </c>
      <c r="H330" s="30">
        <f t="shared" si="23"/>
        <v>29.790678910130968</v>
      </c>
    </row>
    <row r="331" spans="1:8" ht="15.75" customHeight="1">
      <c r="A331" s="4">
        <v>330</v>
      </c>
      <c r="B331" s="3">
        <v>21880</v>
      </c>
      <c r="C331" s="4">
        <v>49</v>
      </c>
      <c r="D331" s="29">
        <f t="shared" si="20"/>
        <v>14048.247252747255</v>
      </c>
      <c r="E331" s="25">
        <f>C331-solver_opt</f>
        <v>-1336.5805509558936</v>
      </c>
      <c r="F331" s="25">
        <f t="shared" si="21"/>
        <v>1336.5805509558936</v>
      </c>
      <c r="G331" s="25">
        <f t="shared" si="22"/>
        <v>1786447.5691935602</v>
      </c>
      <c r="H331" s="30">
        <f t="shared" si="23"/>
        <v>27.277154101140685</v>
      </c>
    </row>
    <row r="332" spans="1:8" ht="15.75" customHeight="1">
      <c r="A332" s="4">
        <v>331</v>
      </c>
      <c r="B332" s="3">
        <v>21881</v>
      </c>
      <c r="C332" s="4">
        <v>51</v>
      </c>
      <c r="D332" s="29">
        <f t="shared" si="20"/>
        <v>14086.735601384918</v>
      </c>
      <c r="E332" s="25">
        <f>C332-solver_opt</f>
        <v>-1334.5805509558936</v>
      </c>
      <c r="F332" s="25">
        <f t="shared" si="21"/>
        <v>1334.5805509558936</v>
      </c>
      <c r="G332" s="25">
        <f t="shared" si="22"/>
        <v>1781105.2469897366</v>
      </c>
      <c r="H332" s="30">
        <f t="shared" si="23"/>
        <v>26.168246097174386</v>
      </c>
    </row>
    <row r="333" spans="1:8" ht="15.75" customHeight="1">
      <c r="A333" s="4">
        <v>332</v>
      </c>
      <c r="B333" s="3">
        <v>21882</v>
      </c>
      <c r="C333" s="4">
        <v>46</v>
      </c>
      <c r="D333" s="29">
        <f t="shared" si="20"/>
        <v>14125.223950022582</v>
      </c>
      <c r="E333" s="25">
        <f>C333-solver_opt</f>
        <v>-1339.5805509558936</v>
      </c>
      <c r="F333" s="25">
        <f t="shared" si="21"/>
        <v>1339.5805509558936</v>
      </c>
      <c r="G333" s="25">
        <f t="shared" si="22"/>
        <v>1794476.0524992954</v>
      </c>
      <c r="H333" s="30">
        <f t="shared" si="23"/>
        <v>29.121316325128124</v>
      </c>
    </row>
    <row r="334" spans="1:8" ht="15.75" customHeight="1">
      <c r="A334" s="4">
        <v>333</v>
      </c>
      <c r="B334" s="3">
        <v>21883</v>
      </c>
      <c r="C334" s="4">
        <v>44</v>
      </c>
      <c r="D334" s="29">
        <f t="shared" si="20"/>
        <v>14163.712298660246</v>
      </c>
      <c r="E334" s="25">
        <f>C334-solver_opt</f>
        <v>-1341.5805509558936</v>
      </c>
      <c r="F334" s="25">
        <f t="shared" si="21"/>
        <v>1341.5805509558936</v>
      </c>
      <c r="G334" s="25">
        <f t="shared" si="22"/>
        <v>1799838.374703119</v>
      </c>
      <c r="H334" s="30">
        <f t="shared" si="23"/>
        <v>30.490467067179399</v>
      </c>
    </row>
    <row r="335" spans="1:8" ht="15.75" customHeight="1">
      <c r="A335" s="4">
        <v>334</v>
      </c>
      <c r="B335" s="3">
        <v>21884</v>
      </c>
      <c r="C335" s="4">
        <v>52</v>
      </c>
      <c r="D335" s="29">
        <f t="shared" si="20"/>
        <v>14202.20064729791</v>
      </c>
      <c r="E335" s="25">
        <f>C335-solver_opt</f>
        <v>-1333.5805509558936</v>
      </c>
      <c r="F335" s="25">
        <f t="shared" si="21"/>
        <v>1333.5805509558936</v>
      </c>
      <c r="G335" s="25">
        <f t="shared" si="22"/>
        <v>1778437.0858878247</v>
      </c>
      <c r="H335" s="30">
        <f t="shared" si="23"/>
        <v>25.645779826074879</v>
      </c>
    </row>
    <row r="336" spans="1:8" ht="15.75" customHeight="1">
      <c r="A336" s="4">
        <v>335</v>
      </c>
      <c r="B336" s="3">
        <v>21885</v>
      </c>
      <c r="C336" s="4">
        <v>45</v>
      </c>
      <c r="D336" s="29">
        <f t="shared" si="20"/>
        <v>14240.688995935574</v>
      </c>
      <c r="E336" s="25">
        <f>C336-solver_opt</f>
        <v>-1340.5805509558936</v>
      </c>
      <c r="F336" s="25">
        <f t="shared" si="21"/>
        <v>1340.5805509558936</v>
      </c>
      <c r="G336" s="25">
        <f t="shared" si="22"/>
        <v>1797156.2136012074</v>
      </c>
      <c r="H336" s="30">
        <f t="shared" si="23"/>
        <v>29.790678910130968</v>
      </c>
    </row>
    <row r="337" spans="1:8" ht="15.75" customHeight="1">
      <c r="A337" s="4">
        <v>336</v>
      </c>
      <c r="B337" s="3">
        <v>21886</v>
      </c>
      <c r="C337" s="4">
        <v>32</v>
      </c>
      <c r="D337" s="29">
        <f t="shared" si="20"/>
        <v>14279.177344573238</v>
      </c>
      <c r="E337" s="25">
        <f>C337-solver_opt</f>
        <v>-1353.5805509558936</v>
      </c>
      <c r="F337" s="25">
        <f t="shared" si="21"/>
        <v>1353.5805509558936</v>
      </c>
      <c r="G337" s="25">
        <f t="shared" si="22"/>
        <v>1832180.3079260604</v>
      </c>
      <c r="H337" s="30">
        <f t="shared" si="23"/>
        <v>42.299392217371675</v>
      </c>
    </row>
    <row r="338" spans="1:8" ht="15.75" customHeight="1">
      <c r="A338" s="4">
        <v>337</v>
      </c>
      <c r="B338" s="3">
        <v>21887</v>
      </c>
      <c r="C338" s="4">
        <v>46</v>
      </c>
      <c r="D338" s="29">
        <f t="shared" si="20"/>
        <v>14317.665693210902</v>
      </c>
      <c r="E338" s="25">
        <f>C338-solver_opt</f>
        <v>-1339.5805509558936</v>
      </c>
      <c r="F338" s="25">
        <f t="shared" si="21"/>
        <v>1339.5805509558936</v>
      </c>
      <c r="G338" s="25">
        <f t="shared" si="22"/>
        <v>1794476.0524992954</v>
      </c>
      <c r="H338" s="30">
        <f t="shared" si="23"/>
        <v>29.121316325128124</v>
      </c>
    </row>
    <row r="339" spans="1:8" ht="15.75" customHeight="1">
      <c r="A339" s="4">
        <v>338</v>
      </c>
      <c r="B339" s="3">
        <v>21888</v>
      </c>
      <c r="C339" s="4">
        <v>41</v>
      </c>
      <c r="D339" s="29">
        <f t="shared" si="20"/>
        <v>14356.154041848564</v>
      </c>
      <c r="E339" s="25">
        <f>C339-solver_opt</f>
        <v>-1344.5805509558936</v>
      </c>
      <c r="F339" s="25">
        <f t="shared" si="21"/>
        <v>1344.5805509558936</v>
      </c>
      <c r="G339" s="25">
        <f t="shared" si="22"/>
        <v>1807896.8580088543</v>
      </c>
      <c r="H339" s="30">
        <f t="shared" si="23"/>
        <v>32.79464758429009</v>
      </c>
    </row>
    <row r="340" spans="1:8" ht="15.75" customHeight="1">
      <c r="A340" s="4">
        <v>339</v>
      </c>
      <c r="B340" s="3">
        <v>21889</v>
      </c>
      <c r="C340" s="4">
        <v>34</v>
      </c>
      <c r="D340" s="29">
        <f t="shared" si="20"/>
        <v>14394.642390486228</v>
      </c>
      <c r="E340" s="25">
        <f>C340-solver_opt</f>
        <v>-1351.5805509558936</v>
      </c>
      <c r="F340" s="25">
        <f t="shared" si="21"/>
        <v>1351.5805509558936</v>
      </c>
      <c r="G340" s="25">
        <f t="shared" si="22"/>
        <v>1826769.985722237</v>
      </c>
      <c r="H340" s="30">
        <f t="shared" si="23"/>
        <v>39.752369145761577</v>
      </c>
    </row>
    <row r="341" spans="1:8" ht="15.75" customHeight="1">
      <c r="A341" s="4">
        <v>340</v>
      </c>
      <c r="B341" s="3">
        <v>21890</v>
      </c>
      <c r="C341" s="4">
        <v>33</v>
      </c>
      <c r="D341" s="29">
        <f t="shared" si="20"/>
        <v>14433.130739123892</v>
      </c>
      <c r="E341" s="25">
        <f>C341-solver_opt</f>
        <v>-1352.5805509558936</v>
      </c>
      <c r="F341" s="25">
        <f t="shared" si="21"/>
        <v>1352.5805509558936</v>
      </c>
      <c r="G341" s="25">
        <f t="shared" si="22"/>
        <v>1829474.1468241487</v>
      </c>
      <c r="H341" s="30">
        <f t="shared" si="23"/>
        <v>40.987289422905867</v>
      </c>
    </row>
    <row r="342" spans="1:8" ht="15.75" customHeight="1">
      <c r="A342" s="4">
        <v>341</v>
      </c>
      <c r="B342" s="3">
        <v>21891</v>
      </c>
      <c r="C342" s="4">
        <v>36</v>
      </c>
      <c r="D342" s="29">
        <f t="shared" si="20"/>
        <v>14471.619087761555</v>
      </c>
      <c r="E342" s="25">
        <f>C342-solver_opt</f>
        <v>-1349.5805509558936</v>
      </c>
      <c r="F342" s="25">
        <f t="shared" si="21"/>
        <v>1349.5805509558936</v>
      </c>
      <c r="G342" s="25">
        <f t="shared" si="22"/>
        <v>1821367.6635184134</v>
      </c>
      <c r="H342" s="30">
        <f t="shared" si="23"/>
        <v>37.488348637663712</v>
      </c>
    </row>
    <row r="343" spans="1:8" ht="15.75" customHeight="1">
      <c r="A343" s="4">
        <v>342</v>
      </c>
      <c r="B343" s="3">
        <v>21892</v>
      </c>
      <c r="C343" s="4">
        <v>49</v>
      </c>
      <c r="D343" s="29">
        <f t="shared" si="20"/>
        <v>14510.107436399219</v>
      </c>
      <c r="E343" s="25">
        <f>C343-solver_opt</f>
        <v>-1336.5805509558936</v>
      </c>
      <c r="F343" s="25">
        <f t="shared" si="21"/>
        <v>1336.5805509558936</v>
      </c>
      <c r="G343" s="25">
        <f t="shared" si="22"/>
        <v>1786447.5691935602</v>
      </c>
      <c r="H343" s="30">
        <f t="shared" si="23"/>
        <v>27.277154101140685</v>
      </c>
    </row>
    <row r="344" spans="1:8" ht="15.75" customHeight="1">
      <c r="A344" s="4">
        <v>343</v>
      </c>
      <c r="B344" s="3">
        <v>21893</v>
      </c>
      <c r="C344" s="4">
        <v>43</v>
      </c>
      <c r="D344" s="29">
        <f t="shared" si="20"/>
        <v>14548.595785036883</v>
      </c>
      <c r="E344" s="25">
        <f>C344-solver_opt</f>
        <v>-1342.5805509558936</v>
      </c>
      <c r="F344" s="25">
        <f t="shared" si="21"/>
        <v>1342.5805509558936</v>
      </c>
      <c r="G344" s="25">
        <f t="shared" si="22"/>
        <v>1802522.535805031</v>
      </c>
      <c r="H344" s="30">
        <f t="shared" si="23"/>
        <v>31.222803510602176</v>
      </c>
    </row>
    <row r="345" spans="1:8" ht="15.75" customHeight="1">
      <c r="A345" s="4">
        <v>344</v>
      </c>
      <c r="B345" s="3">
        <v>21894</v>
      </c>
      <c r="C345" s="4">
        <v>43</v>
      </c>
      <c r="D345" s="29">
        <f t="shared" si="20"/>
        <v>14587.084133674547</v>
      </c>
      <c r="E345" s="25">
        <f>C345-solver_opt</f>
        <v>-1342.5805509558936</v>
      </c>
      <c r="F345" s="25">
        <f t="shared" si="21"/>
        <v>1342.5805509558936</v>
      </c>
      <c r="G345" s="25">
        <f t="shared" si="22"/>
        <v>1802522.535805031</v>
      </c>
      <c r="H345" s="30">
        <f t="shared" si="23"/>
        <v>31.222803510602176</v>
      </c>
    </row>
    <row r="346" spans="1:8" ht="15.75" customHeight="1">
      <c r="A346" s="4">
        <v>345</v>
      </c>
      <c r="B346" s="3">
        <v>21895</v>
      </c>
      <c r="C346" s="4">
        <v>34</v>
      </c>
      <c r="D346" s="29">
        <f t="shared" si="20"/>
        <v>14625.572482312211</v>
      </c>
      <c r="E346" s="25">
        <f>C346-solver_opt</f>
        <v>-1351.5805509558936</v>
      </c>
      <c r="F346" s="25">
        <f t="shared" si="21"/>
        <v>1351.5805509558936</v>
      </c>
      <c r="G346" s="25">
        <f t="shared" si="22"/>
        <v>1826769.985722237</v>
      </c>
      <c r="H346" s="30">
        <f t="shared" si="23"/>
        <v>39.752369145761577</v>
      </c>
    </row>
    <row r="347" spans="1:8" ht="15.75" customHeight="1">
      <c r="A347" s="4">
        <v>346</v>
      </c>
      <c r="B347" s="3">
        <v>21896</v>
      </c>
      <c r="C347" s="4">
        <v>39</v>
      </c>
      <c r="D347" s="29">
        <f t="shared" si="20"/>
        <v>14664.060830949875</v>
      </c>
      <c r="E347" s="25">
        <f>C347-solver_opt</f>
        <v>-1346.5805509558936</v>
      </c>
      <c r="F347" s="25">
        <f t="shared" si="21"/>
        <v>1346.5805509558936</v>
      </c>
      <c r="G347" s="25">
        <f t="shared" si="22"/>
        <v>1813279.1802126779</v>
      </c>
      <c r="H347" s="30">
        <f t="shared" si="23"/>
        <v>34.5277064347665</v>
      </c>
    </row>
    <row r="348" spans="1:8" ht="15.75" customHeight="1">
      <c r="A348" s="4">
        <v>347</v>
      </c>
      <c r="B348" s="3">
        <v>21897</v>
      </c>
      <c r="C348" s="4">
        <v>35</v>
      </c>
      <c r="D348" s="29">
        <f t="shared" si="20"/>
        <v>14702.549179587539</v>
      </c>
      <c r="E348" s="25">
        <f>C348-solver_opt</f>
        <v>-1350.5805509558936</v>
      </c>
      <c r="F348" s="25">
        <f t="shared" si="21"/>
        <v>1350.5805509558936</v>
      </c>
      <c r="G348" s="25">
        <f t="shared" si="22"/>
        <v>1824067.8246203251</v>
      </c>
      <c r="H348" s="30">
        <f t="shared" si="23"/>
        <v>38.588015741596962</v>
      </c>
    </row>
    <row r="349" spans="1:8" ht="15.75" customHeight="1">
      <c r="A349" s="4">
        <v>348</v>
      </c>
      <c r="B349" s="3">
        <v>21898</v>
      </c>
      <c r="C349" s="4">
        <v>52</v>
      </c>
      <c r="D349" s="29">
        <f t="shared" si="20"/>
        <v>14741.037528225203</v>
      </c>
      <c r="E349" s="25">
        <f>C349-solver_opt</f>
        <v>-1333.5805509558936</v>
      </c>
      <c r="F349" s="25">
        <f t="shared" si="21"/>
        <v>1333.5805509558936</v>
      </c>
      <c r="G349" s="25">
        <f t="shared" si="22"/>
        <v>1778437.0858878247</v>
      </c>
      <c r="H349" s="30">
        <f t="shared" si="23"/>
        <v>25.645779826074879</v>
      </c>
    </row>
    <row r="350" spans="1:8" ht="15.75" customHeight="1">
      <c r="A350" s="4">
        <v>349</v>
      </c>
      <c r="B350" s="3">
        <v>21899</v>
      </c>
      <c r="C350" s="4">
        <v>47</v>
      </c>
      <c r="D350" s="29">
        <f t="shared" si="20"/>
        <v>14779.525876862866</v>
      </c>
      <c r="E350" s="25">
        <f>C350-solver_opt</f>
        <v>-1338.5805509558936</v>
      </c>
      <c r="F350" s="25">
        <f t="shared" si="21"/>
        <v>1338.5805509558936</v>
      </c>
      <c r="G350" s="25">
        <f t="shared" si="22"/>
        <v>1791797.8913973838</v>
      </c>
      <c r="H350" s="30">
        <f t="shared" si="23"/>
        <v>28.480437254380714</v>
      </c>
    </row>
    <row r="351" spans="1:8" ht="15.75" customHeight="1">
      <c r="A351" s="4">
        <v>350</v>
      </c>
      <c r="B351" s="3">
        <v>21900</v>
      </c>
      <c r="C351" s="4">
        <v>52</v>
      </c>
      <c r="D351" s="29">
        <f t="shared" si="20"/>
        <v>14818.014225500528</v>
      </c>
      <c r="E351" s="25">
        <f>C351-solver_opt</f>
        <v>-1333.5805509558936</v>
      </c>
      <c r="F351" s="25">
        <f t="shared" si="21"/>
        <v>1333.5805509558936</v>
      </c>
      <c r="G351" s="25">
        <f t="shared" si="22"/>
        <v>1778437.0858878247</v>
      </c>
      <c r="H351" s="30">
        <f t="shared" si="23"/>
        <v>25.645779826074879</v>
      </c>
    </row>
    <row r="352" spans="1:8" ht="15.75" customHeight="1">
      <c r="A352" s="4">
        <v>351</v>
      </c>
      <c r="B352" s="3">
        <v>21901</v>
      </c>
      <c r="C352" s="4">
        <v>39</v>
      </c>
      <c r="D352" s="29">
        <f t="shared" si="20"/>
        <v>14856.502574138192</v>
      </c>
      <c r="E352" s="25">
        <f>C352-solver_opt</f>
        <v>-1346.5805509558936</v>
      </c>
      <c r="F352" s="25">
        <f t="shared" si="21"/>
        <v>1346.5805509558936</v>
      </c>
      <c r="G352" s="25">
        <f t="shared" si="22"/>
        <v>1813279.1802126779</v>
      </c>
      <c r="H352" s="30">
        <f t="shared" si="23"/>
        <v>34.5277064347665</v>
      </c>
    </row>
    <row r="353" spans="1:8" ht="15.75" customHeight="1">
      <c r="A353" s="4">
        <v>352</v>
      </c>
      <c r="B353" s="3">
        <v>21902</v>
      </c>
      <c r="C353" s="4">
        <v>40</v>
      </c>
      <c r="D353" s="29">
        <f t="shared" si="20"/>
        <v>14894.990922775856</v>
      </c>
      <c r="E353" s="25">
        <f>C353-solver_opt</f>
        <v>-1345.5805509558936</v>
      </c>
      <c r="F353" s="25">
        <f t="shared" si="21"/>
        <v>1345.5805509558936</v>
      </c>
      <c r="G353" s="25">
        <f t="shared" si="22"/>
        <v>1810587.0191107662</v>
      </c>
      <c r="H353" s="30">
        <f t="shared" si="23"/>
        <v>33.639513773897342</v>
      </c>
    </row>
    <row r="354" spans="1:8" ht="15.75" customHeight="1">
      <c r="A354" s="4">
        <v>353</v>
      </c>
      <c r="B354" s="3">
        <v>21903</v>
      </c>
      <c r="C354" s="4">
        <v>42</v>
      </c>
      <c r="D354" s="29">
        <f t="shared" si="20"/>
        <v>14933.47927141352</v>
      </c>
      <c r="E354" s="25">
        <f>C354-solver_opt</f>
        <v>-1343.5805509558936</v>
      </c>
      <c r="F354" s="25">
        <f t="shared" si="21"/>
        <v>1343.5805509558936</v>
      </c>
      <c r="G354" s="25">
        <f t="shared" si="22"/>
        <v>1805208.6969069426</v>
      </c>
      <c r="H354" s="30">
        <f t="shared" si="23"/>
        <v>31.990013117997467</v>
      </c>
    </row>
    <row r="355" spans="1:8" ht="15.75" customHeight="1">
      <c r="A355" s="4">
        <v>354</v>
      </c>
      <c r="B355" s="3">
        <v>21904</v>
      </c>
      <c r="C355" s="4">
        <v>42</v>
      </c>
      <c r="D355" s="29">
        <f t="shared" si="20"/>
        <v>14971.967620051184</v>
      </c>
      <c r="E355" s="25">
        <f>C355-solver_opt</f>
        <v>-1343.5805509558936</v>
      </c>
      <c r="F355" s="25">
        <f t="shared" si="21"/>
        <v>1343.5805509558936</v>
      </c>
      <c r="G355" s="25">
        <f t="shared" si="22"/>
        <v>1805208.6969069426</v>
      </c>
      <c r="H355" s="30">
        <f t="shared" si="23"/>
        <v>31.990013117997467</v>
      </c>
    </row>
    <row r="356" spans="1:8" ht="15.75" customHeight="1">
      <c r="A356" s="4">
        <v>355</v>
      </c>
      <c r="B356" s="3">
        <v>21905</v>
      </c>
      <c r="C356" s="4">
        <v>53</v>
      </c>
      <c r="D356" s="29">
        <f t="shared" si="20"/>
        <v>15010.455968688848</v>
      </c>
      <c r="E356" s="25">
        <f>C356-solver_opt</f>
        <v>-1332.5805509558936</v>
      </c>
      <c r="F356" s="25">
        <f t="shared" si="21"/>
        <v>1332.5805509558936</v>
      </c>
      <c r="G356" s="25">
        <f t="shared" si="22"/>
        <v>1775770.924785913</v>
      </c>
      <c r="H356" s="30">
        <f t="shared" si="23"/>
        <v>25.143029263318748</v>
      </c>
    </row>
    <row r="357" spans="1:8" ht="15.75" customHeight="1">
      <c r="A357" s="4">
        <v>356</v>
      </c>
      <c r="B357" s="3">
        <v>21906</v>
      </c>
      <c r="C357" s="4">
        <v>39</v>
      </c>
      <c r="D357" s="29">
        <f t="shared" si="20"/>
        <v>15048.944317326512</v>
      </c>
      <c r="E357" s="25">
        <f>C357-solver_opt</f>
        <v>-1346.5805509558936</v>
      </c>
      <c r="F357" s="25">
        <f t="shared" si="21"/>
        <v>1346.5805509558936</v>
      </c>
      <c r="G357" s="25">
        <f t="shared" si="22"/>
        <v>1813279.1802126779</v>
      </c>
      <c r="H357" s="30">
        <f t="shared" si="23"/>
        <v>34.5277064347665</v>
      </c>
    </row>
    <row r="358" spans="1:8" ht="15.75" customHeight="1">
      <c r="A358" s="4">
        <v>357</v>
      </c>
      <c r="B358" s="3">
        <v>21907</v>
      </c>
      <c r="C358" s="4">
        <v>40</v>
      </c>
      <c r="D358" s="29">
        <f t="shared" si="20"/>
        <v>15087.432665964176</v>
      </c>
      <c r="E358" s="25">
        <f>C358-solver_opt</f>
        <v>-1345.5805509558936</v>
      </c>
      <c r="F358" s="25">
        <f t="shared" si="21"/>
        <v>1345.5805509558936</v>
      </c>
      <c r="G358" s="25">
        <f t="shared" si="22"/>
        <v>1810587.0191107662</v>
      </c>
      <c r="H358" s="30">
        <f t="shared" si="23"/>
        <v>33.639513773897342</v>
      </c>
    </row>
    <row r="359" spans="1:8" ht="15.75" customHeight="1">
      <c r="A359" s="4">
        <v>358</v>
      </c>
      <c r="B359" s="3">
        <v>21908</v>
      </c>
      <c r="C359" s="4">
        <v>38</v>
      </c>
      <c r="D359" s="29">
        <f t="shared" si="20"/>
        <v>15125.921014601839</v>
      </c>
      <c r="E359" s="25">
        <f>C359-solver_opt</f>
        <v>-1347.5805509558936</v>
      </c>
      <c r="F359" s="25">
        <f t="shared" si="21"/>
        <v>1347.5805509558936</v>
      </c>
      <c r="G359" s="25">
        <f t="shared" si="22"/>
        <v>1815973.3413145898</v>
      </c>
      <c r="H359" s="30">
        <f t="shared" si="23"/>
        <v>35.462646077786673</v>
      </c>
    </row>
    <row r="360" spans="1:8" ht="15.75" customHeight="1">
      <c r="A360" s="4">
        <v>359</v>
      </c>
      <c r="B360" s="3">
        <v>21909</v>
      </c>
      <c r="C360" s="4">
        <v>44</v>
      </c>
      <c r="D360" s="29">
        <f t="shared" si="20"/>
        <v>15164.409363239503</v>
      </c>
      <c r="E360" s="25">
        <f>C360-solver_opt</f>
        <v>-1341.5805509558936</v>
      </c>
      <c r="F360" s="25">
        <f t="shared" si="21"/>
        <v>1341.5805509558936</v>
      </c>
      <c r="G360" s="25">
        <f t="shared" si="22"/>
        <v>1799838.374703119</v>
      </c>
      <c r="H360" s="30">
        <f t="shared" si="23"/>
        <v>30.490467067179399</v>
      </c>
    </row>
    <row r="361" spans="1:8" ht="15.75" customHeight="1">
      <c r="A361" s="4">
        <v>360</v>
      </c>
      <c r="B361" s="3">
        <v>21910</v>
      </c>
      <c r="C361" s="4">
        <v>34</v>
      </c>
      <c r="D361" s="29">
        <f t="shared" si="20"/>
        <v>15202.897711877167</v>
      </c>
      <c r="E361" s="25">
        <f>C361-solver_opt</f>
        <v>-1351.5805509558936</v>
      </c>
      <c r="F361" s="25">
        <f t="shared" si="21"/>
        <v>1351.5805509558936</v>
      </c>
      <c r="G361" s="25">
        <f t="shared" si="22"/>
        <v>1826769.985722237</v>
      </c>
      <c r="H361" s="30">
        <f t="shared" si="23"/>
        <v>39.752369145761577</v>
      </c>
    </row>
    <row r="362" spans="1:8" ht="15.75" customHeight="1">
      <c r="A362" s="4">
        <v>361</v>
      </c>
      <c r="B362" s="3">
        <v>21911</v>
      </c>
      <c r="C362" s="4">
        <v>37</v>
      </c>
      <c r="D362" s="29">
        <f t="shared" si="20"/>
        <v>15241.386060514829</v>
      </c>
      <c r="E362" s="25">
        <f>C362-solver_opt</f>
        <v>-1348.5805509558936</v>
      </c>
      <c r="F362" s="25">
        <f t="shared" si="21"/>
        <v>1348.5805509558936</v>
      </c>
      <c r="G362" s="25">
        <f t="shared" si="22"/>
        <v>1818669.5024165015</v>
      </c>
      <c r="H362" s="30">
        <f t="shared" si="23"/>
        <v>36.448122998807932</v>
      </c>
    </row>
    <row r="363" spans="1:8" ht="15.75" customHeight="1">
      <c r="A363" s="4">
        <v>362</v>
      </c>
      <c r="B363" s="3">
        <v>21912</v>
      </c>
      <c r="C363" s="4">
        <v>52</v>
      </c>
      <c r="D363" s="29">
        <f t="shared" si="20"/>
        <v>15279.874409152493</v>
      </c>
      <c r="E363" s="25">
        <f>C363-solver_opt</f>
        <v>-1333.5805509558936</v>
      </c>
      <c r="F363" s="25">
        <f t="shared" si="21"/>
        <v>1333.5805509558936</v>
      </c>
      <c r="G363" s="25">
        <f t="shared" si="22"/>
        <v>1778437.0858878247</v>
      </c>
      <c r="H363" s="30">
        <f t="shared" si="23"/>
        <v>25.645779826074879</v>
      </c>
    </row>
    <row r="364" spans="1:8" ht="15.75" customHeight="1">
      <c r="A364" s="4">
        <v>363</v>
      </c>
      <c r="B364" s="3">
        <v>21913</v>
      </c>
      <c r="C364" s="4">
        <v>48</v>
      </c>
      <c r="D364" s="29">
        <f t="shared" si="20"/>
        <v>15318.362757790157</v>
      </c>
      <c r="E364" s="25">
        <f>C364-solver_opt</f>
        <v>-1337.5805509558936</v>
      </c>
      <c r="F364" s="25">
        <f t="shared" si="21"/>
        <v>1337.5805509558936</v>
      </c>
      <c r="G364" s="25">
        <f t="shared" si="22"/>
        <v>1789121.7302954718</v>
      </c>
      <c r="H364" s="30">
        <f t="shared" si="23"/>
        <v>27.866261478247782</v>
      </c>
    </row>
    <row r="365" spans="1:8" ht="15.75" customHeight="1">
      <c r="A365" s="4">
        <v>364</v>
      </c>
      <c r="B365" s="3">
        <v>21914</v>
      </c>
      <c r="C365" s="4">
        <v>55</v>
      </c>
      <c r="D365" s="29">
        <f t="shared" si="20"/>
        <v>15356.851106427821</v>
      </c>
      <c r="E365" s="25">
        <f>C365-solver_opt</f>
        <v>-1330.5805509558936</v>
      </c>
      <c r="F365" s="25">
        <f t="shared" si="21"/>
        <v>1330.5805509558936</v>
      </c>
      <c r="G365" s="25">
        <f t="shared" si="22"/>
        <v>1770444.6025820894</v>
      </c>
      <c r="H365" s="30">
        <f t="shared" si="23"/>
        <v>24.19237365374352</v>
      </c>
    </row>
    <row r="366" spans="1:8" ht="15.75" customHeight="1">
      <c r="A366" s="4">
        <v>365</v>
      </c>
      <c r="B366" s="3">
        <v>21915</v>
      </c>
      <c r="C366" s="4">
        <v>50</v>
      </c>
      <c r="D366" s="29">
        <f t="shared" si="20"/>
        <v>15395.339455065485</v>
      </c>
      <c r="E366" s="25">
        <f>C366-solver_opt</f>
        <v>-1335.5805509558936</v>
      </c>
      <c r="F366" s="25">
        <f t="shared" si="21"/>
        <v>1335.5805509558936</v>
      </c>
      <c r="G366" s="25">
        <f t="shared" si="22"/>
        <v>1783775.4080916482</v>
      </c>
      <c r="H366" s="30">
        <f t="shared" si="23"/>
        <v>26.711611019117871</v>
      </c>
    </row>
    <row r="367" spans="1:8" ht="15.75" customHeight="1">
      <c r="D367" s="15"/>
      <c r="E367" s="8"/>
    </row>
    <row r="368" spans="1:8" ht="15.75" customHeight="1">
      <c r="D368" s="15"/>
      <c r="E368" s="8"/>
    </row>
    <row r="369" spans="4:5" ht="15.75" customHeight="1">
      <c r="D369" s="15"/>
      <c r="E369" s="8"/>
    </row>
    <row r="370" spans="4:5" ht="15.75" customHeight="1">
      <c r="D370" s="15"/>
      <c r="E370" s="8"/>
    </row>
    <row r="371" spans="4:5" ht="15.75" customHeight="1">
      <c r="D371" s="15"/>
      <c r="E371" s="8"/>
    </row>
    <row r="372" spans="4:5" ht="15.75" customHeight="1">
      <c r="D372" s="15"/>
      <c r="E372" s="8"/>
    </row>
    <row r="373" spans="4:5" ht="15.75" customHeight="1">
      <c r="D373" s="15"/>
      <c r="E373" s="8"/>
    </row>
    <row r="374" spans="4:5" ht="15.75" customHeight="1">
      <c r="D374" s="15"/>
      <c r="E374" s="8"/>
    </row>
    <row r="375" spans="4:5" ht="15.75" customHeight="1">
      <c r="D375" s="15"/>
      <c r="E375" s="8"/>
    </row>
    <row r="376" spans="4:5" ht="15.75" customHeight="1">
      <c r="D376" s="15"/>
      <c r="E376" s="8"/>
    </row>
    <row r="377" spans="4:5" ht="15.75" customHeight="1">
      <c r="D377" s="15"/>
      <c r="E377" s="8"/>
    </row>
    <row r="378" spans="4:5" ht="15.75" customHeight="1">
      <c r="D378" s="15"/>
      <c r="E378" s="8"/>
    </row>
    <row r="379" spans="4:5" ht="15.75" customHeight="1">
      <c r="D379" s="15"/>
      <c r="E379" s="8"/>
    </row>
    <row r="380" spans="4:5" ht="15.75" customHeight="1">
      <c r="D380" s="15"/>
      <c r="E380" s="8"/>
    </row>
    <row r="381" spans="4:5" ht="15.75" customHeight="1">
      <c r="D381" s="15"/>
      <c r="E381" s="8"/>
    </row>
    <row r="382" spans="4:5" ht="15.75" customHeight="1">
      <c r="D382" s="15"/>
      <c r="E382" s="8"/>
    </row>
    <row r="383" spans="4:5" ht="15.75" customHeight="1">
      <c r="D383" s="15"/>
      <c r="E383" s="8"/>
    </row>
    <row r="384" spans="4:5" ht="15.75" customHeight="1">
      <c r="D384" s="15"/>
      <c r="E384" s="8"/>
    </row>
    <row r="385" spans="4:5" ht="15.75" customHeight="1">
      <c r="D385" s="15"/>
      <c r="E385" s="8"/>
    </row>
    <row r="386" spans="4:5" ht="15.75" customHeight="1">
      <c r="D386" s="15"/>
      <c r="E386" s="8"/>
    </row>
    <row r="387" spans="4:5" ht="15.75" customHeight="1">
      <c r="D387" s="15"/>
      <c r="E387" s="8"/>
    </row>
    <row r="388" spans="4:5" ht="15.75" customHeight="1">
      <c r="D388" s="15"/>
      <c r="E388" s="8"/>
    </row>
    <row r="389" spans="4:5" ht="15.75" customHeight="1">
      <c r="D389" s="15"/>
      <c r="E389" s="8"/>
    </row>
    <row r="390" spans="4:5" ht="15.75" customHeight="1">
      <c r="D390" s="15"/>
      <c r="E390" s="8"/>
    </row>
    <row r="391" spans="4:5" ht="15.75" customHeight="1">
      <c r="D391" s="15"/>
      <c r="E391" s="8"/>
    </row>
    <row r="392" spans="4:5" ht="15.75" customHeight="1">
      <c r="D392" s="15"/>
      <c r="E392" s="8"/>
    </row>
    <row r="393" spans="4:5" ht="15.75" customHeight="1">
      <c r="D393" s="15"/>
      <c r="E393" s="8"/>
    </row>
    <row r="394" spans="4:5" ht="15.75" customHeight="1">
      <c r="D394" s="15"/>
      <c r="E394" s="8"/>
    </row>
    <row r="395" spans="4:5" ht="15.75" customHeight="1">
      <c r="D395" s="15"/>
      <c r="E395" s="8"/>
    </row>
    <row r="396" spans="4:5" ht="15.75" customHeight="1">
      <c r="D396" s="15"/>
      <c r="E396" s="8"/>
    </row>
    <row r="397" spans="4:5" ht="15.75" customHeight="1">
      <c r="D397" s="15"/>
      <c r="E397" s="8"/>
    </row>
    <row r="398" spans="4:5" ht="15.75" customHeight="1">
      <c r="D398" s="15"/>
      <c r="E398" s="8"/>
    </row>
    <row r="399" spans="4:5" ht="15.75" customHeight="1">
      <c r="D399" s="15"/>
      <c r="E399" s="8"/>
    </row>
    <row r="400" spans="4:5" ht="15.75" customHeight="1">
      <c r="D400" s="15"/>
      <c r="E400" s="8"/>
    </row>
    <row r="401" spans="4:5" ht="15.75" customHeight="1">
      <c r="D401" s="15"/>
      <c r="E401" s="8"/>
    </row>
    <row r="402" spans="4:5" ht="15.75" customHeight="1">
      <c r="D402" s="15"/>
      <c r="E402" s="8"/>
    </row>
    <row r="403" spans="4:5" ht="15.75" customHeight="1">
      <c r="D403" s="15"/>
      <c r="E403" s="8"/>
    </row>
    <row r="404" spans="4:5" ht="15.75" customHeight="1">
      <c r="D404" s="15"/>
      <c r="E404" s="8"/>
    </row>
    <row r="405" spans="4:5" ht="15.75" customHeight="1">
      <c r="D405" s="15"/>
      <c r="E405" s="8"/>
    </row>
    <row r="406" spans="4:5" ht="15.75" customHeight="1">
      <c r="D406" s="15"/>
      <c r="E406" s="8"/>
    </row>
    <row r="407" spans="4:5" ht="15.75" customHeight="1">
      <c r="D407" s="15"/>
      <c r="E407" s="8"/>
    </row>
    <row r="408" spans="4:5" ht="15.75" customHeight="1">
      <c r="D408" s="15"/>
      <c r="E408" s="8"/>
    </row>
    <row r="409" spans="4:5" ht="15.75" customHeight="1">
      <c r="D409" s="15"/>
      <c r="E409" s="8"/>
    </row>
    <row r="410" spans="4:5" ht="15.75" customHeight="1">
      <c r="D410" s="15"/>
      <c r="E410" s="8"/>
    </row>
    <row r="411" spans="4:5" ht="15.75" customHeight="1">
      <c r="D411" s="15"/>
      <c r="E411" s="8"/>
    </row>
    <row r="412" spans="4:5" ht="15.75" customHeight="1">
      <c r="D412" s="15"/>
      <c r="E412" s="8"/>
    </row>
    <row r="413" spans="4:5" ht="15.75" customHeight="1">
      <c r="D413" s="15"/>
      <c r="E413" s="8"/>
    </row>
    <row r="414" spans="4:5" ht="15.75" customHeight="1">
      <c r="D414" s="15"/>
      <c r="E414" s="8"/>
    </row>
    <row r="415" spans="4:5" ht="15.75" customHeight="1">
      <c r="D415" s="15"/>
      <c r="E415" s="8"/>
    </row>
    <row r="416" spans="4:5" ht="15.75" customHeight="1">
      <c r="D416" s="15"/>
      <c r="E416" s="8"/>
    </row>
    <row r="417" spans="4:5" ht="15.75" customHeight="1">
      <c r="D417" s="15"/>
      <c r="E417" s="8"/>
    </row>
    <row r="418" spans="4:5" ht="15.75" customHeight="1">
      <c r="D418" s="15"/>
      <c r="E418" s="8"/>
    </row>
    <row r="419" spans="4:5" ht="15.75" customHeight="1">
      <c r="D419" s="15"/>
      <c r="E419" s="8"/>
    </row>
    <row r="420" spans="4:5" ht="15.75" customHeight="1">
      <c r="D420" s="15"/>
      <c r="E420" s="8"/>
    </row>
    <row r="421" spans="4:5" ht="15.75" customHeight="1">
      <c r="D421" s="15"/>
      <c r="E421" s="8"/>
    </row>
    <row r="422" spans="4:5" ht="15.75" customHeight="1">
      <c r="D422" s="15"/>
      <c r="E422" s="8"/>
    </row>
    <row r="423" spans="4:5" ht="15.75" customHeight="1">
      <c r="D423" s="15"/>
      <c r="E423" s="8"/>
    </row>
    <row r="424" spans="4:5" ht="15.75" customHeight="1">
      <c r="D424" s="15"/>
      <c r="E424" s="8"/>
    </row>
    <row r="425" spans="4:5" ht="15.75" customHeight="1">
      <c r="D425" s="15"/>
      <c r="E425" s="8"/>
    </row>
    <row r="426" spans="4:5" ht="15.75" customHeight="1">
      <c r="D426" s="15"/>
      <c r="E426" s="8"/>
    </row>
    <row r="427" spans="4:5" ht="15.75" customHeight="1">
      <c r="D427" s="15"/>
      <c r="E427" s="8"/>
    </row>
    <row r="428" spans="4:5" ht="15.75" customHeight="1">
      <c r="D428" s="15"/>
      <c r="E428" s="8"/>
    </row>
    <row r="429" spans="4:5" ht="15.75" customHeight="1">
      <c r="D429" s="15"/>
      <c r="E429" s="8"/>
    </row>
    <row r="430" spans="4:5" ht="15.75" customHeight="1">
      <c r="D430" s="15"/>
      <c r="E430" s="8"/>
    </row>
    <row r="431" spans="4:5" ht="15.75" customHeight="1">
      <c r="D431" s="15"/>
      <c r="E431" s="8"/>
    </row>
    <row r="432" spans="4:5" ht="15.75" customHeight="1">
      <c r="D432" s="15"/>
      <c r="E432" s="8"/>
    </row>
    <row r="433" spans="4:5" ht="15.75" customHeight="1">
      <c r="D433" s="15"/>
      <c r="E433" s="8"/>
    </row>
    <row r="434" spans="4:5" ht="15.75" customHeight="1">
      <c r="D434" s="15"/>
      <c r="E434" s="8"/>
    </row>
    <row r="435" spans="4:5" ht="15.75" customHeight="1">
      <c r="D435" s="15"/>
      <c r="E435" s="8"/>
    </row>
    <row r="436" spans="4:5" ht="15.75" customHeight="1">
      <c r="D436" s="15"/>
      <c r="E436" s="8"/>
    </row>
    <row r="437" spans="4:5" ht="15.75" customHeight="1">
      <c r="D437" s="15"/>
      <c r="E437" s="8"/>
    </row>
    <row r="438" spans="4:5" ht="15.75" customHeight="1">
      <c r="D438" s="15"/>
      <c r="E438" s="8"/>
    </row>
    <row r="439" spans="4:5" ht="15.75" customHeight="1">
      <c r="D439" s="15"/>
      <c r="E439" s="8"/>
    </row>
    <row r="440" spans="4:5" ht="15.75" customHeight="1">
      <c r="D440" s="15"/>
      <c r="E440" s="8"/>
    </row>
    <row r="441" spans="4:5" ht="15.75" customHeight="1">
      <c r="D441" s="15"/>
      <c r="E441" s="8"/>
    </row>
    <row r="442" spans="4:5" ht="15.75" customHeight="1">
      <c r="D442" s="15"/>
      <c r="E442" s="8"/>
    </row>
    <row r="443" spans="4:5" ht="15.75" customHeight="1">
      <c r="D443" s="15"/>
      <c r="E443" s="8"/>
    </row>
    <row r="444" spans="4:5" ht="15.75" customHeight="1">
      <c r="D444" s="15"/>
      <c r="E444" s="8"/>
    </row>
    <row r="445" spans="4:5" ht="15.75" customHeight="1">
      <c r="D445" s="15"/>
      <c r="E445" s="8"/>
    </row>
    <row r="446" spans="4:5" ht="15.75" customHeight="1">
      <c r="D446" s="15"/>
      <c r="E446" s="8"/>
    </row>
    <row r="447" spans="4:5" ht="15.75" customHeight="1">
      <c r="D447" s="15"/>
      <c r="E447" s="8"/>
    </row>
    <row r="448" spans="4:5" ht="15.75" customHeight="1">
      <c r="D448" s="15"/>
      <c r="E448" s="8"/>
    </row>
    <row r="449" spans="4:5" ht="15.75" customHeight="1">
      <c r="D449" s="15"/>
      <c r="E449" s="8"/>
    </row>
    <row r="450" spans="4:5" ht="15.75" customHeight="1">
      <c r="D450" s="15"/>
      <c r="E450" s="8"/>
    </row>
    <row r="451" spans="4:5" ht="15.75" customHeight="1">
      <c r="D451" s="15"/>
      <c r="E451" s="8"/>
    </row>
    <row r="452" spans="4:5" ht="15.75" customHeight="1">
      <c r="D452" s="15"/>
      <c r="E452" s="8"/>
    </row>
    <row r="453" spans="4:5" ht="15.75" customHeight="1">
      <c r="D453" s="15"/>
      <c r="E453" s="8"/>
    </row>
    <row r="454" spans="4:5" ht="15.75" customHeight="1">
      <c r="D454" s="15"/>
      <c r="E454" s="8"/>
    </row>
    <row r="455" spans="4:5" ht="15.75" customHeight="1">
      <c r="D455" s="15"/>
      <c r="E455" s="8"/>
    </row>
    <row r="456" spans="4:5" ht="15.75" customHeight="1">
      <c r="D456" s="15"/>
      <c r="E456" s="8"/>
    </row>
    <row r="457" spans="4:5" ht="15.75" customHeight="1">
      <c r="D457" s="15"/>
      <c r="E457" s="8"/>
    </row>
    <row r="458" spans="4:5" ht="15.75" customHeight="1">
      <c r="D458" s="15"/>
      <c r="E458" s="8"/>
    </row>
    <row r="459" spans="4:5" ht="15.75" customHeight="1">
      <c r="D459" s="15"/>
      <c r="E459" s="8"/>
    </row>
    <row r="460" spans="4:5" ht="15.75" customHeight="1">
      <c r="D460" s="15"/>
      <c r="E460" s="8"/>
    </row>
    <row r="461" spans="4:5" ht="15.75" customHeight="1">
      <c r="D461" s="15"/>
      <c r="E461" s="8"/>
    </row>
    <row r="462" spans="4:5" ht="15.75" customHeight="1">
      <c r="D462" s="15"/>
      <c r="E462" s="8"/>
    </row>
    <row r="463" spans="4:5" ht="15.75" customHeight="1">
      <c r="D463" s="15"/>
      <c r="E463" s="8"/>
    </row>
    <row r="464" spans="4:5" ht="15.75" customHeight="1">
      <c r="D464" s="15"/>
      <c r="E464" s="8"/>
    </row>
    <row r="465" spans="4:5" ht="15.75" customHeight="1">
      <c r="D465" s="15"/>
      <c r="E465" s="8"/>
    </row>
    <row r="466" spans="4:5" ht="15.75" customHeight="1">
      <c r="D466" s="15"/>
      <c r="E466" s="8"/>
    </row>
    <row r="467" spans="4:5" ht="15.75" customHeight="1">
      <c r="D467" s="15"/>
      <c r="E467" s="8"/>
    </row>
    <row r="468" spans="4:5" ht="15.75" customHeight="1">
      <c r="D468" s="15"/>
      <c r="E468" s="8"/>
    </row>
    <row r="469" spans="4:5" ht="15.75" customHeight="1">
      <c r="D469" s="15"/>
      <c r="E469" s="8"/>
    </row>
    <row r="470" spans="4:5" ht="15.75" customHeight="1">
      <c r="D470" s="15"/>
      <c r="E470" s="8"/>
    </row>
    <row r="471" spans="4:5" ht="15.75" customHeight="1">
      <c r="D471" s="15"/>
      <c r="E471" s="8"/>
    </row>
    <row r="472" spans="4:5" ht="15.75" customHeight="1">
      <c r="D472" s="15"/>
      <c r="E472" s="8"/>
    </row>
    <row r="473" spans="4:5" ht="15.75" customHeight="1">
      <c r="D473" s="15"/>
      <c r="E473" s="8"/>
    </row>
    <row r="474" spans="4:5" ht="15.75" customHeight="1">
      <c r="D474" s="15"/>
      <c r="E474" s="8"/>
    </row>
    <row r="475" spans="4:5" ht="15.75" customHeight="1">
      <c r="D475" s="15"/>
      <c r="E475" s="8"/>
    </row>
    <row r="476" spans="4:5" ht="15.75" customHeight="1">
      <c r="D476" s="15"/>
      <c r="E476" s="8"/>
    </row>
    <row r="477" spans="4:5" ht="15.75" customHeight="1">
      <c r="D477" s="15"/>
      <c r="E477" s="8"/>
    </row>
    <row r="478" spans="4:5" ht="15.75" customHeight="1">
      <c r="D478" s="15"/>
      <c r="E478" s="8"/>
    </row>
    <row r="479" spans="4:5" ht="15.75" customHeight="1">
      <c r="D479" s="15"/>
      <c r="E479" s="8"/>
    </row>
    <row r="480" spans="4:5" ht="15.75" customHeight="1">
      <c r="D480" s="15"/>
      <c r="E480" s="8"/>
    </row>
    <row r="481" spans="4:5" ht="15.75" customHeight="1">
      <c r="D481" s="15"/>
      <c r="E481" s="8"/>
    </row>
    <row r="482" spans="4:5" ht="15.75" customHeight="1">
      <c r="D482" s="15"/>
      <c r="E482" s="8"/>
    </row>
    <row r="483" spans="4:5" ht="15.75" customHeight="1">
      <c r="D483" s="15"/>
      <c r="E483" s="8"/>
    </row>
    <row r="484" spans="4:5" ht="15.75" customHeight="1">
      <c r="D484" s="15"/>
      <c r="E484" s="8"/>
    </row>
    <row r="485" spans="4:5" ht="15.75" customHeight="1">
      <c r="D485" s="15"/>
      <c r="E485" s="8"/>
    </row>
    <row r="486" spans="4:5" ht="15.75" customHeight="1">
      <c r="D486" s="15"/>
      <c r="E486" s="8"/>
    </row>
    <row r="487" spans="4:5" ht="15.75" customHeight="1">
      <c r="D487" s="15"/>
      <c r="E487" s="8"/>
    </row>
    <row r="488" spans="4:5" ht="15.75" customHeight="1">
      <c r="D488" s="15"/>
      <c r="E488" s="8"/>
    </row>
    <row r="489" spans="4:5" ht="15.75" customHeight="1">
      <c r="D489" s="15"/>
      <c r="E489" s="8"/>
    </row>
    <row r="490" spans="4:5" ht="15.75" customHeight="1">
      <c r="D490" s="15"/>
      <c r="E490" s="8"/>
    </row>
    <row r="491" spans="4:5" ht="15.75" customHeight="1">
      <c r="D491" s="15"/>
      <c r="E491" s="8"/>
    </row>
    <row r="492" spans="4:5" ht="15.75" customHeight="1">
      <c r="D492" s="15"/>
      <c r="E492" s="8"/>
    </row>
    <row r="493" spans="4:5" ht="15.75" customHeight="1">
      <c r="D493" s="15"/>
      <c r="E493" s="8"/>
    </row>
    <row r="494" spans="4:5" ht="15.75" customHeight="1">
      <c r="D494" s="15"/>
      <c r="E494" s="8"/>
    </row>
    <row r="495" spans="4:5" ht="15.75" customHeight="1">
      <c r="D495" s="15"/>
      <c r="E495" s="8"/>
    </row>
    <row r="496" spans="4:5" ht="15.75" customHeight="1">
      <c r="D496" s="15"/>
      <c r="E496" s="8"/>
    </row>
    <row r="497" spans="4:5" ht="15.75" customHeight="1">
      <c r="D497" s="15"/>
      <c r="E497" s="8"/>
    </row>
    <row r="498" spans="4:5" ht="15.75" customHeight="1">
      <c r="D498" s="15"/>
      <c r="E498" s="8"/>
    </row>
    <row r="499" spans="4:5" ht="15.75" customHeight="1">
      <c r="D499" s="15"/>
      <c r="E499" s="8"/>
    </row>
    <row r="500" spans="4:5" ht="15.75" customHeight="1">
      <c r="D500" s="15"/>
      <c r="E500" s="8"/>
    </row>
    <row r="501" spans="4:5" ht="15.75" customHeight="1">
      <c r="D501" s="15"/>
      <c r="E501" s="8"/>
    </row>
    <row r="502" spans="4:5" ht="15.75" customHeight="1">
      <c r="D502" s="15"/>
      <c r="E502" s="8"/>
    </row>
    <row r="503" spans="4:5" ht="15.75" customHeight="1">
      <c r="D503" s="15"/>
      <c r="E503" s="8"/>
    </row>
    <row r="504" spans="4:5" ht="15.75" customHeight="1">
      <c r="D504" s="15"/>
      <c r="E504" s="8"/>
    </row>
    <row r="505" spans="4:5" ht="15.75" customHeight="1">
      <c r="D505" s="15"/>
      <c r="E505" s="8"/>
    </row>
    <row r="506" spans="4:5" ht="15.75" customHeight="1">
      <c r="D506" s="15"/>
      <c r="E506" s="8"/>
    </row>
    <row r="507" spans="4:5" ht="15.75" customHeight="1">
      <c r="D507" s="15"/>
      <c r="E507" s="8"/>
    </row>
    <row r="508" spans="4:5" ht="15.75" customHeight="1">
      <c r="D508" s="15"/>
      <c r="E508" s="8"/>
    </row>
    <row r="509" spans="4:5" ht="15.75" customHeight="1">
      <c r="D509" s="15"/>
      <c r="E509" s="8"/>
    </row>
    <row r="510" spans="4:5" ht="15.75" customHeight="1">
      <c r="D510" s="15"/>
      <c r="E510" s="8"/>
    </row>
    <row r="511" spans="4:5" ht="15.75" customHeight="1">
      <c r="D511" s="15"/>
      <c r="E511" s="8"/>
    </row>
    <row r="512" spans="4:5" ht="15.75" customHeight="1">
      <c r="D512" s="15"/>
      <c r="E512" s="8"/>
    </row>
    <row r="513" spans="4:5" ht="15.75" customHeight="1">
      <c r="D513" s="15"/>
      <c r="E513" s="8"/>
    </row>
    <row r="514" spans="4:5" ht="15.75" customHeight="1">
      <c r="D514" s="15"/>
      <c r="E514" s="8"/>
    </row>
    <row r="515" spans="4:5" ht="15.75" customHeight="1">
      <c r="D515" s="15"/>
      <c r="E515" s="8"/>
    </row>
    <row r="516" spans="4:5" ht="15.75" customHeight="1">
      <c r="D516" s="15"/>
      <c r="E516" s="8"/>
    </row>
    <row r="517" spans="4:5" ht="15.75" customHeight="1">
      <c r="D517" s="15"/>
      <c r="E517" s="8"/>
    </row>
    <row r="518" spans="4:5" ht="15.75" customHeight="1">
      <c r="D518" s="15"/>
      <c r="E518" s="8"/>
    </row>
    <row r="519" spans="4:5" ht="15.75" customHeight="1">
      <c r="D519" s="15"/>
      <c r="E519" s="8"/>
    </row>
    <row r="520" spans="4:5" ht="15.75" customHeight="1">
      <c r="D520" s="15"/>
      <c r="E520" s="8"/>
    </row>
    <row r="521" spans="4:5" ht="15.75" customHeight="1">
      <c r="D521" s="15"/>
      <c r="E521" s="8"/>
    </row>
    <row r="522" spans="4:5" ht="15.75" customHeight="1">
      <c r="D522" s="15"/>
      <c r="E522" s="8"/>
    </row>
    <row r="523" spans="4:5" ht="15.75" customHeight="1">
      <c r="D523" s="15"/>
      <c r="E523" s="8"/>
    </row>
    <row r="524" spans="4:5" ht="15.75" customHeight="1">
      <c r="D524" s="15"/>
      <c r="E524" s="8"/>
    </row>
    <row r="525" spans="4:5" ht="15.75" customHeight="1">
      <c r="D525" s="15"/>
      <c r="E525" s="8"/>
    </row>
    <row r="526" spans="4:5" ht="15.75" customHeight="1">
      <c r="D526" s="15"/>
      <c r="E526" s="8"/>
    </row>
    <row r="527" spans="4:5" ht="15.75" customHeight="1">
      <c r="D527" s="15"/>
      <c r="E527" s="8"/>
    </row>
    <row r="528" spans="4:5" ht="15.75" customHeight="1">
      <c r="D528" s="15"/>
      <c r="E528" s="8"/>
    </row>
    <row r="529" spans="4:5" ht="15.75" customHeight="1">
      <c r="D529" s="15"/>
      <c r="E529" s="8"/>
    </row>
    <row r="530" spans="4:5" ht="15.75" customHeight="1">
      <c r="D530" s="15"/>
      <c r="E530" s="8"/>
    </row>
    <row r="531" spans="4:5" ht="15.75" customHeight="1">
      <c r="D531" s="15"/>
      <c r="E531" s="8"/>
    </row>
    <row r="532" spans="4:5" ht="15.75" customHeight="1">
      <c r="D532" s="15"/>
      <c r="E532" s="8"/>
    </row>
    <row r="533" spans="4:5" ht="15.75" customHeight="1">
      <c r="D533" s="15"/>
      <c r="E533" s="8"/>
    </row>
    <row r="534" spans="4:5" ht="15.75" customHeight="1">
      <c r="D534" s="15"/>
      <c r="E534" s="8"/>
    </row>
    <row r="535" spans="4:5" ht="15.75" customHeight="1">
      <c r="D535" s="15"/>
      <c r="E535" s="8"/>
    </row>
    <row r="536" spans="4:5" ht="15.75" customHeight="1">
      <c r="D536" s="15"/>
      <c r="E536" s="8"/>
    </row>
    <row r="537" spans="4:5" ht="15.75" customHeight="1">
      <c r="D537" s="15"/>
      <c r="E537" s="8"/>
    </row>
    <row r="538" spans="4:5" ht="15.75" customHeight="1">
      <c r="D538" s="15"/>
      <c r="E538" s="8"/>
    </row>
    <row r="539" spans="4:5" ht="15.75" customHeight="1">
      <c r="D539" s="15"/>
      <c r="E539" s="8"/>
    </row>
    <row r="540" spans="4:5" ht="15.75" customHeight="1">
      <c r="D540" s="15"/>
      <c r="E540" s="8"/>
    </row>
    <row r="541" spans="4:5" ht="15.75" customHeight="1">
      <c r="D541" s="15"/>
      <c r="E541" s="8"/>
    </row>
    <row r="542" spans="4:5" ht="15.75" customHeight="1">
      <c r="D542" s="15"/>
      <c r="E542" s="8"/>
    </row>
    <row r="543" spans="4:5" ht="15.75" customHeight="1">
      <c r="D543" s="15"/>
      <c r="E543" s="8"/>
    </row>
    <row r="544" spans="4:5" ht="15.75" customHeight="1">
      <c r="D544" s="15"/>
      <c r="E544" s="8"/>
    </row>
    <row r="545" spans="4:5" ht="15.75" customHeight="1">
      <c r="D545" s="15"/>
      <c r="E545" s="8"/>
    </row>
    <row r="546" spans="4:5" ht="15.75" customHeight="1">
      <c r="D546" s="15"/>
      <c r="E546" s="8"/>
    </row>
    <row r="547" spans="4:5" ht="15.75" customHeight="1">
      <c r="D547" s="15"/>
      <c r="E547" s="8"/>
    </row>
    <row r="548" spans="4:5" ht="15.75" customHeight="1">
      <c r="D548" s="15"/>
      <c r="E548" s="8"/>
    </row>
    <row r="549" spans="4:5" ht="15.75" customHeight="1">
      <c r="D549" s="15"/>
      <c r="E549" s="8"/>
    </row>
    <row r="550" spans="4:5" ht="15.75" customHeight="1">
      <c r="D550" s="15"/>
      <c r="E550" s="8"/>
    </row>
    <row r="551" spans="4:5" ht="15.75" customHeight="1">
      <c r="D551" s="15"/>
      <c r="E551" s="8"/>
    </row>
    <row r="552" spans="4:5" ht="15.75" customHeight="1">
      <c r="D552" s="15"/>
      <c r="E552" s="8"/>
    </row>
    <row r="553" spans="4:5" ht="15.75" customHeight="1">
      <c r="D553" s="15"/>
      <c r="E553" s="8"/>
    </row>
    <row r="554" spans="4:5" ht="15.75" customHeight="1">
      <c r="D554" s="15"/>
      <c r="E554" s="8"/>
    </row>
    <row r="555" spans="4:5" ht="15.75" customHeight="1">
      <c r="D555" s="15"/>
      <c r="E555" s="8"/>
    </row>
    <row r="556" spans="4:5" ht="15.75" customHeight="1">
      <c r="D556" s="15"/>
      <c r="E556" s="8"/>
    </row>
    <row r="557" spans="4:5" ht="15.75" customHeight="1">
      <c r="D557" s="15"/>
      <c r="E557" s="8"/>
    </row>
    <row r="558" spans="4:5" ht="15.75" customHeight="1">
      <c r="D558" s="15"/>
      <c r="E558" s="8"/>
    </row>
    <row r="559" spans="4:5" ht="15.75" customHeight="1">
      <c r="D559" s="15"/>
      <c r="E559" s="8"/>
    </row>
    <row r="560" spans="4:5" ht="15.75" customHeight="1">
      <c r="D560" s="15"/>
      <c r="E560" s="8"/>
    </row>
    <row r="561" spans="4:5" ht="15.75" customHeight="1">
      <c r="D561" s="15"/>
      <c r="E561" s="8"/>
    </row>
    <row r="562" spans="4:5" ht="15.75" customHeight="1">
      <c r="D562" s="15"/>
      <c r="E562" s="8"/>
    </row>
    <row r="563" spans="4:5" ht="15.75" customHeight="1">
      <c r="D563" s="15"/>
      <c r="E563" s="8"/>
    </row>
    <row r="564" spans="4:5" ht="15.75" customHeight="1">
      <c r="D564" s="15"/>
      <c r="E564" s="8"/>
    </row>
    <row r="565" spans="4:5" ht="15.75" customHeight="1">
      <c r="D565" s="15"/>
      <c r="E565" s="8"/>
    </row>
    <row r="566" spans="4:5" ht="15.75" customHeight="1">
      <c r="D566" s="15"/>
      <c r="E566" s="8"/>
    </row>
    <row r="567" spans="4:5" ht="15.75" customHeight="1">
      <c r="D567" s="15"/>
      <c r="E567" s="8"/>
    </row>
    <row r="568" spans="4:5" ht="15.75" customHeight="1">
      <c r="D568" s="15"/>
      <c r="E568" s="8"/>
    </row>
    <row r="569" spans="4:5" ht="15.75" customHeight="1">
      <c r="D569" s="15"/>
      <c r="E569" s="8"/>
    </row>
    <row r="570" spans="4:5" ht="15.75" customHeight="1">
      <c r="D570" s="15"/>
      <c r="E570" s="8"/>
    </row>
    <row r="571" spans="4:5" ht="15.75" customHeight="1">
      <c r="D571" s="15"/>
      <c r="E571" s="8"/>
    </row>
    <row r="572" spans="4:5" ht="15.75" customHeight="1">
      <c r="D572" s="15"/>
      <c r="E572" s="8"/>
    </row>
    <row r="573" spans="4:5" ht="15.75" customHeight="1">
      <c r="D573" s="15"/>
      <c r="E573" s="8"/>
    </row>
    <row r="574" spans="4:5" ht="15.75" customHeight="1">
      <c r="D574" s="15"/>
      <c r="E574" s="8"/>
    </row>
    <row r="575" spans="4:5" ht="15.75" customHeight="1">
      <c r="D575" s="15"/>
      <c r="E575" s="8"/>
    </row>
    <row r="576" spans="4:5" ht="15.75" customHeight="1">
      <c r="D576" s="15"/>
      <c r="E576" s="8"/>
    </row>
    <row r="577" spans="4:5" ht="15.75" customHeight="1">
      <c r="D577" s="15"/>
      <c r="E577" s="8"/>
    </row>
    <row r="578" spans="4:5" ht="15.75" customHeight="1">
      <c r="D578" s="15"/>
      <c r="E578" s="8"/>
    </row>
    <row r="579" spans="4:5" ht="15.75" customHeight="1">
      <c r="D579" s="15"/>
      <c r="E579" s="8"/>
    </row>
    <row r="580" spans="4:5" ht="15.75" customHeight="1">
      <c r="D580" s="15"/>
      <c r="E580" s="8"/>
    </row>
    <row r="581" spans="4:5" ht="15.75" customHeight="1">
      <c r="D581" s="15"/>
      <c r="E581" s="8"/>
    </row>
    <row r="582" spans="4:5" ht="15.75" customHeight="1">
      <c r="D582" s="15"/>
      <c r="E582" s="8"/>
    </row>
    <row r="583" spans="4:5" ht="15.75" customHeight="1">
      <c r="D583" s="15"/>
      <c r="E583" s="8"/>
    </row>
    <row r="584" spans="4:5" ht="15.75" customHeight="1">
      <c r="D584" s="15"/>
      <c r="E584" s="8"/>
    </row>
    <row r="585" spans="4:5" ht="15.75" customHeight="1">
      <c r="D585" s="15"/>
      <c r="E585" s="8"/>
    </row>
    <row r="586" spans="4:5" ht="15.75" customHeight="1">
      <c r="D586" s="15"/>
      <c r="E586" s="8"/>
    </row>
    <row r="587" spans="4:5" ht="15.75" customHeight="1">
      <c r="D587" s="15"/>
      <c r="E587" s="8"/>
    </row>
    <row r="588" spans="4:5" ht="15.75" customHeight="1">
      <c r="D588" s="15"/>
      <c r="E588" s="8"/>
    </row>
    <row r="589" spans="4:5" ht="15.75" customHeight="1">
      <c r="D589" s="15"/>
      <c r="E589" s="8"/>
    </row>
    <row r="590" spans="4:5" ht="15.75" customHeight="1">
      <c r="D590" s="15"/>
      <c r="E590" s="8"/>
    </row>
    <row r="591" spans="4:5" ht="15.75" customHeight="1">
      <c r="D591" s="15"/>
      <c r="E591" s="8"/>
    </row>
    <row r="592" spans="4:5" ht="15.75" customHeight="1">
      <c r="D592" s="15"/>
      <c r="E592" s="8"/>
    </row>
    <row r="593" spans="4:5" ht="15.75" customHeight="1">
      <c r="D593" s="15"/>
      <c r="E593" s="8"/>
    </row>
    <row r="594" spans="4:5" ht="15.75" customHeight="1">
      <c r="D594" s="15"/>
      <c r="E594" s="8"/>
    </row>
    <row r="595" spans="4:5" ht="15.75" customHeight="1">
      <c r="D595" s="15"/>
      <c r="E595" s="8"/>
    </row>
    <row r="596" spans="4:5" ht="15.75" customHeight="1">
      <c r="D596" s="15"/>
      <c r="E596" s="8"/>
    </row>
    <row r="597" spans="4:5" ht="15.75" customHeight="1">
      <c r="D597" s="15"/>
      <c r="E597" s="8"/>
    </row>
    <row r="598" spans="4:5" ht="15.75" customHeight="1">
      <c r="D598" s="15"/>
      <c r="E598" s="8"/>
    </row>
    <row r="599" spans="4:5" ht="15.75" customHeight="1">
      <c r="D599" s="15"/>
      <c r="E599" s="8"/>
    </row>
    <row r="600" spans="4:5" ht="15.75" customHeight="1">
      <c r="D600" s="15"/>
      <c r="E600" s="8"/>
    </row>
    <row r="601" spans="4:5" ht="15.75" customHeight="1">
      <c r="D601" s="15"/>
      <c r="E601" s="8"/>
    </row>
    <row r="602" spans="4:5" ht="15.75" customHeight="1">
      <c r="D602" s="15"/>
      <c r="E602" s="8"/>
    </row>
    <row r="603" spans="4:5" ht="15.75" customHeight="1">
      <c r="D603" s="15"/>
      <c r="E603" s="8"/>
    </row>
    <row r="604" spans="4:5" ht="15.75" customHeight="1">
      <c r="D604" s="15"/>
      <c r="E604" s="8"/>
    </row>
    <row r="605" spans="4:5" ht="15.75" customHeight="1">
      <c r="D605" s="15"/>
      <c r="E605" s="8"/>
    </row>
    <row r="606" spans="4:5" ht="15.75" customHeight="1">
      <c r="D606" s="15"/>
      <c r="E606" s="8"/>
    </row>
    <row r="607" spans="4:5" ht="15.75" customHeight="1">
      <c r="D607" s="15"/>
      <c r="E607" s="8"/>
    </row>
    <row r="608" spans="4:5" ht="15.75" customHeight="1">
      <c r="D608" s="15"/>
      <c r="E608" s="8"/>
    </row>
    <row r="609" spans="4:5" ht="15.75" customHeight="1">
      <c r="D609" s="15"/>
      <c r="E609" s="8"/>
    </row>
    <row r="610" spans="4:5" ht="15.75" customHeight="1">
      <c r="D610" s="15"/>
      <c r="E610" s="8"/>
    </row>
    <row r="611" spans="4:5" ht="15.75" customHeight="1">
      <c r="D611" s="15"/>
      <c r="E611" s="8"/>
    </row>
    <row r="612" spans="4:5" ht="15.75" customHeight="1">
      <c r="D612" s="15"/>
      <c r="E612" s="8"/>
    </row>
    <row r="613" spans="4:5" ht="15.75" customHeight="1">
      <c r="D613" s="15"/>
      <c r="E613" s="8"/>
    </row>
    <row r="614" spans="4:5" ht="15.75" customHeight="1">
      <c r="D614" s="15"/>
      <c r="E614" s="8"/>
    </row>
    <row r="615" spans="4:5" ht="15.75" customHeight="1">
      <c r="D615" s="15"/>
      <c r="E615" s="8"/>
    </row>
    <row r="616" spans="4:5" ht="15.75" customHeight="1">
      <c r="D616" s="15"/>
      <c r="E616" s="8"/>
    </row>
    <row r="617" spans="4:5" ht="15.75" customHeight="1">
      <c r="D617" s="15"/>
      <c r="E617" s="8"/>
    </row>
    <row r="618" spans="4:5" ht="15.75" customHeight="1">
      <c r="D618" s="15"/>
      <c r="E618" s="8"/>
    </row>
    <row r="619" spans="4:5" ht="15.75" customHeight="1">
      <c r="D619" s="15"/>
      <c r="E619" s="8"/>
    </row>
    <row r="620" spans="4:5" ht="15.75" customHeight="1">
      <c r="D620" s="15"/>
      <c r="E620" s="8"/>
    </row>
    <row r="621" spans="4:5" ht="15.75" customHeight="1">
      <c r="D621" s="15"/>
      <c r="E621" s="8"/>
    </row>
    <row r="622" spans="4:5" ht="15.75" customHeight="1">
      <c r="D622" s="15"/>
      <c r="E622" s="8"/>
    </row>
    <row r="623" spans="4:5" ht="15.75" customHeight="1">
      <c r="D623" s="15"/>
      <c r="E623" s="8"/>
    </row>
    <row r="624" spans="4:5" ht="15.75" customHeight="1">
      <c r="D624" s="15"/>
      <c r="E624" s="8"/>
    </row>
    <row r="625" spans="4:5" ht="15.75" customHeight="1">
      <c r="D625" s="15"/>
      <c r="E625" s="8"/>
    </row>
    <row r="626" spans="4:5" ht="15.75" customHeight="1">
      <c r="D626" s="15"/>
      <c r="E626" s="8"/>
    </row>
    <row r="627" spans="4:5" ht="15.75" customHeight="1">
      <c r="D627" s="15"/>
      <c r="E627" s="8"/>
    </row>
    <row r="628" spans="4:5" ht="15.75" customHeight="1">
      <c r="D628" s="15"/>
      <c r="E628" s="8"/>
    </row>
    <row r="629" spans="4:5" ht="15.75" customHeight="1">
      <c r="D629" s="15"/>
      <c r="E629" s="8"/>
    </row>
    <row r="630" spans="4:5" ht="15.75" customHeight="1">
      <c r="D630" s="15"/>
      <c r="E630" s="8"/>
    </row>
    <row r="631" spans="4:5" ht="15.75" customHeight="1">
      <c r="D631" s="15"/>
      <c r="E631" s="8"/>
    </row>
    <row r="632" spans="4:5" ht="15.75" customHeight="1">
      <c r="D632" s="15"/>
      <c r="E632" s="8"/>
    </row>
    <row r="633" spans="4:5" ht="15.75" customHeight="1">
      <c r="D633" s="15"/>
      <c r="E633" s="8"/>
    </row>
    <row r="634" spans="4:5" ht="15.75" customHeight="1">
      <c r="D634" s="15"/>
      <c r="E634" s="8"/>
    </row>
    <row r="635" spans="4:5" ht="15.75" customHeight="1">
      <c r="D635" s="15"/>
      <c r="E635" s="8"/>
    </row>
    <row r="636" spans="4:5" ht="15.75" customHeight="1">
      <c r="D636" s="15"/>
      <c r="E636" s="8"/>
    </row>
    <row r="637" spans="4:5" ht="15.75" customHeight="1">
      <c r="D637" s="15"/>
      <c r="E637" s="8"/>
    </row>
    <row r="638" spans="4:5" ht="15.75" customHeight="1">
      <c r="D638" s="15"/>
      <c r="E638" s="8"/>
    </row>
    <row r="639" spans="4:5" ht="15.75" customHeight="1">
      <c r="D639" s="15"/>
      <c r="E639" s="8"/>
    </row>
    <row r="640" spans="4:5" ht="15.75" customHeight="1">
      <c r="D640" s="15"/>
      <c r="E640" s="8"/>
    </row>
    <row r="641" spans="4:5" ht="15.75" customHeight="1">
      <c r="D641" s="15"/>
      <c r="E641" s="8"/>
    </row>
    <row r="642" spans="4:5" ht="15.75" customHeight="1">
      <c r="D642" s="15"/>
      <c r="E642" s="8"/>
    </row>
    <row r="643" spans="4:5" ht="15.75" customHeight="1">
      <c r="D643" s="15"/>
      <c r="E643" s="8"/>
    </row>
    <row r="644" spans="4:5" ht="15.75" customHeight="1">
      <c r="D644" s="15"/>
      <c r="E644" s="8"/>
    </row>
    <row r="645" spans="4:5" ht="15.75" customHeight="1">
      <c r="D645" s="15"/>
      <c r="E645" s="8"/>
    </row>
    <row r="646" spans="4:5" ht="15.75" customHeight="1">
      <c r="D646" s="15"/>
      <c r="E646" s="8"/>
    </row>
    <row r="647" spans="4:5" ht="15.75" customHeight="1">
      <c r="D647" s="15"/>
      <c r="E647" s="8"/>
    </row>
    <row r="648" spans="4:5" ht="15.75" customHeight="1">
      <c r="D648" s="15"/>
      <c r="E648" s="8"/>
    </row>
    <row r="649" spans="4:5" ht="15.75" customHeight="1">
      <c r="D649" s="15"/>
      <c r="E649" s="8"/>
    </row>
    <row r="650" spans="4:5" ht="15.75" customHeight="1">
      <c r="D650" s="15"/>
      <c r="E650" s="8"/>
    </row>
    <row r="651" spans="4:5" ht="15.75" customHeight="1">
      <c r="D651" s="15"/>
      <c r="E651" s="8"/>
    </row>
    <row r="652" spans="4:5" ht="15.75" customHeight="1">
      <c r="D652" s="15"/>
      <c r="E652" s="8"/>
    </row>
    <row r="653" spans="4:5" ht="15.75" customHeight="1">
      <c r="D653" s="15"/>
      <c r="E653" s="8"/>
    </row>
    <row r="654" spans="4:5" ht="15.75" customHeight="1">
      <c r="D654" s="15"/>
      <c r="E654" s="8"/>
    </row>
    <row r="655" spans="4:5" ht="15.75" customHeight="1">
      <c r="D655" s="15"/>
      <c r="E655" s="8"/>
    </row>
    <row r="656" spans="4:5" ht="15.75" customHeight="1">
      <c r="D656" s="15"/>
      <c r="E656" s="8"/>
    </row>
    <row r="657" spans="4:5" ht="15.75" customHeight="1">
      <c r="D657" s="15"/>
      <c r="E657" s="8"/>
    </row>
    <row r="658" spans="4:5" ht="15.75" customHeight="1">
      <c r="D658" s="15"/>
      <c r="E658" s="8"/>
    </row>
    <row r="659" spans="4:5" ht="15.75" customHeight="1">
      <c r="D659" s="15"/>
      <c r="E659" s="8"/>
    </row>
    <row r="660" spans="4:5" ht="15.75" customHeight="1">
      <c r="D660" s="15"/>
      <c r="E660" s="8"/>
    </row>
    <row r="661" spans="4:5" ht="15.75" customHeight="1">
      <c r="D661" s="15"/>
      <c r="E661" s="8"/>
    </row>
    <row r="662" spans="4:5" ht="15.75" customHeight="1">
      <c r="D662" s="15"/>
      <c r="E662" s="8"/>
    </row>
    <row r="663" spans="4:5" ht="15.75" customHeight="1">
      <c r="D663" s="15"/>
      <c r="E663" s="8"/>
    </row>
    <row r="664" spans="4:5" ht="15.75" customHeight="1">
      <c r="D664" s="15"/>
      <c r="E664" s="8"/>
    </row>
    <row r="665" spans="4:5" ht="15.75" customHeight="1">
      <c r="D665" s="15"/>
      <c r="E665" s="8"/>
    </row>
    <row r="666" spans="4:5" ht="15.75" customHeight="1">
      <c r="D666" s="15"/>
      <c r="E666" s="8"/>
    </row>
    <row r="667" spans="4:5" ht="15.75" customHeight="1">
      <c r="D667" s="15"/>
      <c r="E667" s="8"/>
    </row>
    <row r="668" spans="4:5" ht="15.75" customHeight="1">
      <c r="D668" s="15"/>
      <c r="E668" s="8"/>
    </row>
    <row r="669" spans="4:5" ht="15.75" customHeight="1">
      <c r="D669" s="15"/>
      <c r="E669" s="8"/>
    </row>
    <row r="670" spans="4:5" ht="15.75" customHeight="1">
      <c r="D670" s="15"/>
      <c r="E670" s="8"/>
    </row>
    <row r="671" spans="4:5" ht="15.75" customHeight="1">
      <c r="D671" s="15"/>
      <c r="E671" s="8"/>
    </row>
    <row r="672" spans="4:5" ht="15.75" customHeight="1">
      <c r="D672" s="15"/>
      <c r="E672" s="8"/>
    </row>
    <row r="673" spans="4:5" ht="15.75" customHeight="1">
      <c r="D673" s="15"/>
      <c r="E673" s="8"/>
    </row>
    <row r="674" spans="4:5" ht="15.75" customHeight="1">
      <c r="D674" s="15"/>
      <c r="E674" s="8"/>
    </row>
    <row r="675" spans="4:5" ht="15.75" customHeight="1">
      <c r="D675" s="15"/>
      <c r="E675" s="8"/>
    </row>
    <row r="676" spans="4:5" ht="15.75" customHeight="1">
      <c r="D676" s="15"/>
      <c r="E676" s="8"/>
    </row>
    <row r="677" spans="4:5" ht="15.75" customHeight="1">
      <c r="D677" s="15"/>
      <c r="E677" s="8"/>
    </row>
    <row r="678" spans="4:5" ht="15.75" customHeight="1">
      <c r="D678" s="15"/>
      <c r="E678" s="8"/>
    </row>
    <row r="679" spans="4:5" ht="15.75" customHeight="1">
      <c r="D679" s="15"/>
      <c r="E679" s="8"/>
    </row>
    <row r="680" spans="4:5" ht="15.75" customHeight="1">
      <c r="D680" s="15"/>
      <c r="E680" s="8"/>
    </row>
    <row r="681" spans="4:5" ht="15.75" customHeight="1">
      <c r="D681" s="15"/>
      <c r="E681" s="8"/>
    </row>
    <row r="682" spans="4:5" ht="15.75" customHeight="1">
      <c r="D682" s="15"/>
      <c r="E682" s="8"/>
    </row>
    <row r="683" spans="4:5" ht="15.75" customHeight="1">
      <c r="D683" s="15"/>
      <c r="E683" s="8"/>
    </row>
    <row r="684" spans="4:5" ht="15.75" customHeight="1">
      <c r="D684" s="15"/>
      <c r="E684" s="8"/>
    </row>
    <row r="685" spans="4:5" ht="15.75" customHeight="1">
      <c r="D685" s="15"/>
      <c r="E685" s="8"/>
    </row>
    <row r="686" spans="4:5" ht="15.75" customHeight="1">
      <c r="D686" s="15"/>
      <c r="E686" s="8"/>
    </row>
    <row r="687" spans="4:5" ht="15.75" customHeight="1">
      <c r="D687" s="15"/>
      <c r="E687" s="8"/>
    </row>
    <row r="688" spans="4:5" ht="15.75" customHeight="1">
      <c r="D688" s="15"/>
      <c r="E688" s="8"/>
    </row>
    <row r="689" spans="4:5" ht="15.75" customHeight="1">
      <c r="D689" s="15"/>
      <c r="E689" s="8"/>
    </row>
    <row r="690" spans="4:5" ht="15.75" customHeight="1">
      <c r="D690" s="15"/>
      <c r="E690" s="8"/>
    </row>
    <row r="691" spans="4:5" ht="15.75" customHeight="1">
      <c r="D691" s="15"/>
      <c r="E691" s="8"/>
    </row>
    <row r="692" spans="4:5" ht="15.75" customHeight="1">
      <c r="D692" s="15"/>
      <c r="E692" s="8"/>
    </row>
    <row r="693" spans="4:5" ht="15.75" customHeight="1">
      <c r="D693" s="15"/>
      <c r="E693" s="8"/>
    </row>
    <row r="694" spans="4:5" ht="15.75" customHeight="1">
      <c r="D694" s="15"/>
      <c r="E694" s="8"/>
    </row>
    <row r="695" spans="4:5" ht="15.75" customHeight="1">
      <c r="D695" s="15"/>
      <c r="E695" s="8"/>
    </row>
    <row r="696" spans="4:5" ht="15.75" customHeight="1">
      <c r="D696" s="15"/>
      <c r="E696" s="8"/>
    </row>
    <row r="697" spans="4:5" ht="15.75" customHeight="1">
      <c r="D697" s="15"/>
      <c r="E697" s="8"/>
    </row>
    <row r="698" spans="4:5" ht="15.75" customHeight="1">
      <c r="D698" s="15"/>
      <c r="E698" s="8"/>
    </row>
    <row r="699" spans="4:5" ht="15.75" customHeight="1">
      <c r="D699" s="15"/>
      <c r="E699" s="8"/>
    </row>
    <row r="700" spans="4:5" ht="15.75" customHeight="1">
      <c r="D700" s="15"/>
      <c r="E700" s="8"/>
    </row>
    <row r="701" spans="4:5" ht="15.75" customHeight="1">
      <c r="D701" s="15"/>
      <c r="E701" s="8"/>
    </row>
    <row r="702" spans="4:5" ht="15.75" customHeight="1">
      <c r="D702" s="15"/>
      <c r="E702" s="8"/>
    </row>
    <row r="703" spans="4:5" ht="15.75" customHeight="1">
      <c r="D703" s="15"/>
      <c r="E703" s="8"/>
    </row>
    <row r="704" spans="4:5" ht="15.75" customHeight="1">
      <c r="D704" s="15"/>
      <c r="E704" s="8"/>
    </row>
    <row r="705" spans="4:5" ht="15.75" customHeight="1">
      <c r="D705" s="15"/>
      <c r="E705" s="8"/>
    </row>
    <row r="706" spans="4:5" ht="15.75" customHeight="1">
      <c r="D706" s="15"/>
      <c r="E706" s="8"/>
    </row>
    <row r="707" spans="4:5" ht="15.75" customHeight="1">
      <c r="D707" s="15"/>
      <c r="E707" s="8"/>
    </row>
    <row r="708" spans="4:5" ht="15.75" customHeight="1">
      <c r="D708" s="15"/>
      <c r="E708" s="8"/>
    </row>
    <row r="709" spans="4:5" ht="15.75" customHeight="1">
      <c r="D709" s="15"/>
      <c r="E709" s="8"/>
    </row>
    <row r="710" spans="4:5" ht="15.75" customHeight="1">
      <c r="D710" s="15"/>
      <c r="E710" s="8"/>
    </row>
    <row r="711" spans="4:5" ht="15.75" customHeight="1">
      <c r="D711" s="15"/>
      <c r="E711" s="8"/>
    </row>
    <row r="712" spans="4:5" ht="15.75" customHeight="1">
      <c r="D712" s="15"/>
      <c r="E712" s="8"/>
    </row>
    <row r="713" spans="4:5" ht="15.75" customHeight="1">
      <c r="D713" s="15"/>
      <c r="E713" s="8"/>
    </row>
    <row r="714" spans="4:5" ht="15.75" customHeight="1">
      <c r="D714" s="15"/>
      <c r="E714" s="8"/>
    </row>
    <row r="715" spans="4:5" ht="15.75" customHeight="1">
      <c r="D715" s="15"/>
      <c r="E715" s="8"/>
    </row>
    <row r="716" spans="4:5" ht="15.75" customHeight="1">
      <c r="D716" s="15"/>
      <c r="E716" s="8"/>
    </row>
    <row r="717" spans="4:5" ht="15.75" customHeight="1">
      <c r="D717" s="15"/>
      <c r="E717" s="8"/>
    </row>
    <row r="718" spans="4:5" ht="15.75" customHeight="1">
      <c r="D718" s="15"/>
      <c r="E718" s="8"/>
    </row>
    <row r="719" spans="4:5" ht="15.75" customHeight="1">
      <c r="D719" s="15"/>
      <c r="E719" s="8"/>
    </row>
    <row r="720" spans="4:5" ht="15.75" customHeight="1">
      <c r="D720" s="15"/>
      <c r="E720" s="8"/>
    </row>
    <row r="721" spans="4:5" ht="15.75" customHeight="1">
      <c r="D721" s="15"/>
      <c r="E721" s="8"/>
    </row>
    <row r="722" spans="4:5" ht="15.75" customHeight="1">
      <c r="D722" s="15"/>
      <c r="E722" s="8"/>
    </row>
    <row r="723" spans="4:5" ht="15.75" customHeight="1">
      <c r="D723" s="15"/>
      <c r="E723" s="8"/>
    </row>
    <row r="724" spans="4:5" ht="15.75" customHeight="1">
      <c r="D724" s="15"/>
      <c r="E724" s="8"/>
    </row>
    <row r="725" spans="4:5" ht="15.75" customHeight="1">
      <c r="D725" s="15"/>
      <c r="E725" s="8"/>
    </row>
    <row r="726" spans="4:5" ht="15.75" customHeight="1">
      <c r="D726" s="15"/>
      <c r="E726" s="8"/>
    </row>
    <row r="727" spans="4:5" ht="15.75" customHeight="1">
      <c r="D727" s="15"/>
      <c r="E727" s="8"/>
    </row>
    <row r="728" spans="4:5" ht="15.75" customHeight="1">
      <c r="D728" s="15"/>
      <c r="E728" s="8"/>
    </row>
    <row r="729" spans="4:5" ht="15.75" customHeight="1">
      <c r="D729" s="15"/>
      <c r="E729" s="8"/>
    </row>
    <row r="730" spans="4:5" ht="15.75" customHeight="1">
      <c r="D730" s="15"/>
      <c r="E730" s="8"/>
    </row>
    <row r="731" spans="4:5" ht="15.75" customHeight="1">
      <c r="D731" s="15"/>
      <c r="E731" s="8"/>
    </row>
    <row r="732" spans="4:5" ht="15.75" customHeight="1">
      <c r="D732" s="15"/>
      <c r="E732" s="8"/>
    </row>
    <row r="733" spans="4:5" ht="15.75" customHeight="1">
      <c r="D733" s="15"/>
      <c r="E733" s="8"/>
    </row>
    <row r="734" spans="4:5" ht="15.75" customHeight="1">
      <c r="D734" s="15"/>
      <c r="E734" s="8"/>
    </row>
    <row r="735" spans="4:5" ht="15.75" customHeight="1">
      <c r="D735" s="15"/>
      <c r="E735" s="8"/>
    </row>
    <row r="736" spans="4:5" ht="15.75" customHeight="1">
      <c r="D736" s="15"/>
      <c r="E736" s="8"/>
    </row>
    <row r="737" spans="4:5" ht="15.75" customHeight="1">
      <c r="D737" s="15"/>
      <c r="E737" s="8"/>
    </row>
    <row r="738" spans="4:5" ht="15.75" customHeight="1">
      <c r="D738" s="15"/>
      <c r="E738" s="8"/>
    </row>
    <row r="739" spans="4:5" ht="15.75" customHeight="1">
      <c r="D739" s="15"/>
      <c r="E739" s="8"/>
    </row>
    <row r="740" spans="4:5" ht="15.75" customHeight="1">
      <c r="D740" s="15"/>
      <c r="E740" s="8"/>
    </row>
    <row r="741" spans="4:5" ht="15.75" customHeight="1">
      <c r="D741" s="15"/>
      <c r="E741" s="8"/>
    </row>
    <row r="742" spans="4:5" ht="15.75" customHeight="1">
      <c r="D742" s="15"/>
      <c r="E742" s="8"/>
    </row>
    <row r="743" spans="4:5" ht="15.75" customHeight="1">
      <c r="D743" s="15"/>
      <c r="E743" s="8"/>
    </row>
    <row r="744" spans="4:5" ht="15.75" customHeight="1">
      <c r="D744" s="15"/>
      <c r="E744" s="8"/>
    </row>
    <row r="745" spans="4:5" ht="15.75" customHeight="1">
      <c r="D745" s="15"/>
      <c r="E745" s="8"/>
    </row>
    <row r="746" spans="4:5" ht="15.75" customHeight="1">
      <c r="D746" s="15"/>
      <c r="E746" s="8"/>
    </row>
    <row r="747" spans="4:5" ht="15.75" customHeight="1">
      <c r="D747" s="15"/>
      <c r="E747" s="8"/>
    </row>
    <row r="748" spans="4:5" ht="15.75" customHeight="1">
      <c r="D748" s="15"/>
      <c r="E748" s="8"/>
    </row>
    <row r="749" spans="4:5" ht="15.75" customHeight="1">
      <c r="D749" s="15"/>
      <c r="E749" s="8"/>
    </row>
    <row r="750" spans="4:5" ht="15.75" customHeight="1">
      <c r="D750" s="15"/>
      <c r="E750" s="8"/>
    </row>
    <row r="751" spans="4:5" ht="15.75" customHeight="1">
      <c r="D751" s="15"/>
      <c r="E751" s="8"/>
    </row>
    <row r="752" spans="4:5" ht="15.75" customHeight="1">
      <c r="D752" s="15"/>
      <c r="E752" s="8"/>
    </row>
    <row r="753" spans="4:5" ht="15.75" customHeight="1">
      <c r="D753" s="15"/>
      <c r="E753" s="8"/>
    </row>
    <row r="754" spans="4:5" ht="15.75" customHeight="1">
      <c r="D754" s="15"/>
      <c r="E754" s="8"/>
    </row>
    <row r="755" spans="4:5" ht="15.75" customHeight="1">
      <c r="D755" s="15"/>
      <c r="E755" s="8"/>
    </row>
    <row r="756" spans="4:5" ht="15.75" customHeight="1">
      <c r="D756" s="15"/>
      <c r="E756" s="8"/>
    </row>
    <row r="757" spans="4:5" ht="15.75" customHeight="1">
      <c r="D757" s="15"/>
      <c r="E757" s="8"/>
    </row>
    <row r="758" spans="4:5" ht="15.75" customHeight="1">
      <c r="D758" s="15"/>
      <c r="E758" s="8"/>
    </row>
    <row r="759" spans="4:5" ht="15.75" customHeight="1">
      <c r="D759" s="15"/>
      <c r="E759" s="8"/>
    </row>
    <row r="760" spans="4:5" ht="15.75" customHeight="1">
      <c r="D760" s="15"/>
      <c r="E760" s="8"/>
    </row>
    <row r="761" spans="4:5" ht="15.75" customHeight="1">
      <c r="D761" s="15"/>
      <c r="E761" s="8"/>
    </row>
    <row r="762" spans="4:5" ht="15.75" customHeight="1">
      <c r="D762" s="15"/>
      <c r="E762" s="8"/>
    </row>
    <row r="763" spans="4:5" ht="15.75" customHeight="1">
      <c r="D763" s="15"/>
      <c r="E763" s="8"/>
    </row>
    <row r="764" spans="4:5" ht="15.75" customHeight="1">
      <c r="D764" s="15"/>
      <c r="E764" s="8"/>
    </row>
    <row r="765" spans="4:5" ht="15.75" customHeight="1">
      <c r="D765" s="15"/>
      <c r="E765" s="8"/>
    </row>
    <row r="766" spans="4:5" ht="15.75" customHeight="1">
      <c r="D766" s="15"/>
      <c r="E766" s="8"/>
    </row>
    <row r="767" spans="4:5" ht="15.75" customHeight="1">
      <c r="D767" s="15"/>
      <c r="E767" s="8"/>
    </row>
    <row r="768" spans="4:5" ht="15.75" customHeight="1">
      <c r="D768" s="15"/>
      <c r="E768" s="8"/>
    </row>
    <row r="769" spans="4:5" ht="15.75" customHeight="1">
      <c r="D769" s="15"/>
      <c r="E769" s="8"/>
    </row>
    <row r="770" spans="4:5" ht="15.75" customHeight="1">
      <c r="D770" s="15"/>
      <c r="E770" s="8"/>
    </row>
    <row r="771" spans="4:5" ht="15.75" customHeight="1">
      <c r="D771" s="15"/>
      <c r="E771" s="8"/>
    </row>
    <row r="772" spans="4:5" ht="15.75" customHeight="1">
      <c r="D772" s="15"/>
      <c r="E772" s="8"/>
    </row>
    <row r="773" spans="4:5" ht="15.75" customHeight="1">
      <c r="D773" s="15"/>
      <c r="E773" s="8"/>
    </row>
    <row r="774" spans="4:5" ht="15.75" customHeight="1">
      <c r="D774" s="15"/>
      <c r="E774" s="8"/>
    </row>
    <row r="775" spans="4:5" ht="15.75" customHeight="1">
      <c r="D775" s="15"/>
      <c r="E775" s="8"/>
    </row>
    <row r="776" spans="4:5" ht="15.75" customHeight="1">
      <c r="D776" s="15"/>
      <c r="E776" s="8"/>
    </row>
    <row r="777" spans="4:5" ht="15.75" customHeight="1">
      <c r="D777" s="15"/>
      <c r="E777" s="8"/>
    </row>
    <row r="778" spans="4:5" ht="15.75" customHeight="1">
      <c r="D778" s="15"/>
      <c r="E778" s="8"/>
    </row>
    <row r="779" spans="4:5" ht="15.75" customHeight="1">
      <c r="D779" s="15"/>
      <c r="E779" s="8"/>
    </row>
    <row r="780" spans="4:5" ht="15.75" customHeight="1">
      <c r="D780" s="15"/>
      <c r="E780" s="8"/>
    </row>
    <row r="781" spans="4:5" ht="15.75" customHeight="1">
      <c r="D781" s="15"/>
      <c r="E781" s="8"/>
    </row>
    <row r="782" spans="4:5" ht="15.75" customHeight="1">
      <c r="D782" s="15"/>
      <c r="E782" s="8"/>
    </row>
    <row r="783" spans="4:5" ht="15.75" customHeight="1">
      <c r="D783" s="15"/>
      <c r="E783" s="8"/>
    </row>
    <row r="784" spans="4:5" ht="15.75" customHeight="1">
      <c r="D784" s="15"/>
      <c r="E784" s="8"/>
    </row>
    <row r="785" spans="4:5" ht="15.75" customHeight="1">
      <c r="D785" s="15"/>
      <c r="E785" s="8"/>
    </row>
    <row r="786" spans="4:5" ht="15.75" customHeight="1">
      <c r="D786" s="15"/>
      <c r="E786" s="8"/>
    </row>
    <row r="787" spans="4:5" ht="15.75" customHeight="1">
      <c r="D787" s="15"/>
      <c r="E787" s="8"/>
    </row>
    <row r="788" spans="4:5" ht="15.75" customHeight="1">
      <c r="D788" s="15"/>
      <c r="E788" s="8"/>
    </row>
    <row r="789" spans="4:5" ht="15.75" customHeight="1">
      <c r="D789" s="15"/>
      <c r="E789" s="8"/>
    </row>
    <row r="790" spans="4:5" ht="15.75" customHeight="1">
      <c r="D790" s="15"/>
      <c r="E790" s="8"/>
    </row>
    <row r="791" spans="4:5" ht="15.75" customHeight="1">
      <c r="D791" s="15"/>
      <c r="E791" s="8"/>
    </row>
    <row r="792" spans="4:5" ht="15.75" customHeight="1">
      <c r="D792" s="15"/>
      <c r="E792" s="8"/>
    </row>
    <row r="793" spans="4:5" ht="15.75" customHeight="1">
      <c r="D793" s="15"/>
      <c r="E793" s="8"/>
    </row>
    <row r="794" spans="4:5" ht="15.75" customHeight="1">
      <c r="D794" s="15"/>
      <c r="E794" s="8"/>
    </row>
    <row r="795" spans="4:5" ht="15.75" customHeight="1">
      <c r="D795" s="15"/>
      <c r="E795" s="8"/>
    </row>
    <row r="796" spans="4:5" ht="15.75" customHeight="1">
      <c r="D796" s="15"/>
      <c r="E796" s="8"/>
    </row>
    <row r="797" spans="4:5" ht="15.75" customHeight="1">
      <c r="D797" s="15"/>
      <c r="E797" s="8"/>
    </row>
    <row r="798" spans="4:5" ht="15.75" customHeight="1">
      <c r="D798" s="15"/>
      <c r="E798" s="8"/>
    </row>
    <row r="799" spans="4:5" ht="15.75" customHeight="1">
      <c r="D799" s="15"/>
      <c r="E799" s="8"/>
    </row>
    <row r="800" spans="4:5" ht="15.75" customHeight="1">
      <c r="D800" s="15"/>
      <c r="E800" s="8"/>
    </row>
    <row r="801" spans="4:5" ht="15.75" customHeight="1">
      <c r="D801" s="15"/>
      <c r="E801" s="8"/>
    </row>
    <row r="802" spans="4:5" ht="15.75" customHeight="1">
      <c r="D802" s="15"/>
      <c r="E802" s="8"/>
    </row>
    <row r="803" spans="4:5" ht="15.75" customHeight="1">
      <c r="D803" s="15"/>
      <c r="E803" s="8"/>
    </row>
    <row r="804" spans="4:5" ht="15.75" customHeight="1">
      <c r="D804" s="15"/>
      <c r="E804" s="8"/>
    </row>
    <row r="805" spans="4:5" ht="15.75" customHeight="1">
      <c r="D805" s="15"/>
      <c r="E805" s="8"/>
    </row>
    <row r="806" spans="4:5" ht="15.75" customHeight="1">
      <c r="D806" s="15"/>
      <c r="E806" s="8"/>
    </row>
    <row r="807" spans="4:5" ht="15.75" customHeight="1">
      <c r="D807" s="15"/>
      <c r="E807" s="8"/>
    </row>
    <row r="808" spans="4:5" ht="15.75" customHeight="1">
      <c r="D808" s="15"/>
      <c r="E808" s="8"/>
    </row>
    <row r="809" spans="4:5" ht="15.75" customHeight="1">
      <c r="D809" s="15"/>
      <c r="E809" s="8"/>
    </row>
    <row r="810" spans="4:5" ht="15.75" customHeight="1">
      <c r="D810" s="15"/>
      <c r="E810" s="8"/>
    </row>
    <row r="811" spans="4:5" ht="15.75" customHeight="1">
      <c r="D811" s="15"/>
      <c r="E811" s="8"/>
    </row>
    <row r="812" spans="4:5" ht="15.75" customHeight="1">
      <c r="D812" s="15"/>
      <c r="E812" s="8"/>
    </row>
    <row r="813" spans="4:5" ht="15.75" customHeight="1">
      <c r="D813" s="15"/>
      <c r="E813" s="8"/>
    </row>
    <row r="814" spans="4:5" ht="15.75" customHeight="1">
      <c r="D814" s="15"/>
      <c r="E814" s="8"/>
    </row>
    <row r="815" spans="4:5" ht="15.75" customHeight="1">
      <c r="D815" s="15"/>
      <c r="E815" s="8"/>
    </row>
    <row r="816" spans="4:5" ht="15.75" customHeight="1">
      <c r="D816" s="15"/>
      <c r="E816" s="8"/>
    </row>
    <row r="817" spans="4:5" ht="15.75" customHeight="1">
      <c r="D817" s="15"/>
      <c r="E817" s="8"/>
    </row>
    <row r="818" spans="4:5" ht="15.75" customHeight="1">
      <c r="D818" s="15"/>
      <c r="E818" s="8"/>
    </row>
    <row r="819" spans="4:5" ht="15.75" customHeight="1">
      <c r="D819" s="15"/>
      <c r="E819" s="8"/>
    </row>
    <row r="820" spans="4:5" ht="15.75" customHeight="1">
      <c r="D820" s="15"/>
      <c r="E820" s="8"/>
    </row>
    <row r="821" spans="4:5" ht="15.75" customHeight="1">
      <c r="D821" s="15"/>
      <c r="E821" s="8"/>
    </row>
    <row r="822" spans="4:5" ht="15.75" customHeight="1">
      <c r="D822" s="15"/>
      <c r="E822" s="8"/>
    </row>
    <row r="823" spans="4:5" ht="15.75" customHeight="1">
      <c r="D823" s="15"/>
      <c r="E823" s="8"/>
    </row>
    <row r="824" spans="4:5" ht="15.75" customHeight="1">
      <c r="D824" s="15"/>
      <c r="E824" s="8"/>
    </row>
    <row r="825" spans="4:5" ht="15.75" customHeight="1">
      <c r="D825" s="15"/>
      <c r="E825" s="8"/>
    </row>
    <row r="826" spans="4:5" ht="15.75" customHeight="1">
      <c r="D826" s="15"/>
      <c r="E826" s="8"/>
    </row>
    <row r="827" spans="4:5" ht="15.75" customHeight="1">
      <c r="D827" s="15"/>
      <c r="E827" s="8"/>
    </row>
    <row r="828" spans="4:5" ht="15.75" customHeight="1">
      <c r="D828" s="15"/>
      <c r="E828" s="8"/>
    </row>
    <row r="829" spans="4:5" ht="15.75" customHeight="1">
      <c r="D829" s="15"/>
      <c r="E829" s="8"/>
    </row>
    <row r="830" spans="4:5" ht="15.75" customHeight="1">
      <c r="D830" s="15"/>
      <c r="E830" s="8"/>
    </row>
    <row r="831" spans="4:5" ht="15.75" customHeight="1">
      <c r="D831" s="15"/>
      <c r="E831" s="8"/>
    </row>
    <row r="832" spans="4:5" ht="15.75" customHeight="1">
      <c r="D832" s="15"/>
      <c r="E832" s="8"/>
    </row>
    <row r="833" spans="4:5" ht="15.75" customHeight="1">
      <c r="D833" s="15"/>
      <c r="E833" s="8"/>
    </row>
    <row r="834" spans="4:5" ht="15.75" customHeight="1">
      <c r="D834" s="15"/>
      <c r="E834" s="8"/>
    </row>
    <row r="835" spans="4:5" ht="15.75" customHeight="1">
      <c r="D835" s="15"/>
      <c r="E835" s="8"/>
    </row>
    <row r="836" spans="4:5" ht="15.75" customHeight="1">
      <c r="D836" s="15"/>
      <c r="E836" s="8"/>
    </row>
    <row r="837" spans="4:5" ht="15.75" customHeight="1">
      <c r="D837" s="15"/>
      <c r="E837" s="8"/>
    </row>
    <row r="838" spans="4:5" ht="15.75" customHeight="1">
      <c r="D838" s="15"/>
      <c r="E838" s="8"/>
    </row>
    <row r="839" spans="4:5" ht="15.75" customHeight="1">
      <c r="D839" s="15"/>
      <c r="E839" s="8"/>
    </row>
    <row r="840" spans="4:5" ht="15.75" customHeight="1">
      <c r="D840" s="15"/>
      <c r="E840" s="8"/>
    </row>
    <row r="841" spans="4:5" ht="15.75" customHeight="1">
      <c r="D841" s="15"/>
      <c r="E841" s="8"/>
    </row>
    <row r="842" spans="4:5" ht="15.75" customHeight="1">
      <c r="D842" s="15"/>
      <c r="E842" s="8"/>
    </row>
    <row r="843" spans="4:5" ht="15.75" customHeight="1">
      <c r="D843" s="15"/>
      <c r="E843" s="8"/>
    </row>
    <row r="844" spans="4:5" ht="15.75" customHeight="1">
      <c r="D844" s="15"/>
      <c r="E844" s="8"/>
    </row>
    <row r="845" spans="4:5" ht="15.75" customHeight="1">
      <c r="D845" s="15"/>
      <c r="E845" s="8"/>
    </row>
    <row r="846" spans="4:5" ht="15.75" customHeight="1">
      <c r="D846" s="15"/>
      <c r="E846" s="8"/>
    </row>
    <row r="847" spans="4:5" ht="15.75" customHeight="1">
      <c r="D847" s="15"/>
      <c r="E847" s="8"/>
    </row>
    <row r="848" spans="4:5" ht="15.75" customHeight="1">
      <c r="D848" s="15"/>
      <c r="E848" s="8"/>
    </row>
    <row r="849" spans="4:5" ht="15.75" customHeight="1">
      <c r="D849" s="15"/>
      <c r="E849" s="8"/>
    </row>
    <row r="850" spans="4:5" ht="15.75" customHeight="1">
      <c r="D850" s="15"/>
      <c r="E850" s="8"/>
    </row>
    <row r="851" spans="4:5" ht="15.75" customHeight="1">
      <c r="D851" s="15"/>
      <c r="E851" s="8"/>
    </row>
    <row r="852" spans="4:5" ht="15.75" customHeight="1">
      <c r="D852" s="15"/>
      <c r="E852" s="8"/>
    </row>
    <row r="853" spans="4:5" ht="15.75" customHeight="1">
      <c r="D853" s="15"/>
      <c r="E853" s="8"/>
    </row>
    <row r="854" spans="4:5" ht="15.75" customHeight="1">
      <c r="D854" s="15"/>
      <c r="E854" s="8"/>
    </row>
    <row r="855" spans="4:5" ht="15.75" customHeight="1">
      <c r="D855" s="15"/>
      <c r="E855" s="8"/>
    </row>
    <row r="856" spans="4:5" ht="15.75" customHeight="1">
      <c r="D856" s="15"/>
      <c r="E856" s="8"/>
    </row>
    <row r="857" spans="4:5" ht="15.75" customHeight="1">
      <c r="D857" s="15"/>
      <c r="E857" s="8"/>
    </row>
    <row r="858" spans="4:5" ht="15.75" customHeight="1">
      <c r="D858" s="15"/>
      <c r="E858" s="8"/>
    </row>
    <row r="859" spans="4:5" ht="15.75" customHeight="1">
      <c r="D859" s="15"/>
      <c r="E859" s="8"/>
    </row>
    <row r="860" spans="4:5" ht="15.75" customHeight="1">
      <c r="D860" s="15"/>
      <c r="E860" s="8"/>
    </row>
    <row r="861" spans="4:5" ht="15.75" customHeight="1">
      <c r="D861" s="15"/>
      <c r="E861" s="8"/>
    </row>
    <row r="862" spans="4:5" ht="15.75" customHeight="1">
      <c r="D862" s="15"/>
      <c r="E862" s="8"/>
    </row>
    <row r="863" spans="4:5" ht="15.75" customHeight="1">
      <c r="D863" s="15"/>
      <c r="E863" s="8"/>
    </row>
    <row r="864" spans="4:5" ht="15.75" customHeight="1">
      <c r="D864" s="15"/>
      <c r="E864" s="8"/>
    </row>
    <row r="865" spans="4:5" ht="15.75" customHeight="1">
      <c r="D865" s="15"/>
      <c r="E865" s="8"/>
    </row>
    <row r="866" spans="4:5" ht="15.75" customHeight="1">
      <c r="D866" s="15"/>
      <c r="E866" s="8"/>
    </row>
    <row r="867" spans="4:5" ht="15.75" customHeight="1">
      <c r="D867" s="15"/>
      <c r="E867" s="8"/>
    </row>
    <row r="868" spans="4:5" ht="15.75" customHeight="1">
      <c r="D868" s="15"/>
      <c r="E868" s="8"/>
    </row>
    <row r="869" spans="4:5" ht="15.75" customHeight="1">
      <c r="D869" s="15"/>
      <c r="E869" s="8"/>
    </row>
    <row r="870" spans="4:5" ht="15.75" customHeight="1">
      <c r="D870" s="15"/>
      <c r="E870" s="8"/>
    </row>
    <row r="871" spans="4:5" ht="15.75" customHeight="1">
      <c r="D871" s="15"/>
      <c r="E871" s="8"/>
    </row>
    <row r="872" spans="4:5" ht="15.75" customHeight="1">
      <c r="D872" s="15"/>
      <c r="E872" s="8"/>
    </row>
    <row r="873" spans="4:5" ht="15.75" customHeight="1">
      <c r="D873" s="15"/>
      <c r="E873" s="8"/>
    </row>
    <row r="874" spans="4:5" ht="15.75" customHeight="1">
      <c r="D874" s="15"/>
      <c r="E874" s="8"/>
    </row>
    <row r="875" spans="4:5" ht="15.75" customHeight="1">
      <c r="D875" s="15"/>
      <c r="E875" s="8"/>
    </row>
    <row r="876" spans="4:5" ht="15.75" customHeight="1">
      <c r="D876" s="15"/>
      <c r="E876" s="8"/>
    </row>
    <row r="877" spans="4:5" ht="15.75" customHeight="1">
      <c r="D877" s="15"/>
      <c r="E877" s="8"/>
    </row>
    <row r="878" spans="4:5" ht="15.75" customHeight="1">
      <c r="D878" s="15"/>
      <c r="E878" s="8"/>
    </row>
    <row r="879" spans="4:5" ht="15.75" customHeight="1">
      <c r="D879" s="15"/>
      <c r="E879" s="8"/>
    </row>
    <row r="880" spans="4:5" ht="15.75" customHeight="1">
      <c r="D880" s="15"/>
      <c r="E880" s="8"/>
    </row>
    <row r="881" spans="4:5" ht="15.75" customHeight="1">
      <c r="D881" s="15"/>
      <c r="E881" s="8"/>
    </row>
    <row r="882" spans="4:5" ht="15.75" customHeight="1">
      <c r="D882" s="15"/>
      <c r="E882" s="8"/>
    </row>
    <row r="883" spans="4:5" ht="15.75" customHeight="1">
      <c r="D883" s="15"/>
      <c r="E883" s="8"/>
    </row>
    <row r="884" spans="4:5" ht="15.75" customHeight="1">
      <c r="D884" s="15"/>
      <c r="E884" s="8"/>
    </row>
    <row r="885" spans="4:5" ht="15.75" customHeight="1">
      <c r="D885" s="15"/>
      <c r="E885" s="8"/>
    </row>
    <row r="886" spans="4:5" ht="15.75" customHeight="1">
      <c r="D886" s="15"/>
      <c r="E886" s="8"/>
    </row>
    <row r="887" spans="4:5" ht="15.75" customHeight="1">
      <c r="D887" s="15"/>
      <c r="E887" s="8"/>
    </row>
    <row r="888" spans="4:5" ht="15.75" customHeight="1">
      <c r="D888" s="15"/>
      <c r="E888" s="8"/>
    </row>
    <row r="889" spans="4:5" ht="15.75" customHeight="1">
      <c r="D889" s="15"/>
      <c r="E889" s="8"/>
    </row>
    <row r="890" spans="4:5" ht="15.75" customHeight="1">
      <c r="D890" s="15"/>
      <c r="E890" s="8"/>
    </row>
    <row r="891" spans="4:5" ht="15.75" customHeight="1">
      <c r="D891" s="15"/>
      <c r="E891" s="8"/>
    </row>
    <row r="892" spans="4:5" ht="15.75" customHeight="1">
      <c r="D892" s="15"/>
      <c r="E892" s="8"/>
    </row>
    <row r="893" spans="4:5" ht="15.75" customHeight="1">
      <c r="D893" s="15"/>
      <c r="E893" s="8"/>
    </row>
    <row r="894" spans="4:5" ht="15.75" customHeight="1">
      <c r="D894" s="15"/>
      <c r="E894" s="8"/>
    </row>
    <row r="895" spans="4:5" ht="15.75" customHeight="1">
      <c r="D895" s="15"/>
      <c r="E895" s="8"/>
    </row>
    <row r="896" spans="4:5" ht="15.75" customHeight="1">
      <c r="D896" s="15"/>
      <c r="E896" s="8"/>
    </row>
    <row r="897" spans="4:5" ht="15.75" customHeight="1">
      <c r="D897" s="15"/>
      <c r="E897" s="8"/>
    </row>
    <row r="898" spans="4:5" ht="15.75" customHeight="1">
      <c r="D898" s="15"/>
      <c r="E898" s="8"/>
    </row>
    <row r="899" spans="4:5" ht="15.75" customHeight="1">
      <c r="D899" s="15"/>
      <c r="E899" s="8"/>
    </row>
    <row r="900" spans="4:5" ht="15.75" customHeight="1">
      <c r="D900" s="15"/>
      <c r="E900" s="8"/>
    </row>
    <row r="901" spans="4:5" ht="15.75" customHeight="1">
      <c r="D901" s="15"/>
      <c r="E901" s="8"/>
    </row>
    <row r="902" spans="4:5" ht="15.75" customHeight="1">
      <c r="D902" s="15"/>
      <c r="E902" s="8"/>
    </row>
    <row r="903" spans="4:5" ht="15.75" customHeight="1">
      <c r="D903" s="15"/>
      <c r="E903" s="8"/>
    </row>
    <row r="904" spans="4:5" ht="15.75" customHeight="1">
      <c r="D904" s="15"/>
      <c r="E904" s="8"/>
    </row>
    <row r="905" spans="4:5" ht="15.75" customHeight="1">
      <c r="D905" s="15"/>
      <c r="E905" s="8"/>
    </row>
    <row r="906" spans="4:5" ht="15.75" customHeight="1">
      <c r="D906" s="15"/>
      <c r="E906" s="8"/>
    </row>
    <row r="907" spans="4:5" ht="15.75" customHeight="1">
      <c r="D907" s="15"/>
      <c r="E907" s="8"/>
    </row>
    <row r="908" spans="4:5" ht="15.75" customHeight="1">
      <c r="D908" s="15"/>
      <c r="E908" s="8"/>
    </row>
    <row r="909" spans="4:5" ht="15.75" customHeight="1">
      <c r="D909" s="15"/>
      <c r="E909" s="8"/>
    </row>
    <row r="910" spans="4:5" ht="15.75" customHeight="1">
      <c r="D910" s="15"/>
      <c r="E910" s="8"/>
    </row>
    <row r="911" spans="4:5" ht="15.75" customHeight="1">
      <c r="D911" s="15"/>
      <c r="E911" s="8"/>
    </row>
    <row r="912" spans="4:5" ht="15.75" customHeight="1">
      <c r="D912" s="15"/>
      <c r="E912" s="8"/>
    </row>
    <row r="913" spans="4:5" ht="15.75" customHeight="1">
      <c r="D913" s="15"/>
      <c r="E913" s="8"/>
    </row>
    <row r="914" spans="4:5" ht="15.75" customHeight="1">
      <c r="D914" s="15"/>
      <c r="E914" s="8"/>
    </row>
    <row r="915" spans="4:5" ht="15.75" customHeight="1">
      <c r="D915" s="15"/>
      <c r="E915" s="8"/>
    </row>
    <row r="916" spans="4:5" ht="15.75" customHeight="1">
      <c r="D916" s="15"/>
      <c r="E916" s="8"/>
    </row>
    <row r="917" spans="4:5" ht="15.75" customHeight="1">
      <c r="D917" s="15"/>
      <c r="E917" s="8"/>
    </row>
    <row r="918" spans="4:5" ht="15.75" customHeight="1">
      <c r="D918" s="15"/>
      <c r="E918" s="8"/>
    </row>
    <row r="919" spans="4:5" ht="15.75" customHeight="1">
      <c r="D919" s="15"/>
      <c r="E919" s="8"/>
    </row>
    <row r="920" spans="4:5" ht="15.75" customHeight="1">
      <c r="D920" s="15"/>
      <c r="E920" s="8"/>
    </row>
    <row r="921" spans="4:5" ht="15.75" customHeight="1">
      <c r="D921" s="15"/>
      <c r="E921" s="8"/>
    </row>
    <row r="922" spans="4:5" ht="15.75" customHeight="1">
      <c r="D922" s="15"/>
      <c r="E922" s="8"/>
    </row>
    <row r="923" spans="4:5" ht="15.75" customHeight="1">
      <c r="D923" s="15"/>
      <c r="E923" s="8"/>
    </row>
    <row r="924" spans="4:5" ht="15.75" customHeight="1">
      <c r="D924" s="15"/>
      <c r="E924" s="8"/>
    </row>
    <row r="925" spans="4:5" ht="15.75" customHeight="1">
      <c r="D925" s="15"/>
      <c r="E925" s="8"/>
    </row>
    <row r="926" spans="4:5" ht="15.75" customHeight="1">
      <c r="D926" s="15"/>
      <c r="E926" s="8"/>
    </row>
    <row r="927" spans="4:5" ht="15.75" customHeight="1">
      <c r="D927" s="15"/>
      <c r="E927" s="8"/>
    </row>
    <row r="928" spans="4:5" ht="15.75" customHeight="1">
      <c r="D928" s="15"/>
      <c r="E928" s="8"/>
    </row>
    <row r="929" spans="4:5" ht="15.75" customHeight="1">
      <c r="D929" s="15"/>
      <c r="E929" s="8"/>
    </row>
    <row r="930" spans="4:5" ht="15.75" customHeight="1">
      <c r="D930" s="15"/>
      <c r="E930" s="8"/>
    </row>
    <row r="931" spans="4:5" ht="15.75" customHeight="1">
      <c r="D931" s="15"/>
      <c r="E931" s="8"/>
    </row>
    <row r="932" spans="4:5" ht="15.75" customHeight="1">
      <c r="D932" s="15"/>
      <c r="E932" s="8"/>
    </row>
    <row r="933" spans="4:5" ht="15.75" customHeight="1">
      <c r="D933" s="15"/>
      <c r="E933" s="8"/>
    </row>
    <row r="934" spans="4:5" ht="15.75" customHeight="1">
      <c r="D934" s="15"/>
      <c r="E934" s="8"/>
    </row>
    <row r="935" spans="4:5" ht="15.75" customHeight="1">
      <c r="D935" s="15"/>
      <c r="E935" s="8"/>
    </row>
    <row r="936" spans="4:5" ht="15.75" customHeight="1">
      <c r="D936" s="15"/>
      <c r="E936" s="8"/>
    </row>
    <row r="937" spans="4:5" ht="15.75" customHeight="1">
      <c r="D937" s="15"/>
      <c r="E937" s="8"/>
    </row>
    <row r="938" spans="4:5" ht="15.75" customHeight="1">
      <c r="D938" s="15"/>
      <c r="E938" s="8"/>
    </row>
    <row r="939" spans="4:5" ht="15.75" customHeight="1">
      <c r="D939" s="15"/>
      <c r="E939" s="8"/>
    </row>
    <row r="940" spans="4:5" ht="15.75" customHeight="1">
      <c r="D940" s="15"/>
      <c r="E940" s="8"/>
    </row>
    <row r="941" spans="4:5" ht="15.75" customHeight="1">
      <c r="D941" s="15"/>
      <c r="E941" s="8"/>
    </row>
    <row r="942" spans="4:5" ht="15.75" customHeight="1">
      <c r="D942" s="15"/>
      <c r="E942" s="8"/>
    </row>
    <row r="943" spans="4:5" ht="15.75" customHeight="1">
      <c r="D943" s="15"/>
      <c r="E943" s="8"/>
    </row>
    <row r="944" spans="4:5" ht="15.75" customHeight="1">
      <c r="D944" s="15"/>
      <c r="E944" s="8"/>
    </row>
    <row r="945" spans="4:5" ht="15.75" customHeight="1">
      <c r="D945" s="15"/>
      <c r="E945" s="8"/>
    </row>
    <row r="946" spans="4:5" ht="15.75" customHeight="1">
      <c r="D946" s="15"/>
      <c r="E946" s="8"/>
    </row>
    <row r="947" spans="4:5" ht="15.75" customHeight="1">
      <c r="D947" s="15"/>
      <c r="E947" s="8"/>
    </row>
    <row r="948" spans="4:5" ht="15.75" customHeight="1">
      <c r="D948" s="15"/>
      <c r="E948" s="8"/>
    </row>
    <row r="949" spans="4:5" ht="15.75" customHeight="1">
      <c r="D949" s="15"/>
      <c r="E949" s="8"/>
    </row>
    <row r="950" spans="4:5" ht="15.75" customHeight="1">
      <c r="D950" s="15"/>
      <c r="E950" s="8"/>
    </row>
    <row r="951" spans="4:5" ht="15.75" customHeight="1">
      <c r="D951" s="15"/>
      <c r="E951" s="8"/>
    </row>
    <row r="952" spans="4:5" ht="15.75" customHeight="1">
      <c r="D952" s="15"/>
      <c r="E952" s="8"/>
    </row>
    <row r="953" spans="4:5" ht="15.75" customHeight="1">
      <c r="D953" s="15"/>
      <c r="E953" s="8"/>
    </row>
    <row r="954" spans="4:5" ht="15.75" customHeight="1">
      <c r="D954" s="15"/>
      <c r="E954" s="8"/>
    </row>
    <row r="955" spans="4:5" ht="15.75" customHeight="1">
      <c r="D955" s="15"/>
      <c r="E955" s="8"/>
    </row>
    <row r="956" spans="4:5" ht="15.75" customHeight="1">
      <c r="D956" s="15"/>
      <c r="E956" s="8"/>
    </row>
    <row r="957" spans="4:5" ht="15.75" customHeight="1">
      <c r="D957" s="15"/>
      <c r="E957" s="8"/>
    </row>
    <row r="958" spans="4:5" ht="15.75" customHeight="1">
      <c r="D958" s="15"/>
      <c r="E958" s="8"/>
    </row>
    <row r="959" spans="4:5" ht="15.75" customHeight="1">
      <c r="D959" s="15"/>
      <c r="E959" s="8"/>
    </row>
    <row r="960" spans="4:5" ht="15.75" customHeight="1">
      <c r="D960" s="15"/>
      <c r="E960" s="8"/>
    </row>
    <row r="961" spans="4:5" ht="15.75" customHeight="1">
      <c r="D961" s="15"/>
      <c r="E961" s="8"/>
    </row>
    <row r="962" spans="4:5" ht="15.75" customHeight="1">
      <c r="D962" s="15"/>
      <c r="E962" s="8"/>
    </row>
    <row r="963" spans="4:5" ht="15.75" customHeight="1">
      <c r="D963" s="15"/>
      <c r="E963" s="8"/>
    </row>
    <row r="964" spans="4:5" ht="15.75" customHeight="1">
      <c r="D964" s="15"/>
      <c r="E964" s="8"/>
    </row>
    <row r="965" spans="4:5" ht="15.75" customHeight="1">
      <c r="D965" s="15"/>
      <c r="E965" s="8"/>
    </row>
    <row r="966" spans="4:5" ht="15.75" customHeight="1">
      <c r="D966" s="15"/>
      <c r="E966" s="8"/>
    </row>
    <row r="967" spans="4:5" ht="15.75" customHeight="1">
      <c r="D967" s="15"/>
      <c r="E967" s="8"/>
    </row>
    <row r="968" spans="4:5" ht="15.75" customHeight="1">
      <c r="D968" s="15"/>
      <c r="E968" s="8"/>
    </row>
    <row r="969" spans="4:5" ht="15.75" customHeight="1">
      <c r="D969" s="15"/>
      <c r="E969" s="8"/>
    </row>
    <row r="970" spans="4:5" ht="15.75" customHeight="1">
      <c r="D970" s="15"/>
      <c r="E970" s="8"/>
    </row>
    <row r="971" spans="4:5" ht="15.75" customHeight="1">
      <c r="D971" s="15"/>
      <c r="E971" s="8"/>
    </row>
    <row r="972" spans="4:5" ht="15.75" customHeight="1">
      <c r="D972" s="15"/>
      <c r="E972" s="8"/>
    </row>
    <row r="973" spans="4:5" ht="15.75" customHeight="1">
      <c r="D973" s="15"/>
      <c r="E973" s="8"/>
    </row>
    <row r="974" spans="4:5" ht="15.75" customHeight="1">
      <c r="D974" s="15"/>
      <c r="E974" s="8"/>
    </row>
    <row r="975" spans="4:5" ht="15.75" customHeight="1">
      <c r="D975" s="15"/>
      <c r="E975" s="8"/>
    </row>
    <row r="976" spans="4:5" ht="15.75" customHeight="1">
      <c r="D976" s="15"/>
      <c r="E976" s="8"/>
    </row>
    <row r="977" spans="4:5" ht="15.75" customHeight="1">
      <c r="D977" s="15"/>
      <c r="E977" s="8"/>
    </row>
    <row r="978" spans="4:5" ht="15.75" customHeight="1">
      <c r="D978" s="15"/>
      <c r="E978" s="8"/>
    </row>
    <row r="979" spans="4:5" ht="15.75" customHeight="1">
      <c r="D979" s="15"/>
      <c r="E979" s="8"/>
    </row>
    <row r="980" spans="4:5" ht="15.75" customHeight="1">
      <c r="D980" s="15"/>
      <c r="E980" s="8"/>
    </row>
    <row r="981" spans="4:5" ht="15.75" customHeight="1">
      <c r="D981" s="15"/>
      <c r="E981" s="8"/>
    </row>
    <row r="982" spans="4:5" ht="15.75" customHeight="1">
      <c r="D982" s="15"/>
      <c r="E982" s="8"/>
    </row>
    <row r="983" spans="4:5" ht="15.75" customHeight="1">
      <c r="D983" s="15"/>
      <c r="E983" s="8"/>
    </row>
    <row r="984" spans="4:5" ht="15.75" customHeight="1">
      <c r="D984" s="15"/>
      <c r="E984" s="8"/>
    </row>
    <row r="985" spans="4:5" ht="15.75" customHeight="1">
      <c r="D985" s="15"/>
      <c r="E985" s="8"/>
    </row>
    <row r="986" spans="4:5" ht="15.75" customHeight="1">
      <c r="D986" s="15"/>
      <c r="E986" s="8"/>
    </row>
    <row r="987" spans="4:5" ht="15.75" customHeight="1">
      <c r="D987" s="15"/>
      <c r="E987" s="8"/>
    </row>
    <row r="988" spans="4:5" ht="15.75" customHeight="1">
      <c r="D988" s="15"/>
      <c r="E988" s="8"/>
    </row>
    <row r="989" spans="4:5" ht="15.75" customHeight="1">
      <c r="D989" s="15"/>
      <c r="E989" s="8"/>
    </row>
    <row r="990" spans="4:5" ht="15.75" customHeight="1">
      <c r="D990" s="15"/>
      <c r="E990" s="8"/>
    </row>
    <row r="991" spans="4:5" ht="15.75" customHeight="1">
      <c r="D991" s="15"/>
      <c r="E991" s="8"/>
    </row>
    <row r="992" spans="4:5" ht="15.75" customHeight="1">
      <c r="D992" s="15"/>
      <c r="E992" s="8"/>
    </row>
    <row r="993" spans="4:5" ht="15.75" customHeight="1">
      <c r="D993" s="15"/>
      <c r="E993" s="8"/>
    </row>
    <row r="994" spans="4:5" ht="15.75" customHeight="1">
      <c r="D994" s="15"/>
      <c r="E994" s="8"/>
    </row>
    <row r="995" spans="4:5" ht="15.75" customHeight="1">
      <c r="D995" s="15"/>
      <c r="E995" s="8"/>
    </row>
    <row r="996" spans="4:5" ht="15.75" customHeight="1">
      <c r="D996" s="15"/>
      <c r="E996" s="8"/>
    </row>
    <row r="997" spans="4:5" ht="15.75" customHeight="1">
      <c r="D997" s="15"/>
      <c r="E997" s="8"/>
    </row>
    <row r="998" spans="4:5" ht="15.75" customHeight="1">
      <c r="D998" s="15"/>
      <c r="E998" s="8"/>
    </row>
    <row r="999" spans="4:5" ht="15.75" customHeight="1">
      <c r="D999" s="15"/>
      <c r="E999" s="8"/>
    </row>
    <row r="1000" spans="4:5" ht="15.75" customHeight="1">
      <c r="D1000" s="15"/>
      <c r="E1000" s="8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5892-C774-4A3F-A10F-AB38EA484330}">
  <dimension ref="A1:E458"/>
  <sheetViews>
    <sheetView topLeftCell="B1" workbookViewId="0"/>
  </sheetViews>
  <sheetFormatPr defaultRowHeight="15.75"/>
  <cols>
    <col min="1" max="1" width="10.375" bestFit="1" customWidth="1"/>
    <col min="2" max="2" width="22.875" customWidth="1"/>
    <col min="3" max="3" width="31.25" customWidth="1"/>
    <col min="4" max="5" width="45.5" customWidth="1"/>
  </cols>
  <sheetData>
    <row r="1" spans="1:5">
      <c r="A1" t="s">
        <v>0</v>
      </c>
      <c r="B1" t="s">
        <v>5</v>
      </c>
      <c r="C1" t="s">
        <v>55</v>
      </c>
      <c r="D1" t="s">
        <v>56</v>
      </c>
      <c r="E1" t="s">
        <v>57</v>
      </c>
    </row>
    <row r="2" spans="1:5">
      <c r="A2" s="31">
        <v>21551</v>
      </c>
      <c r="B2" s="35">
        <v>1824067.8246203251</v>
      </c>
    </row>
    <row r="3" spans="1:5">
      <c r="A3" s="31">
        <v>21552</v>
      </c>
      <c r="B3" s="35">
        <v>1832180.3079260604</v>
      </c>
    </row>
    <row r="4" spans="1:5">
      <c r="A4" s="31">
        <v>21553</v>
      </c>
      <c r="B4" s="35">
        <v>1837598.630129884</v>
      </c>
    </row>
    <row r="5" spans="1:5">
      <c r="A5" s="31">
        <v>21554</v>
      </c>
      <c r="B5" s="35">
        <v>1834888.4690279723</v>
      </c>
    </row>
    <row r="6" spans="1:5">
      <c r="A6" s="31">
        <v>21555</v>
      </c>
      <c r="B6" s="35">
        <v>1799838.374703119</v>
      </c>
    </row>
    <row r="7" spans="1:5">
      <c r="A7" s="31">
        <v>21556</v>
      </c>
      <c r="B7" s="35">
        <v>1840310.7912317959</v>
      </c>
    </row>
    <row r="8" spans="1:5">
      <c r="A8" s="31">
        <v>21557</v>
      </c>
      <c r="B8" s="35">
        <v>1797156.2136012074</v>
      </c>
    </row>
    <row r="9" spans="1:5">
      <c r="A9" s="31">
        <v>21558</v>
      </c>
      <c r="B9" s="35">
        <v>1802522.535805031</v>
      </c>
    </row>
    <row r="10" spans="1:5">
      <c r="A10" s="31">
        <v>21559</v>
      </c>
      <c r="B10" s="35">
        <v>1815973.3413145898</v>
      </c>
    </row>
    <row r="11" spans="1:5">
      <c r="A11" s="31">
        <v>21560</v>
      </c>
      <c r="B11" s="35">
        <v>1845741.1134356195</v>
      </c>
    </row>
    <row r="12" spans="1:5">
      <c r="A12" s="31">
        <v>21561</v>
      </c>
      <c r="B12" s="35">
        <v>1815973.3413145898</v>
      </c>
    </row>
    <row r="13" spans="1:5">
      <c r="A13" s="31">
        <v>21562</v>
      </c>
      <c r="B13" s="35">
        <v>1829474.1468241487</v>
      </c>
    </row>
    <row r="14" spans="1:5">
      <c r="A14" s="31">
        <v>21563</v>
      </c>
      <c r="B14" s="35">
        <v>1770444.6025820894</v>
      </c>
    </row>
    <row r="15" spans="1:5">
      <c r="A15" s="31">
        <v>21564</v>
      </c>
      <c r="B15" s="35">
        <v>1791797.8913973838</v>
      </c>
    </row>
    <row r="16" spans="1:5">
      <c r="A16" s="31">
        <v>21565</v>
      </c>
      <c r="B16" s="35">
        <v>1797156.2136012074</v>
      </c>
    </row>
    <row r="17" spans="1:2">
      <c r="A17" s="31">
        <v>21566</v>
      </c>
      <c r="B17" s="35">
        <v>1818669.5024165015</v>
      </c>
    </row>
    <row r="18" spans="1:2">
      <c r="A18" s="31">
        <v>21567</v>
      </c>
      <c r="B18" s="35">
        <v>1783775.4080916482</v>
      </c>
    </row>
    <row r="19" spans="1:2">
      <c r="A19" s="31">
        <v>21568</v>
      </c>
      <c r="B19" s="35">
        <v>1802522.535805031</v>
      </c>
    </row>
    <row r="20" spans="1:2">
      <c r="A20" s="31">
        <v>21569</v>
      </c>
      <c r="B20" s="35">
        <v>1807896.8580088543</v>
      </c>
    </row>
    <row r="21" spans="1:2">
      <c r="A21" s="31">
        <v>21570</v>
      </c>
      <c r="B21" s="35">
        <v>1778437.0858878247</v>
      </c>
    </row>
    <row r="22" spans="1:2">
      <c r="A22" s="31">
        <v>21571</v>
      </c>
      <c r="B22" s="35">
        <v>1826769.985722237</v>
      </c>
    </row>
    <row r="23" spans="1:2">
      <c r="A23" s="31">
        <v>21572</v>
      </c>
      <c r="B23" s="35">
        <v>1775770.924785913</v>
      </c>
    </row>
    <row r="24" spans="1:2">
      <c r="A24" s="31">
        <v>21573</v>
      </c>
      <c r="B24" s="35">
        <v>1813279.1802126779</v>
      </c>
    </row>
    <row r="25" spans="1:2">
      <c r="A25" s="31">
        <v>21574</v>
      </c>
      <c r="B25" s="35">
        <v>1832180.3079260604</v>
      </c>
    </row>
    <row r="26" spans="1:2">
      <c r="A26" s="31">
        <v>21575</v>
      </c>
      <c r="B26" s="35">
        <v>1818669.5024165015</v>
      </c>
    </row>
    <row r="27" spans="1:2">
      <c r="A27" s="31">
        <v>21576</v>
      </c>
      <c r="B27" s="35">
        <v>1802522.535805031</v>
      </c>
    </row>
    <row r="28" spans="1:2">
      <c r="A28" s="31">
        <v>21577</v>
      </c>
      <c r="B28" s="35">
        <v>1813279.1802126779</v>
      </c>
    </row>
    <row r="29" spans="1:2">
      <c r="A29" s="31">
        <v>21578</v>
      </c>
      <c r="B29" s="35">
        <v>1824067.8246203251</v>
      </c>
    </row>
    <row r="30" spans="1:2">
      <c r="A30" s="31">
        <v>21579</v>
      </c>
      <c r="B30" s="35">
        <v>1799838.374703119</v>
      </c>
    </row>
    <row r="31" spans="1:2">
      <c r="A31" s="31">
        <v>21580</v>
      </c>
      <c r="B31" s="35">
        <v>1815973.3413145898</v>
      </c>
    </row>
    <row r="32" spans="1:2">
      <c r="A32" s="31">
        <v>21581</v>
      </c>
      <c r="B32" s="35">
        <v>1853901.5967413548</v>
      </c>
    </row>
    <row r="33" spans="1:2">
      <c r="A33" s="31">
        <v>21582</v>
      </c>
      <c r="B33" s="35">
        <v>1856625.7578432667</v>
      </c>
    </row>
    <row r="34" spans="1:2">
      <c r="A34" s="31">
        <v>21583</v>
      </c>
      <c r="B34" s="35">
        <v>1834888.4690279723</v>
      </c>
    </row>
    <row r="35" spans="1:2">
      <c r="A35" s="31">
        <v>21584</v>
      </c>
      <c r="B35" s="35">
        <v>1799838.374703119</v>
      </c>
    </row>
    <row r="36" spans="1:2">
      <c r="A36" s="31">
        <v>21585</v>
      </c>
      <c r="B36" s="35">
        <v>1815973.3413145898</v>
      </c>
    </row>
    <row r="37" spans="1:2">
      <c r="A37" s="31">
        <v>21586</v>
      </c>
      <c r="B37" s="35">
        <v>1783775.4080916482</v>
      </c>
    </row>
    <row r="38" spans="1:2">
      <c r="A38" s="31">
        <v>21587</v>
      </c>
      <c r="B38" s="35">
        <v>1815973.3413145898</v>
      </c>
    </row>
    <row r="39" spans="1:2">
      <c r="A39" s="31">
        <v>21588</v>
      </c>
      <c r="B39" s="35">
        <v>1781105.2469897366</v>
      </c>
    </row>
    <row r="40" spans="1:2">
      <c r="A40" s="31">
        <v>21589</v>
      </c>
      <c r="B40" s="35">
        <v>1834888.4690279723</v>
      </c>
    </row>
    <row r="41" spans="1:2">
      <c r="A41" s="31">
        <v>21590</v>
      </c>
      <c r="B41" s="35">
        <v>1834888.4690279723</v>
      </c>
    </row>
    <row r="42" spans="1:2">
      <c r="A42" s="31">
        <v>21591</v>
      </c>
      <c r="B42" s="35">
        <v>1781105.2469897366</v>
      </c>
    </row>
    <row r="43" spans="1:2">
      <c r="A43" s="31">
        <v>21592</v>
      </c>
      <c r="B43" s="35">
        <v>1821367.6635184134</v>
      </c>
    </row>
    <row r="44" spans="1:2">
      <c r="A44" s="31">
        <v>21593</v>
      </c>
      <c r="B44" s="35">
        <v>1797156.2136012074</v>
      </c>
    </row>
    <row r="45" spans="1:2">
      <c r="A45" s="31">
        <v>21594</v>
      </c>
      <c r="B45" s="35">
        <v>1781105.2469897366</v>
      </c>
    </row>
    <row r="46" spans="1:2">
      <c r="A46" s="31">
        <v>21595</v>
      </c>
      <c r="B46" s="35">
        <v>1826769.985722237</v>
      </c>
    </row>
    <row r="47" spans="1:2">
      <c r="A47" s="31">
        <v>21596</v>
      </c>
      <c r="B47" s="35">
        <v>1778437.0858878247</v>
      </c>
    </row>
    <row r="48" spans="1:2">
      <c r="A48" s="31">
        <v>21597</v>
      </c>
      <c r="B48" s="35">
        <v>1791797.8913973838</v>
      </c>
    </row>
    <row r="49" spans="1:2">
      <c r="A49" s="31">
        <v>21598</v>
      </c>
      <c r="B49" s="35">
        <v>1797156.2136012074</v>
      </c>
    </row>
    <row r="50" spans="1:2">
      <c r="A50" s="31">
        <v>21599</v>
      </c>
      <c r="B50" s="35">
        <v>1794476.0524992954</v>
      </c>
    </row>
    <row r="51" spans="1:2">
      <c r="A51" s="31">
        <v>21600</v>
      </c>
      <c r="B51" s="35">
        <v>1813279.1802126779</v>
      </c>
    </row>
    <row r="52" spans="1:2">
      <c r="A52" s="31">
        <v>21601</v>
      </c>
      <c r="B52" s="35">
        <v>1789121.7302954718</v>
      </c>
    </row>
    <row r="53" spans="1:2">
      <c r="A53" s="31">
        <v>21602</v>
      </c>
      <c r="B53" s="35">
        <v>1818669.5024165015</v>
      </c>
    </row>
    <row r="54" spans="1:2">
      <c r="A54" s="31">
        <v>21603</v>
      </c>
      <c r="B54" s="35">
        <v>1824067.8246203251</v>
      </c>
    </row>
    <row r="55" spans="1:2">
      <c r="A55" s="31">
        <v>21604</v>
      </c>
      <c r="B55" s="35">
        <v>1778437.0858878247</v>
      </c>
    </row>
    <row r="56" spans="1:2">
      <c r="A56" s="31">
        <v>21605</v>
      </c>
      <c r="B56" s="35">
        <v>1805208.6969069426</v>
      </c>
    </row>
    <row r="57" spans="1:2">
      <c r="A57" s="31">
        <v>21606</v>
      </c>
      <c r="B57" s="35">
        <v>1797156.2136012074</v>
      </c>
    </row>
    <row r="58" spans="1:2">
      <c r="A58" s="31">
        <v>21607</v>
      </c>
      <c r="B58" s="35">
        <v>1813279.1802126779</v>
      </c>
    </row>
    <row r="59" spans="1:2">
      <c r="A59" s="31">
        <v>21608</v>
      </c>
      <c r="B59" s="35">
        <v>1818669.5024165015</v>
      </c>
    </row>
    <row r="60" spans="1:2">
      <c r="A60" s="31">
        <v>21609</v>
      </c>
      <c r="B60" s="35">
        <v>1837598.630129884</v>
      </c>
    </row>
    <row r="61" spans="1:2">
      <c r="A61" s="31">
        <v>21610</v>
      </c>
      <c r="B61" s="35">
        <v>1824067.8246203251</v>
      </c>
    </row>
    <row r="62" spans="1:2">
      <c r="A62" s="31">
        <v>21611</v>
      </c>
      <c r="B62" s="35">
        <v>1843024.9523337076</v>
      </c>
    </row>
    <row r="63" spans="1:2">
      <c r="A63" s="31">
        <v>21612</v>
      </c>
      <c r="B63" s="35">
        <v>1797156.2136012074</v>
      </c>
    </row>
    <row r="64" spans="1:2">
      <c r="A64" s="31">
        <v>21613</v>
      </c>
      <c r="B64" s="35">
        <v>1826769.985722237</v>
      </c>
    </row>
    <row r="65" spans="1:2">
      <c r="A65" s="31">
        <v>21614</v>
      </c>
      <c r="B65" s="35">
        <v>1821367.6635184134</v>
      </c>
    </row>
    <row r="66" spans="1:2">
      <c r="A66" s="31">
        <v>21615</v>
      </c>
      <c r="B66" s="35">
        <v>1783775.4080916482</v>
      </c>
    </row>
    <row r="67" spans="1:2">
      <c r="A67" s="31">
        <v>21616</v>
      </c>
      <c r="B67" s="35">
        <v>1799838.374703119</v>
      </c>
    </row>
    <row r="68" spans="1:2">
      <c r="A68" s="31">
        <v>21617</v>
      </c>
      <c r="B68" s="35">
        <v>1813279.1802126779</v>
      </c>
    </row>
    <row r="69" spans="1:2">
      <c r="A69" s="31">
        <v>21618</v>
      </c>
      <c r="B69" s="35">
        <v>1832180.3079260604</v>
      </c>
    </row>
    <row r="70" spans="1:2">
      <c r="A70" s="31">
        <v>21619</v>
      </c>
      <c r="B70" s="35">
        <v>1813279.1802126779</v>
      </c>
    </row>
    <row r="71" spans="1:2">
      <c r="A71" s="31">
        <v>21620</v>
      </c>
      <c r="B71" s="35">
        <v>1797156.2136012074</v>
      </c>
    </row>
    <row r="72" spans="1:2">
      <c r="A72" s="31">
        <v>21621</v>
      </c>
      <c r="B72" s="35">
        <v>1802522.535805031</v>
      </c>
    </row>
    <row r="73" spans="1:2">
      <c r="A73" s="31">
        <v>21622</v>
      </c>
      <c r="B73" s="35">
        <v>1813279.1802126779</v>
      </c>
    </row>
    <row r="74" spans="1:2">
      <c r="A74" s="31">
        <v>21623</v>
      </c>
      <c r="B74" s="35">
        <v>1834888.4690279723</v>
      </c>
    </row>
    <row r="75" spans="1:2">
      <c r="A75" s="31">
        <v>21624</v>
      </c>
      <c r="B75" s="35">
        <v>1845741.1134356195</v>
      </c>
    </row>
    <row r="76" spans="1:2">
      <c r="A76" s="31">
        <v>21625</v>
      </c>
      <c r="B76" s="35">
        <v>1837598.630129884</v>
      </c>
    </row>
    <row r="77" spans="1:2">
      <c r="A77" s="31">
        <v>21626</v>
      </c>
      <c r="B77" s="35">
        <v>1805208.6969069426</v>
      </c>
    </row>
    <row r="78" spans="1:2">
      <c r="A78" s="31">
        <v>21627</v>
      </c>
      <c r="B78" s="35">
        <v>1794476.0524992954</v>
      </c>
    </row>
    <row r="79" spans="1:2">
      <c r="A79" s="31">
        <v>21628</v>
      </c>
      <c r="B79" s="35">
        <v>1807896.8580088543</v>
      </c>
    </row>
    <row r="80" spans="1:2">
      <c r="A80" s="31">
        <v>21629</v>
      </c>
      <c r="B80" s="35">
        <v>1821367.6635184134</v>
      </c>
    </row>
    <row r="81" spans="1:2">
      <c r="A81" s="31">
        <v>21630</v>
      </c>
      <c r="B81" s="35">
        <v>1797156.2136012074</v>
      </c>
    </row>
    <row r="82" spans="1:2">
      <c r="A82" s="31">
        <v>21631</v>
      </c>
      <c r="B82" s="35">
        <v>1794476.0524992954</v>
      </c>
    </row>
    <row r="83" spans="1:2">
      <c r="A83" s="31">
        <v>21632</v>
      </c>
      <c r="B83" s="35">
        <v>1802522.535805031</v>
      </c>
    </row>
    <row r="84" spans="1:2">
      <c r="A84" s="31">
        <v>21633</v>
      </c>
      <c r="B84" s="35">
        <v>1815973.3413145898</v>
      </c>
    </row>
    <row r="85" spans="1:2">
      <c r="A85" s="31">
        <v>21634</v>
      </c>
      <c r="B85" s="35">
        <v>1826769.985722237</v>
      </c>
    </row>
    <row r="86" spans="1:2">
      <c r="A86" s="31">
        <v>21635</v>
      </c>
      <c r="B86" s="35">
        <v>1824067.8246203251</v>
      </c>
    </row>
    <row r="87" spans="1:2">
      <c r="A87" s="31">
        <v>21636</v>
      </c>
      <c r="B87" s="35">
        <v>1767784.4414801777</v>
      </c>
    </row>
    <row r="88" spans="1:2">
      <c r="A88" s="31">
        <v>21637</v>
      </c>
      <c r="B88" s="35">
        <v>1821367.6635184134</v>
      </c>
    </row>
    <row r="89" spans="1:2">
      <c r="A89" s="31">
        <v>21638</v>
      </c>
      <c r="B89" s="35">
        <v>1832180.3079260604</v>
      </c>
    </row>
    <row r="90" spans="1:2">
      <c r="A90" s="31">
        <v>21639</v>
      </c>
      <c r="B90" s="35">
        <v>1783775.4080916482</v>
      </c>
    </row>
    <row r="91" spans="1:2">
      <c r="A91" s="31">
        <v>21640</v>
      </c>
      <c r="B91" s="35">
        <v>1807896.8580088543</v>
      </c>
    </row>
    <row r="92" spans="1:2">
      <c r="A92" s="31">
        <v>21641</v>
      </c>
      <c r="B92" s="35">
        <v>1813279.1802126779</v>
      </c>
    </row>
    <row r="93" spans="1:2">
      <c r="A93" s="31">
        <v>21642</v>
      </c>
      <c r="B93" s="35">
        <v>1807896.8580088543</v>
      </c>
    </row>
    <row r="94" spans="1:2">
      <c r="A94" s="31">
        <v>21643</v>
      </c>
      <c r="B94" s="35">
        <v>1791797.8913973838</v>
      </c>
    </row>
    <row r="95" spans="1:2">
      <c r="A95" s="31">
        <v>21644</v>
      </c>
      <c r="B95" s="35">
        <v>1826769.985722237</v>
      </c>
    </row>
    <row r="96" spans="1:2">
      <c r="A96" s="31">
        <v>21645</v>
      </c>
      <c r="B96" s="35">
        <v>1821367.6635184134</v>
      </c>
    </row>
    <row r="97" spans="1:2">
      <c r="A97" s="31">
        <v>21646</v>
      </c>
      <c r="B97" s="35">
        <v>1829474.1468241487</v>
      </c>
    </row>
    <row r="98" spans="1:2">
      <c r="A98" s="31">
        <v>21647</v>
      </c>
      <c r="B98" s="35">
        <v>1824067.8246203251</v>
      </c>
    </row>
    <row r="99" spans="1:2">
      <c r="A99" s="31">
        <v>21648</v>
      </c>
      <c r="B99" s="35">
        <v>1815973.3413145898</v>
      </c>
    </row>
    <row r="100" spans="1:2">
      <c r="A100" s="31">
        <v>21649</v>
      </c>
      <c r="B100" s="35">
        <v>1815973.3413145898</v>
      </c>
    </row>
    <row r="101" spans="1:2">
      <c r="A101" s="31">
        <v>21650</v>
      </c>
      <c r="B101" s="35">
        <v>1826769.985722237</v>
      </c>
    </row>
    <row r="102" spans="1:2">
      <c r="A102" s="31">
        <v>21651</v>
      </c>
      <c r="B102" s="35">
        <v>1775770.924785913</v>
      </c>
    </row>
    <row r="103" spans="1:2">
      <c r="A103" s="31">
        <v>21652</v>
      </c>
      <c r="B103" s="35">
        <v>1826769.985722237</v>
      </c>
    </row>
    <row r="104" spans="1:2">
      <c r="A104" s="31">
        <v>21653</v>
      </c>
      <c r="B104" s="35">
        <v>1826769.985722237</v>
      </c>
    </row>
    <row r="105" spans="1:2">
      <c r="A105" s="31">
        <v>21654</v>
      </c>
      <c r="B105" s="35">
        <v>1815973.3413145898</v>
      </c>
    </row>
    <row r="106" spans="1:2">
      <c r="A106" s="31">
        <v>21655</v>
      </c>
      <c r="B106" s="35">
        <v>1824067.8246203251</v>
      </c>
    </row>
    <row r="107" spans="1:2">
      <c r="A107" s="31">
        <v>21656</v>
      </c>
      <c r="B107" s="35">
        <v>1832180.3079260604</v>
      </c>
    </row>
    <row r="108" spans="1:2">
      <c r="A108" s="31">
        <v>21657</v>
      </c>
      <c r="B108" s="35">
        <v>1805208.6969069426</v>
      </c>
    </row>
    <row r="109" spans="1:2">
      <c r="A109" s="31">
        <v>21658</v>
      </c>
      <c r="B109" s="35">
        <v>1826769.985722237</v>
      </c>
    </row>
    <row r="110" spans="1:2">
      <c r="A110" s="31">
        <v>21659</v>
      </c>
      <c r="B110" s="35">
        <v>1794476.0524992954</v>
      </c>
    </row>
    <row r="111" spans="1:2">
      <c r="A111" s="31">
        <v>21660</v>
      </c>
      <c r="B111" s="35">
        <v>1837598.630129884</v>
      </c>
    </row>
    <row r="112" spans="1:2">
      <c r="A112" s="31">
        <v>21661</v>
      </c>
      <c r="B112" s="35">
        <v>1794476.0524992954</v>
      </c>
    </row>
    <row r="113" spans="1:2">
      <c r="A113" s="31">
        <v>21662</v>
      </c>
      <c r="B113" s="35">
        <v>1797156.2136012074</v>
      </c>
    </row>
    <row r="114" spans="1:2">
      <c r="A114" s="31">
        <v>21663</v>
      </c>
      <c r="B114" s="35">
        <v>1773106.7636840013</v>
      </c>
    </row>
    <row r="115" spans="1:2">
      <c r="A115" s="31">
        <v>21664</v>
      </c>
      <c r="B115" s="35">
        <v>1826769.985722237</v>
      </c>
    </row>
    <row r="116" spans="1:2">
      <c r="A116" s="31">
        <v>21665</v>
      </c>
      <c r="B116" s="35">
        <v>1818669.5024165015</v>
      </c>
    </row>
    <row r="117" spans="1:2">
      <c r="A117" s="31">
        <v>21666</v>
      </c>
      <c r="B117" s="35">
        <v>1824067.8246203251</v>
      </c>
    </row>
    <row r="118" spans="1:2">
      <c r="A118" s="31">
        <v>21667</v>
      </c>
      <c r="B118" s="35">
        <v>1810587.0191107662</v>
      </c>
    </row>
    <row r="119" spans="1:2">
      <c r="A119" s="31">
        <v>21668</v>
      </c>
      <c r="B119" s="35">
        <v>1805208.6969069426</v>
      </c>
    </row>
    <row r="120" spans="1:2">
      <c r="A120" s="31">
        <v>21669</v>
      </c>
      <c r="B120" s="35">
        <v>1762470.1192763541</v>
      </c>
    </row>
    <row r="121" spans="1:2">
      <c r="A121" s="31">
        <v>21670</v>
      </c>
      <c r="B121" s="35">
        <v>1781105.2469897366</v>
      </c>
    </row>
    <row r="122" spans="1:2">
      <c r="A122" s="31">
        <v>21671</v>
      </c>
      <c r="B122" s="35">
        <v>1832180.3079260604</v>
      </c>
    </row>
    <row r="123" spans="1:2">
      <c r="A123" s="31">
        <v>21672</v>
      </c>
      <c r="B123" s="35">
        <v>1824067.8246203251</v>
      </c>
    </row>
    <row r="124" spans="1:2">
      <c r="A124" s="31">
        <v>21673</v>
      </c>
      <c r="B124" s="35">
        <v>1815973.3413145898</v>
      </c>
    </row>
    <row r="125" spans="1:2">
      <c r="A125" s="31">
        <v>21674</v>
      </c>
      <c r="B125" s="35">
        <v>1829474.1468241487</v>
      </c>
    </row>
    <row r="126" spans="1:2">
      <c r="A126" s="31">
        <v>21675</v>
      </c>
      <c r="B126" s="35">
        <v>1813279.1802126779</v>
      </c>
    </row>
    <row r="127" spans="1:2">
      <c r="A127" s="31">
        <v>21676</v>
      </c>
      <c r="B127" s="35">
        <v>1791797.8913973838</v>
      </c>
    </row>
    <row r="128" spans="1:2">
      <c r="A128" s="31">
        <v>21677</v>
      </c>
      <c r="B128" s="35">
        <v>1815973.3413145898</v>
      </c>
    </row>
    <row r="129" spans="1:2">
      <c r="A129" s="31">
        <v>21678</v>
      </c>
      <c r="B129" s="35">
        <v>1778437.0858878247</v>
      </c>
    </row>
    <row r="130" spans="1:2">
      <c r="A130" s="31">
        <v>21679</v>
      </c>
      <c r="B130" s="35">
        <v>1837598.630129884</v>
      </c>
    </row>
    <row r="131" spans="1:2">
      <c r="A131" s="31">
        <v>21680</v>
      </c>
      <c r="B131" s="35">
        <v>1826769.985722237</v>
      </c>
    </row>
    <row r="132" spans="1:2">
      <c r="A132" s="31">
        <v>21681</v>
      </c>
      <c r="B132" s="35">
        <v>1810587.0191107662</v>
      </c>
    </row>
    <row r="133" spans="1:2">
      <c r="A133" s="31">
        <v>21682</v>
      </c>
      <c r="B133" s="35">
        <v>1824067.8246203251</v>
      </c>
    </row>
    <row r="134" spans="1:2">
      <c r="A134" s="31">
        <v>21683</v>
      </c>
      <c r="B134" s="35">
        <v>1805208.6969069426</v>
      </c>
    </row>
    <row r="135" spans="1:2">
      <c r="A135" s="31">
        <v>21684</v>
      </c>
      <c r="B135" s="35">
        <v>1807896.8580088543</v>
      </c>
    </row>
    <row r="136" spans="1:2">
      <c r="A136" s="31">
        <v>21685</v>
      </c>
      <c r="B136" s="35">
        <v>1805208.6969069426</v>
      </c>
    </row>
    <row r="137" spans="1:2">
      <c r="A137" s="31">
        <v>21686</v>
      </c>
      <c r="B137" s="35">
        <v>1815973.3413145898</v>
      </c>
    </row>
    <row r="138" spans="1:2">
      <c r="A138" s="31">
        <v>21687</v>
      </c>
      <c r="B138" s="35">
        <v>1853901.5967413548</v>
      </c>
    </row>
    <row r="139" spans="1:2">
      <c r="A139" s="31">
        <v>21688</v>
      </c>
      <c r="B139" s="35">
        <v>1826769.985722237</v>
      </c>
    </row>
    <row r="140" spans="1:2">
      <c r="A140" s="31">
        <v>21689</v>
      </c>
      <c r="B140" s="35">
        <v>1802522.535805031</v>
      </c>
    </row>
    <row r="141" spans="1:2">
      <c r="A141" s="31">
        <v>21690</v>
      </c>
      <c r="B141" s="35">
        <v>1821367.6635184134</v>
      </c>
    </row>
    <row r="142" spans="1:2">
      <c r="A142" s="31">
        <v>21691</v>
      </c>
      <c r="B142" s="35">
        <v>1770444.6025820894</v>
      </c>
    </row>
    <row r="143" spans="1:2">
      <c r="A143" s="31">
        <v>21692</v>
      </c>
      <c r="B143" s="35">
        <v>1807896.8580088543</v>
      </c>
    </row>
    <row r="144" spans="1:2">
      <c r="A144" s="31">
        <v>21693</v>
      </c>
      <c r="B144" s="35">
        <v>1797156.2136012074</v>
      </c>
    </row>
    <row r="145" spans="1:2">
      <c r="A145" s="31">
        <v>21694</v>
      </c>
      <c r="B145" s="35">
        <v>1807896.8580088543</v>
      </c>
    </row>
    <row r="146" spans="1:2">
      <c r="A146" s="31">
        <v>21695</v>
      </c>
      <c r="B146" s="35">
        <v>1818669.5024165015</v>
      </c>
    </row>
    <row r="147" spans="1:2">
      <c r="A147" s="31">
        <v>21696</v>
      </c>
      <c r="B147" s="35">
        <v>1802522.535805031</v>
      </c>
    </row>
    <row r="148" spans="1:2">
      <c r="A148" s="31">
        <v>21697</v>
      </c>
      <c r="B148" s="35">
        <v>1813279.1802126779</v>
      </c>
    </row>
    <row r="149" spans="1:2">
      <c r="A149" s="31">
        <v>21698</v>
      </c>
      <c r="B149" s="35">
        <v>1829474.1468241487</v>
      </c>
    </row>
    <row r="150" spans="1:2">
      <c r="A150" s="31">
        <v>21699</v>
      </c>
      <c r="B150" s="35">
        <v>1802522.535805031</v>
      </c>
    </row>
    <row r="151" spans="1:2">
      <c r="A151" s="31">
        <v>21700</v>
      </c>
      <c r="B151" s="35">
        <v>1810587.0191107662</v>
      </c>
    </row>
    <row r="152" spans="1:2">
      <c r="A152" s="31">
        <v>21701</v>
      </c>
      <c r="B152" s="35">
        <v>1815973.3413145898</v>
      </c>
    </row>
    <row r="153" spans="1:2">
      <c r="A153" s="31">
        <v>21702</v>
      </c>
      <c r="B153" s="35">
        <v>1797156.2136012074</v>
      </c>
    </row>
    <row r="154" spans="1:2">
      <c r="A154" s="31">
        <v>21703</v>
      </c>
      <c r="B154" s="35">
        <v>1794476.0524992954</v>
      </c>
    </row>
    <row r="155" spans="1:2">
      <c r="A155" s="31">
        <v>21704</v>
      </c>
      <c r="B155" s="35">
        <v>1826769.985722237</v>
      </c>
    </row>
    <row r="156" spans="1:2">
      <c r="A156" s="31">
        <v>21705</v>
      </c>
      <c r="B156" s="35">
        <v>1824067.8246203251</v>
      </c>
    </row>
    <row r="157" spans="1:2">
      <c r="A157" s="31">
        <v>21706</v>
      </c>
      <c r="B157" s="35">
        <v>1789121.7302954718</v>
      </c>
    </row>
    <row r="158" spans="1:2">
      <c r="A158" s="31">
        <v>21707</v>
      </c>
      <c r="B158" s="35">
        <v>1781105.2469897366</v>
      </c>
    </row>
    <row r="159" spans="1:2">
      <c r="A159" s="31">
        <v>21708</v>
      </c>
      <c r="B159" s="35">
        <v>1821367.6635184134</v>
      </c>
    </row>
    <row r="160" spans="1:2">
      <c r="A160" s="31">
        <v>21709</v>
      </c>
      <c r="B160" s="35">
        <v>1829474.1468241487</v>
      </c>
    </row>
    <row r="161" spans="1:2">
      <c r="A161" s="31">
        <v>21710</v>
      </c>
      <c r="B161" s="35">
        <v>1794476.0524992954</v>
      </c>
    </row>
    <row r="162" spans="1:2">
      <c r="A162" s="31">
        <v>21711</v>
      </c>
      <c r="B162" s="35">
        <v>1805208.6969069426</v>
      </c>
    </row>
    <row r="163" spans="1:2">
      <c r="A163" s="31">
        <v>21712</v>
      </c>
      <c r="B163" s="35">
        <v>1789121.7302954718</v>
      </c>
    </row>
    <row r="164" spans="1:2">
      <c r="A164" s="31">
        <v>21713</v>
      </c>
      <c r="B164" s="35">
        <v>1826769.985722237</v>
      </c>
    </row>
    <row r="165" spans="1:2">
      <c r="A165" s="31">
        <v>21714</v>
      </c>
      <c r="B165" s="35">
        <v>1807896.8580088543</v>
      </c>
    </row>
    <row r="166" spans="1:2">
      <c r="A166" s="31">
        <v>21715</v>
      </c>
      <c r="B166" s="35">
        <v>1824067.8246203251</v>
      </c>
    </row>
    <row r="167" spans="1:2">
      <c r="A167" s="31">
        <v>21716</v>
      </c>
      <c r="B167" s="35">
        <v>1810587.0191107662</v>
      </c>
    </row>
    <row r="168" spans="1:2">
      <c r="A168" s="31">
        <v>21717</v>
      </c>
      <c r="B168" s="35">
        <v>1826769.985722237</v>
      </c>
    </row>
    <row r="169" spans="1:2">
      <c r="A169" s="31">
        <v>21718</v>
      </c>
      <c r="B169" s="35">
        <v>1837598.630129884</v>
      </c>
    </row>
    <row r="170" spans="1:2">
      <c r="A170" s="31">
        <v>21719</v>
      </c>
      <c r="B170" s="35">
        <v>1821367.6635184134</v>
      </c>
    </row>
    <row r="171" spans="1:2">
      <c r="A171" s="31">
        <v>21720</v>
      </c>
      <c r="B171" s="35">
        <v>1810587.0191107662</v>
      </c>
    </row>
    <row r="172" spans="1:2">
      <c r="A172" s="31">
        <v>21721</v>
      </c>
      <c r="B172" s="35">
        <v>1813279.1802126779</v>
      </c>
    </row>
    <row r="173" spans="1:2">
      <c r="A173" s="31">
        <v>21722</v>
      </c>
      <c r="B173" s="35">
        <v>1797156.2136012074</v>
      </c>
    </row>
    <row r="174" spans="1:2">
      <c r="A174" s="31">
        <v>21723</v>
      </c>
      <c r="B174" s="35">
        <v>1815973.3413145898</v>
      </c>
    </row>
    <row r="175" spans="1:2">
      <c r="A175" s="31">
        <v>21724</v>
      </c>
      <c r="B175" s="35">
        <v>1791797.8913973838</v>
      </c>
    </row>
    <row r="176" spans="1:2">
      <c r="A176" s="31">
        <v>21725</v>
      </c>
      <c r="B176" s="35">
        <v>1829474.1468241487</v>
      </c>
    </row>
    <row r="177" spans="1:2">
      <c r="A177" s="31">
        <v>21726</v>
      </c>
      <c r="B177" s="35">
        <v>1837598.630129884</v>
      </c>
    </row>
    <row r="178" spans="1:2">
      <c r="A178" s="31">
        <v>21727</v>
      </c>
      <c r="B178" s="35">
        <v>1805208.6969069426</v>
      </c>
    </row>
    <row r="179" spans="1:2">
      <c r="A179" s="31">
        <v>21728</v>
      </c>
      <c r="B179" s="35">
        <v>1802522.535805031</v>
      </c>
    </row>
    <row r="180" spans="1:2">
      <c r="A180" s="31">
        <v>21729</v>
      </c>
      <c r="B180" s="35">
        <v>1807896.8580088543</v>
      </c>
    </row>
    <row r="181" spans="1:2">
      <c r="A181" s="31">
        <v>21730</v>
      </c>
      <c r="B181" s="35">
        <v>1807896.8580088543</v>
      </c>
    </row>
    <row r="182" spans="1:2">
      <c r="A182" s="31">
        <v>21731</v>
      </c>
      <c r="B182" s="35">
        <v>1759815.9581744422</v>
      </c>
    </row>
    <row r="183" spans="1:2">
      <c r="A183" s="31">
        <v>21732</v>
      </c>
      <c r="B183" s="35">
        <v>1802522.535805031</v>
      </c>
    </row>
    <row r="184" spans="1:2">
      <c r="A184" s="31">
        <v>21733</v>
      </c>
      <c r="B184" s="35">
        <v>1797156.2136012074</v>
      </c>
    </row>
    <row r="185" spans="1:2">
      <c r="A185" s="31">
        <v>21734</v>
      </c>
      <c r="B185" s="35">
        <v>1815973.3413145898</v>
      </c>
    </row>
    <row r="186" spans="1:2">
      <c r="A186" s="31">
        <v>21735</v>
      </c>
      <c r="B186" s="35">
        <v>1818669.5024165015</v>
      </c>
    </row>
    <row r="187" spans="1:2">
      <c r="A187" s="31">
        <v>21736</v>
      </c>
      <c r="B187" s="35">
        <v>1797156.2136012074</v>
      </c>
    </row>
    <row r="188" spans="1:2">
      <c r="A188" s="31">
        <v>21737</v>
      </c>
      <c r="B188" s="35">
        <v>1805208.6969069426</v>
      </c>
    </row>
    <row r="189" spans="1:2">
      <c r="A189" s="31">
        <v>21738</v>
      </c>
      <c r="B189" s="35">
        <v>1765126.2803782658</v>
      </c>
    </row>
    <row r="190" spans="1:2">
      <c r="A190" s="31">
        <v>21739</v>
      </c>
      <c r="B190" s="35">
        <v>1794476.0524992954</v>
      </c>
    </row>
    <row r="191" spans="1:2">
      <c r="A191" s="31">
        <v>21740</v>
      </c>
      <c r="B191" s="35">
        <v>1781105.2469897366</v>
      </c>
    </row>
    <row r="192" spans="1:2">
      <c r="A192" s="31">
        <v>21741</v>
      </c>
      <c r="B192" s="35">
        <v>1807896.8580088543</v>
      </c>
    </row>
    <row r="193" spans="1:2">
      <c r="A193" s="31">
        <v>21742</v>
      </c>
      <c r="B193" s="35">
        <v>1791797.8913973838</v>
      </c>
    </row>
    <row r="194" spans="1:2">
      <c r="A194" s="31">
        <v>21743</v>
      </c>
      <c r="B194" s="35">
        <v>1848459.2745375312</v>
      </c>
    </row>
    <row r="195" spans="1:2">
      <c r="A195" s="31">
        <v>21744</v>
      </c>
      <c r="B195" s="35">
        <v>1824067.8246203251</v>
      </c>
    </row>
    <row r="196" spans="1:2">
      <c r="A196" s="31">
        <v>21745</v>
      </c>
      <c r="B196" s="35">
        <v>1799838.374703119</v>
      </c>
    </row>
    <row r="197" spans="1:2">
      <c r="A197" s="31">
        <v>21746</v>
      </c>
      <c r="B197" s="35">
        <v>1807896.8580088543</v>
      </c>
    </row>
    <row r="198" spans="1:2">
      <c r="A198" s="31">
        <v>21747</v>
      </c>
      <c r="B198" s="35">
        <v>1805208.6969069426</v>
      </c>
    </row>
    <row r="199" spans="1:2">
      <c r="A199" s="31">
        <v>21748</v>
      </c>
      <c r="B199" s="35">
        <v>1821367.6635184134</v>
      </c>
    </row>
    <row r="200" spans="1:2">
      <c r="A200" s="31">
        <v>21749</v>
      </c>
      <c r="B200" s="35">
        <v>1797156.2136012074</v>
      </c>
    </row>
    <row r="201" spans="1:2">
      <c r="A201" s="31">
        <v>21750</v>
      </c>
      <c r="B201" s="35">
        <v>1797156.2136012074</v>
      </c>
    </row>
    <row r="202" spans="1:2">
      <c r="A202" s="31">
        <v>21751</v>
      </c>
      <c r="B202" s="35">
        <v>1797156.2136012074</v>
      </c>
    </row>
    <row r="203" spans="1:2">
      <c r="A203" s="31">
        <v>21752</v>
      </c>
      <c r="B203" s="35">
        <v>1791797.8913973838</v>
      </c>
    </row>
    <row r="204" spans="1:2">
      <c r="A204" s="31">
        <v>21753</v>
      </c>
      <c r="B204" s="35">
        <v>1815973.3413145898</v>
      </c>
    </row>
    <row r="205" spans="1:2">
      <c r="A205" s="31">
        <v>21754</v>
      </c>
      <c r="B205" s="35">
        <v>1805208.6969069426</v>
      </c>
    </row>
    <row r="206" spans="1:2">
      <c r="A206" s="31">
        <v>21755</v>
      </c>
      <c r="B206" s="35">
        <v>1824067.8246203251</v>
      </c>
    </row>
    <row r="207" spans="1:2">
      <c r="A207" s="31">
        <v>21756</v>
      </c>
      <c r="B207" s="35">
        <v>1821367.6635184134</v>
      </c>
    </row>
    <row r="208" spans="1:2">
      <c r="A208" s="31">
        <v>21757</v>
      </c>
      <c r="B208" s="35">
        <v>1813279.1802126779</v>
      </c>
    </row>
    <row r="209" spans="1:2">
      <c r="A209" s="31">
        <v>21758</v>
      </c>
      <c r="B209" s="35">
        <v>1797156.2136012074</v>
      </c>
    </row>
    <row r="210" spans="1:2">
      <c r="A210" s="31">
        <v>21759</v>
      </c>
      <c r="B210" s="35">
        <v>1802522.535805031</v>
      </c>
    </row>
    <row r="211" spans="1:2">
      <c r="A211" s="31">
        <v>21760</v>
      </c>
      <c r="B211" s="35">
        <v>1791797.8913973838</v>
      </c>
    </row>
    <row r="212" spans="1:2">
      <c r="A212" s="31">
        <v>21761</v>
      </c>
      <c r="B212" s="35">
        <v>1821367.6635184134</v>
      </c>
    </row>
    <row r="213" spans="1:2">
      <c r="A213" s="31">
        <v>21762</v>
      </c>
      <c r="B213" s="35">
        <v>1807896.8580088543</v>
      </c>
    </row>
    <row r="214" spans="1:2">
      <c r="A214" s="31">
        <v>21763</v>
      </c>
      <c r="B214" s="35">
        <v>1783775.4080916482</v>
      </c>
    </row>
    <row r="215" spans="1:2">
      <c r="A215" s="31">
        <v>21764</v>
      </c>
      <c r="B215" s="35">
        <v>1813279.1802126779</v>
      </c>
    </row>
    <row r="216" spans="1:2">
      <c r="A216" s="31">
        <v>21765</v>
      </c>
      <c r="B216" s="35">
        <v>1807896.8580088543</v>
      </c>
    </row>
    <row r="217" spans="1:2">
      <c r="A217" s="31">
        <v>21766</v>
      </c>
      <c r="B217" s="35">
        <v>1794476.0524992954</v>
      </c>
    </row>
    <row r="218" spans="1:2">
      <c r="A218" s="31">
        <v>21767</v>
      </c>
      <c r="B218" s="35">
        <v>1746575.1526648833</v>
      </c>
    </row>
    <row r="219" spans="1:2">
      <c r="A219" s="31">
        <v>21768</v>
      </c>
      <c r="B219" s="35">
        <v>1797156.2136012074</v>
      </c>
    </row>
    <row r="220" spans="1:2">
      <c r="A220" s="31">
        <v>21769</v>
      </c>
      <c r="B220" s="35">
        <v>1826769.985722237</v>
      </c>
    </row>
    <row r="221" spans="1:2">
      <c r="A221" s="31">
        <v>21770</v>
      </c>
      <c r="B221" s="35">
        <v>1815973.3413145898</v>
      </c>
    </row>
    <row r="222" spans="1:2">
      <c r="A222" s="31">
        <v>21771</v>
      </c>
      <c r="B222" s="35">
        <v>1799838.374703119</v>
      </c>
    </row>
    <row r="223" spans="1:2">
      <c r="A223" s="31">
        <v>21772</v>
      </c>
      <c r="B223" s="35">
        <v>1789121.7302954718</v>
      </c>
    </row>
    <row r="224" spans="1:2">
      <c r="A224" s="31">
        <v>21773</v>
      </c>
      <c r="B224" s="35">
        <v>1794476.0524992954</v>
      </c>
    </row>
    <row r="225" spans="1:2">
      <c r="A225" s="31">
        <v>21774</v>
      </c>
      <c r="B225" s="35">
        <v>1799838.374703119</v>
      </c>
    </row>
    <row r="226" spans="1:2">
      <c r="A226" s="31">
        <v>21775</v>
      </c>
      <c r="B226" s="35">
        <v>1818669.5024165015</v>
      </c>
    </row>
    <row r="227" spans="1:2">
      <c r="A227" s="31">
        <v>21776</v>
      </c>
      <c r="B227" s="35">
        <v>1813279.1802126779</v>
      </c>
    </row>
    <row r="228" spans="1:2">
      <c r="A228" s="31">
        <v>21777</v>
      </c>
      <c r="B228" s="35">
        <v>1799838.374703119</v>
      </c>
    </row>
    <row r="229" spans="1:2">
      <c r="A229" s="31">
        <v>21778</v>
      </c>
      <c r="B229" s="35">
        <v>1797156.2136012074</v>
      </c>
    </row>
    <row r="230" spans="1:2">
      <c r="A230" s="31">
        <v>21779</v>
      </c>
      <c r="B230" s="35">
        <v>1829474.1468241487</v>
      </c>
    </row>
    <row r="231" spans="1:2">
      <c r="A231" s="31">
        <v>21780</v>
      </c>
      <c r="B231" s="35">
        <v>1799838.374703119</v>
      </c>
    </row>
    <row r="232" spans="1:2">
      <c r="A232" s="31">
        <v>21781</v>
      </c>
      <c r="B232" s="35">
        <v>1815973.3413145898</v>
      </c>
    </row>
    <row r="233" spans="1:2">
      <c r="A233" s="31">
        <v>21782</v>
      </c>
      <c r="B233" s="35">
        <v>1794476.0524992954</v>
      </c>
    </row>
    <row r="234" spans="1:2">
      <c r="A234" s="31">
        <v>21783</v>
      </c>
      <c r="B234" s="35">
        <v>1794476.0524992954</v>
      </c>
    </row>
    <row r="235" spans="1:2">
      <c r="A235" s="31">
        <v>21784</v>
      </c>
      <c r="B235" s="35">
        <v>1810587.0191107662</v>
      </c>
    </row>
    <row r="236" spans="1:2">
      <c r="A236" s="31">
        <v>21785</v>
      </c>
      <c r="B236" s="35">
        <v>1813279.1802126779</v>
      </c>
    </row>
    <row r="237" spans="1:2">
      <c r="A237" s="31">
        <v>21786</v>
      </c>
      <c r="B237" s="35">
        <v>1799838.374703119</v>
      </c>
    </row>
    <row r="238" spans="1:2">
      <c r="A238" s="31">
        <v>21787</v>
      </c>
      <c r="B238" s="35">
        <v>1789121.7302954718</v>
      </c>
    </row>
    <row r="239" spans="1:2">
      <c r="A239" s="31">
        <v>21788</v>
      </c>
      <c r="B239" s="35">
        <v>1783775.4080916482</v>
      </c>
    </row>
    <row r="240" spans="1:2">
      <c r="A240" s="31">
        <v>21789</v>
      </c>
      <c r="B240" s="35">
        <v>1807896.8580088543</v>
      </c>
    </row>
    <row r="241" spans="1:2">
      <c r="A241" s="31">
        <v>21790</v>
      </c>
      <c r="B241" s="35">
        <v>1805208.6969069426</v>
      </c>
    </row>
    <row r="242" spans="1:2">
      <c r="A242" s="31">
        <v>21791</v>
      </c>
      <c r="B242" s="35">
        <v>1781105.2469897366</v>
      </c>
    </row>
    <row r="243" spans="1:2">
      <c r="A243" s="31">
        <v>21792</v>
      </c>
      <c r="B243" s="35">
        <v>1807896.8580088543</v>
      </c>
    </row>
    <row r="244" spans="1:2">
      <c r="A244" s="31">
        <v>21793</v>
      </c>
      <c r="B244" s="35">
        <v>1799838.374703119</v>
      </c>
    </row>
    <row r="245" spans="1:2">
      <c r="A245" s="31">
        <v>21794</v>
      </c>
      <c r="B245" s="35">
        <v>1815973.3413145898</v>
      </c>
    </row>
    <row r="246" spans="1:2">
      <c r="A246" s="31">
        <v>21795</v>
      </c>
      <c r="B246" s="35">
        <v>1736018.5082572361</v>
      </c>
    </row>
    <row r="247" spans="1:2">
      <c r="A247" s="31">
        <v>21796</v>
      </c>
      <c r="B247" s="35">
        <v>1810587.0191107662</v>
      </c>
    </row>
    <row r="248" spans="1:2">
      <c r="A248" s="31">
        <v>21797</v>
      </c>
      <c r="B248" s="35">
        <v>1805208.6969069426</v>
      </c>
    </row>
    <row r="249" spans="1:2">
      <c r="A249" s="31">
        <v>21798</v>
      </c>
      <c r="B249" s="35">
        <v>1781105.2469897366</v>
      </c>
    </row>
    <row r="250" spans="1:2">
      <c r="A250" s="31">
        <v>21799</v>
      </c>
      <c r="B250" s="35">
        <v>1799838.374703119</v>
      </c>
    </row>
    <row r="251" spans="1:2">
      <c r="A251" s="31">
        <v>21800</v>
      </c>
      <c r="B251" s="35">
        <v>1797156.2136012074</v>
      </c>
    </row>
    <row r="252" spans="1:2">
      <c r="A252" s="31">
        <v>21801</v>
      </c>
      <c r="B252" s="35">
        <v>1821367.6635184134</v>
      </c>
    </row>
    <row r="253" spans="1:2">
      <c r="A253" s="31">
        <v>21802</v>
      </c>
      <c r="B253" s="35">
        <v>1765126.2803782658</v>
      </c>
    </row>
    <row r="254" spans="1:2">
      <c r="A254" s="31">
        <v>21803</v>
      </c>
      <c r="B254" s="35">
        <v>1799838.374703119</v>
      </c>
    </row>
    <row r="255" spans="1:2">
      <c r="A255" s="31">
        <v>21804</v>
      </c>
      <c r="B255" s="35">
        <v>1805208.6969069426</v>
      </c>
    </row>
    <row r="256" spans="1:2">
      <c r="A256" s="31">
        <v>21805</v>
      </c>
      <c r="B256" s="35">
        <v>1775770.924785913</v>
      </c>
    </row>
    <row r="257" spans="1:2">
      <c r="A257" s="31">
        <v>21806</v>
      </c>
      <c r="B257" s="35">
        <v>1805208.6969069426</v>
      </c>
    </row>
    <row r="258" spans="1:2">
      <c r="A258" s="31">
        <v>21807</v>
      </c>
      <c r="B258" s="35">
        <v>1826769.985722237</v>
      </c>
    </row>
    <row r="259" spans="1:2">
      <c r="A259" s="31">
        <v>21808</v>
      </c>
      <c r="B259" s="35">
        <v>1810587.0191107662</v>
      </c>
    </row>
    <row r="260" spans="1:2">
      <c r="A260" s="31">
        <v>21809</v>
      </c>
      <c r="B260" s="35">
        <v>1767784.4414801777</v>
      </c>
    </row>
    <row r="261" spans="1:2">
      <c r="A261" s="31">
        <v>21810</v>
      </c>
      <c r="B261" s="35">
        <v>1799838.374703119</v>
      </c>
    </row>
    <row r="262" spans="1:2">
      <c r="A262" s="31">
        <v>21811</v>
      </c>
      <c r="B262" s="35">
        <v>1775770.924785913</v>
      </c>
    </row>
    <row r="263" spans="1:2">
      <c r="A263" s="31">
        <v>21812</v>
      </c>
      <c r="B263" s="35">
        <v>1770444.6025820894</v>
      </c>
    </row>
    <row r="264" spans="1:2">
      <c r="A264" s="31">
        <v>21813</v>
      </c>
      <c r="B264" s="35">
        <v>1813279.1802126779</v>
      </c>
    </row>
    <row r="265" spans="1:2">
      <c r="A265" s="31">
        <v>21814</v>
      </c>
      <c r="B265" s="35">
        <v>1759815.9581744422</v>
      </c>
    </row>
    <row r="266" spans="1:2">
      <c r="A266" s="31">
        <v>21815</v>
      </c>
      <c r="B266" s="35">
        <v>1770444.6025820894</v>
      </c>
    </row>
    <row r="267" spans="1:2">
      <c r="A267" s="31">
        <v>21816</v>
      </c>
      <c r="B267" s="35">
        <v>1722867.7027476772</v>
      </c>
    </row>
    <row r="268" spans="1:2">
      <c r="A268" s="31">
        <v>21817</v>
      </c>
      <c r="B268" s="35">
        <v>1770444.6025820894</v>
      </c>
    </row>
    <row r="269" spans="1:2">
      <c r="A269" s="31">
        <v>21818</v>
      </c>
      <c r="B269" s="35">
        <v>1799838.374703119</v>
      </c>
    </row>
    <row r="270" spans="1:2">
      <c r="A270" s="31">
        <v>21819</v>
      </c>
      <c r="B270" s="35">
        <v>1802522.535805031</v>
      </c>
    </row>
    <row r="271" spans="1:2">
      <c r="A271" s="31">
        <v>21820</v>
      </c>
      <c r="B271" s="35">
        <v>1810587.0191107662</v>
      </c>
    </row>
    <row r="272" spans="1:2">
      <c r="A272" s="31">
        <v>21821</v>
      </c>
      <c r="B272" s="35">
        <v>1791797.8913973838</v>
      </c>
    </row>
    <row r="273" spans="1:2">
      <c r="A273" s="31">
        <v>21822</v>
      </c>
      <c r="B273" s="35">
        <v>1781105.2469897366</v>
      </c>
    </row>
    <row r="274" spans="1:2">
      <c r="A274" s="31">
        <v>21823</v>
      </c>
      <c r="B274" s="35">
        <v>1767784.4414801777</v>
      </c>
    </row>
    <row r="275" spans="1:2">
      <c r="A275" s="31">
        <v>21824</v>
      </c>
      <c r="B275" s="35">
        <v>1786447.5691935602</v>
      </c>
    </row>
    <row r="276" spans="1:2">
      <c r="A276" s="31">
        <v>21825</v>
      </c>
      <c r="B276" s="35">
        <v>1773106.7636840013</v>
      </c>
    </row>
    <row r="277" spans="1:2">
      <c r="A277" s="31">
        <v>21826</v>
      </c>
      <c r="B277" s="35">
        <v>1767784.4414801777</v>
      </c>
    </row>
    <row r="278" spans="1:2">
      <c r="A278" s="31">
        <v>21827</v>
      </c>
      <c r="B278" s="35">
        <v>1791797.8913973838</v>
      </c>
    </row>
    <row r="279" spans="1:2">
      <c r="A279" s="31">
        <v>21828</v>
      </c>
      <c r="B279" s="35">
        <v>1799838.374703119</v>
      </c>
    </row>
    <row r="280" spans="1:2">
      <c r="A280" s="31">
        <v>21829</v>
      </c>
      <c r="B280" s="35">
        <v>1802522.535805031</v>
      </c>
    </row>
    <row r="281" spans="1:2">
      <c r="A281" s="31">
        <v>21830</v>
      </c>
      <c r="B281" s="35">
        <v>1805208.6969069426</v>
      </c>
    </row>
    <row r="282" spans="1:2">
      <c r="A282" s="31">
        <v>21831</v>
      </c>
      <c r="B282" s="35">
        <v>1797156.2136012074</v>
      </c>
    </row>
    <row r="283" spans="1:2">
      <c r="A283" s="31">
        <v>21832</v>
      </c>
      <c r="B283" s="35">
        <v>1783775.4080916482</v>
      </c>
    </row>
    <row r="284" spans="1:2">
      <c r="A284" s="31">
        <v>21833</v>
      </c>
      <c r="B284" s="35">
        <v>1789121.7302954718</v>
      </c>
    </row>
    <row r="285" spans="1:2">
      <c r="A285" s="31">
        <v>21834</v>
      </c>
      <c r="B285" s="35">
        <v>1802522.535805031</v>
      </c>
    </row>
    <row r="286" spans="1:2">
      <c r="A286" s="31">
        <v>21835</v>
      </c>
      <c r="B286" s="35">
        <v>1810587.0191107662</v>
      </c>
    </row>
    <row r="287" spans="1:2">
      <c r="A287" s="31">
        <v>21836</v>
      </c>
      <c r="B287" s="35">
        <v>1759815.9581744422</v>
      </c>
    </row>
    <row r="288" spans="1:2">
      <c r="A288" s="31">
        <v>21837</v>
      </c>
      <c r="B288" s="35">
        <v>1807896.8580088543</v>
      </c>
    </row>
    <row r="289" spans="1:2">
      <c r="A289" s="31">
        <v>21838</v>
      </c>
      <c r="B289" s="35">
        <v>1805208.6969069426</v>
      </c>
    </row>
    <row r="290" spans="1:2">
      <c r="A290" s="31">
        <v>21839</v>
      </c>
      <c r="B290" s="35">
        <v>1781105.2469897366</v>
      </c>
    </row>
    <row r="291" spans="1:2">
      <c r="A291" s="31">
        <v>21840</v>
      </c>
      <c r="B291" s="35">
        <v>1786447.5691935602</v>
      </c>
    </row>
    <row r="292" spans="1:2">
      <c r="A292" s="31">
        <v>21841</v>
      </c>
      <c r="B292" s="35">
        <v>1797156.2136012074</v>
      </c>
    </row>
    <row r="293" spans="1:2">
      <c r="A293" s="31">
        <v>21842</v>
      </c>
      <c r="B293" s="35">
        <v>1802522.535805031</v>
      </c>
    </row>
    <row r="294" spans="1:2">
      <c r="A294" s="31">
        <v>21843</v>
      </c>
      <c r="B294" s="35">
        <v>1805208.6969069426</v>
      </c>
    </row>
    <row r="295" spans="1:2">
      <c r="A295" s="31">
        <v>21844</v>
      </c>
      <c r="B295" s="35">
        <v>1815973.3413145898</v>
      </c>
    </row>
    <row r="296" spans="1:2">
      <c r="A296" s="31">
        <v>21845</v>
      </c>
      <c r="B296" s="35">
        <v>1791797.8913973838</v>
      </c>
    </row>
    <row r="297" spans="1:2">
      <c r="A297" s="31">
        <v>21846</v>
      </c>
      <c r="B297" s="35">
        <v>1815973.3413145898</v>
      </c>
    </row>
    <row r="298" spans="1:2">
      <c r="A298" s="31">
        <v>21847</v>
      </c>
      <c r="B298" s="35">
        <v>1821367.6635184134</v>
      </c>
    </row>
    <row r="299" spans="1:2">
      <c r="A299" s="31">
        <v>21848</v>
      </c>
      <c r="B299" s="35">
        <v>1805208.6969069426</v>
      </c>
    </row>
    <row r="300" spans="1:2">
      <c r="A300" s="31">
        <v>21849</v>
      </c>
      <c r="B300" s="35">
        <v>1824067.8246203251</v>
      </c>
    </row>
    <row r="301" spans="1:2">
      <c r="A301" s="31">
        <v>21850</v>
      </c>
      <c r="B301" s="35">
        <v>1843024.9523337076</v>
      </c>
    </row>
    <row r="302" spans="1:2">
      <c r="A302" s="31">
        <v>21851</v>
      </c>
      <c r="B302" s="35">
        <v>1799838.374703119</v>
      </c>
    </row>
    <row r="303" spans="1:2">
      <c r="A303" s="31">
        <v>21852</v>
      </c>
      <c r="B303" s="35">
        <v>1821367.6635184134</v>
      </c>
    </row>
    <row r="304" spans="1:2">
      <c r="A304" s="31">
        <v>21853</v>
      </c>
      <c r="B304" s="35">
        <v>1797156.2136012074</v>
      </c>
    </row>
    <row r="305" spans="1:2">
      <c r="A305" s="31">
        <v>21854</v>
      </c>
      <c r="B305" s="35">
        <v>1794476.0524992954</v>
      </c>
    </row>
    <row r="306" spans="1:2">
      <c r="A306" s="31">
        <v>21855</v>
      </c>
      <c r="B306" s="35">
        <v>1789121.7302954718</v>
      </c>
    </row>
    <row r="307" spans="1:2">
      <c r="A307" s="31">
        <v>21856</v>
      </c>
      <c r="B307" s="35">
        <v>1786447.5691935602</v>
      </c>
    </row>
    <row r="308" spans="1:2">
      <c r="A308" s="31">
        <v>21857</v>
      </c>
      <c r="B308" s="35">
        <v>1802522.535805031</v>
      </c>
    </row>
    <row r="309" spans="1:2">
      <c r="A309" s="31">
        <v>21858</v>
      </c>
      <c r="B309" s="35">
        <v>1805208.6969069426</v>
      </c>
    </row>
    <row r="310" spans="1:2">
      <c r="A310" s="31">
        <v>21859</v>
      </c>
      <c r="B310" s="35">
        <v>1759815.9581744422</v>
      </c>
    </row>
    <row r="311" spans="1:2">
      <c r="A311" s="31">
        <v>21860</v>
      </c>
      <c r="B311" s="35">
        <v>1797156.2136012074</v>
      </c>
    </row>
    <row r="312" spans="1:2">
      <c r="A312" s="31">
        <v>21861</v>
      </c>
      <c r="B312" s="35">
        <v>1778437.0858878247</v>
      </c>
    </row>
    <row r="313" spans="1:2">
      <c r="A313" s="31">
        <v>21862</v>
      </c>
      <c r="B313" s="35">
        <v>1794476.0524992954</v>
      </c>
    </row>
    <row r="314" spans="1:2">
      <c r="A314" s="31">
        <v>21863</v>
      </c>
      <c r="B314" s="35">
        <v>1805208.6969069426</v>
      </c>
    </row>
    <row r="315" spans="1:2">
      <c r="A315" s="31">
        <v>21864</v>
      </c>
      <c r="B315" s="35">
        <v>1810587.0191107662</v>
      </c>
    </row>
    <row r="316" spans="1:2">
      <c r="A316" s="31">
        <v>21865</v>
      </c>
      <c r="B316" s="35">
        <v>1810587.0191107662</v>
      </c>
    </row>
    <row r="317" spans="1:2">
      <c r="A317" s="31">
        <v>21866</v>
      </c>
      <c r="B317" s="35">
        <v>1797156.2136012074</v>
      </c>
    </row>
    <row r="318" spans="1:2">
      <c r="A318" s="31">
        <v>21867</v>
      </c>
      <c r="B318" s="35">
        <v>1824067.8246203251</v>
      </c>
    </row>
    <row r="319" spans="1:2">
      <c r="A319" s="31">
        <v>21868</v>
      </c>
      <c r="B319" s="35">
        <v>1824067.8246203251</v>
      </c>
    </row>
    <row r="320" spans="1:2">
      <c r="A320" s="31">
        <v>21869</v>
      </c>
      <c r="B320" s="35">
        <v>1810587.0191107662</v>
      </c>
    </row>
    <row r="321" spans="1:2">
      <c r="A321" s="31">
        <v>21870</v>
      </c>
      <c r="B321" s="35">
        <v>1813279.1802126779</v>
      </c>
    </row>
    <row r="322" spans="1:2">
      <c r="A322" s="31">
        <v>21871</v>
      </c>
      <c r="B322" s="35">
        <v>1829474.1468241487</v>
      </c>
    </row>
    <row r="323" spans="1:2">
      <c r="A323" s="31">
        <v>21872</v>
      </c>
      <c r="B323" s="35">
        <v>1805208.6969069426</v>
      </c>
    </row>
    <row r="324" spans="1:2">
      <c r="A324" s="31">
        <v>21873</v>
      </c>
      <c r="B324" s="35">
        <v>1791797.8913973838</v>
      </c>
    </row>
    <row r="325" spans="1:2">
      <c r="A325" s="31">
        <v>21874</v>
      </c>
      <c r="B325" s="35">
        <v>1781105.2469897366</v>
      </c>
    </row>
    <row r="326" spans="1:2">
      <c r="A326" s="31">
        <v>21875</v>
      </c>
      <c r="B326" s="35">
        <v>1799838.374703119</v>
      </c>
    </row>
    <row r="327" spans="1:2">
      <c r="A327" s="31">
        <v>21876</v>
      </c>
      <c r="B327" s="35">
        <v>1810587.0191107662</v>
      </c>
    </row>
    <row r="328" spans="1:2">
      <c r="A328" s="31">
        <v>21877</v>
      </c>
      <c r="B328" s="35">
        <v>1765126.2803782658</v>
      </c>
    </row>
    <row r="329" spans="1:2">
      <c r="A329" s="31">
        <v>21878</v>
      </c>
      <c r="B329" s="35">
        <v>1786447.5691935602</v>
      </c>
    </row>
    <row r="330" spans="1:2">
      <c r="A330" s="31">
        <v>21879</v>
      </c>
      <c r="B330" s="35">
        <v>1797156.2136012074</v>
      </c>
    </row>
    <row r="331" spans="1:2">
      <c r="A331" s="31">
        <v>21880</v>
      </c>
      <c r="B331" s="35">
        <v>1786447.5691935602</v>
      </c>
    </row>
    <row r="332" spans="1:2">
      <c r="A332" s="31">
        <v>21881</v>
      </c>
      <c r="B332" s="35">
        <v>1781105.2469897366</v>
      </c>
    </row>
    <row r="333" spans="1:2">
      <c r="A333" s="31">
        <v>21882</v>
      </c>
      <c r="B333" s="35">
        <v>1794476.0524992954</v>
      </c>
    </row>
    <row r="334" spans="1:2">
      <c r="A334" s="31">
        <v>21883</v>
      </c>
      <c r="B334" s="35">
        <v>1799838.374703119</v>
      </c>
    </row>
    <row r="335" spans="1:2">
      <c r="A335" s="31">
        <v>21884</v>
      </c>
      <c r="B335" s="35">
        <v>1778437.0858878247</v>
      </c>
    </row>
    <row r="336" spans="1:2">
      <c r="A336" s="31">
        <v>21885</v>
      </c>
      <c r="B336" s="35">
        <v>1797156.2136012074</v>
      </c>
    </row>
    <row r="337" spans="1:2">
      <c r="A337" s="31">
        <v>21886</v>
      </c>
      <c r="B337" s="35">
        <v>1832180.3079260604</v>
      </c>
    </row>
    <row r="338" spans="1:2">
      <c r="A338" s="31">
        <v>21887</v>
      </c>
      <c r="B338" s="35">
        <v>1794476.0524992954</v>
      </c>
    </row>
    <row r="339" spans="1:2">
      <c r="A339" s="31">
        <v>21888</v>
      </c>
      <c r="B339" s="35">
        <v>1807896.8580088543</v>
      </c>
    </row>
    <row r="340" spans="1:2">
      <c r="A340" s="31">
        <v>21889</v>
      </c>
      <c r="B340" s="35">
        <v>1826769.985722237</v>
      </c>
    </row>
    <row r="341" spans="1:2">
      <c r="A341" s="31">
        <v>21890</v>
      </c>
      <c r="B341" s="35">
        <v>1829474.1468241487</v>
      </c>
    </row>
    <row r="342" spans="1:2">
      <c r="A342" s="31">
        <v>21891</v>
      </c>
      <c r="B342" s="35">
        <v>1821367.6635184134</v>
      </c>
    </row>
    <row r="343" spans="1:2">
      <c r="A343" s="31">
        <v>21892</v>
      </c>
      <c r="B343" s="35">
        <v>1786447.5691935602</v>
      </c>
    </row>
    <row r="344" spans="1:2">
      <c r="A344" s="31">
        <v>21893</v>
      </c>
      <c r="B344" s="35">
        <v>1802522.535805031</v>
      </c>
    </row>
    <row r="345" spans="1:2">
      <c r="A345" s="31">
        <v>21894</v>
      </c>
      <c r="B345" s="35">
        <v>1802522.535805031</v>
      </c>
    </row>
    <row r="346" spans="1:2">
      <c r="A346" s="31">
        <v>21895</v>
      </c>
      <c r="B346" s="35">
        <v>1826769.985722237</v>
      </c>
    </row>
    <row r="347" spans="1:2">
      <c r="A347" s="31">
        <v>21896</v>
      </c>
      <c r="B347" s="35">
        <v>1813279.1802126779</v>
      </c>
    </row>
    <row r="348" spans="1:2">
      <c r="A348" s="31">
        <v>21897</v>
      </c>
      <c r="B348" s="35">
        <v>1824067.8246203251</v>
      </c>
    </row>
    <row r="349" spans="1:2">
      <c r="A349" s="31">
        <v>21898</v>
      </c>
      <c r="B349" s="35">
        <v>1778437.0858878247</v>
      </c>
    </row>
    <row r="350" spans="1:2">
      <c r="A350" s="31">
        <v>21899</v>
      </c>
      <c r="B350" s="35">
        <v>1791797.8913973838</v>
      </c>
    </row>
    <row r="351" spans="1:2">
      <c r="A351" s="31">
        <v>21900</v>
      </c>
      <c r="B351" s="35">
        <v>1778437.0858878247</v>
      </c>
    </row>
    <row r="352" spans="1:2">
      <c r="A352" s="31">
        <v>21901</v>
      </c>
      <c r="B352" s="35">
        <v>1813279.1802126779</v>
      </c>
    </row>
    <row r="353" spans="1:5">
      <c r="A353" s="31">
        <v>21902</v>
      </c>
      <c r="B353" s="35">
        <v>1810587.0191107662</v>
      </c>
    </row>
    <row r="354" spans="1:5">
      <c r="A354" s="31">
        <v>21903</v>
      </c>
      <c r="B354" s="35">
        <v>1805208.6969069426</v>
      </c>
    </row>
    <row r="355" spans="1:5">
      <c r="A355" s="31">
        <v>21904</v>
      </c>
      <c r="B355" s="35">
        <v>1805208.6969069426</v>
      </c>
    </row>
    <row r="356" spans="1:5">
      <c r="A356" s="31">
        <v>21905</v>
      </c>
      <c r="B356" s="35">
        <v>1775770.924785913</v>
      </c>
    </row>
    <row r="357" spans="1:5">
      <c r="A357" s="31">
        <v>21906</v>
      </c>
      <c r="B357" s="35">
        <v>1813279.1802126779</v>
      </c>
    </row>
    <row r="358" spans="1:5">
      <c r="A358" s="31">
        <v>21907</v>
      </c>
      <c r="B358" s="35">
        <v>1810587.0191107662</v>
      </c>
    </row>
    <row r="359" spans="1:5">
      <c r="A359" s="31">
        <v>21908</v>
      </c>
      <c r="B359" s="35">
        <v>1815973.3413145898</v>
      </c>
    </row>
    <row r="360" spans="1:5">
      <c r="A360" s="31">
        <v>21909</v>
      </c>
      <c r="B360" s="35">
        <v>1799838.374703119</v>
      </c>
    </row>
    <row r="361" spans="1:5">
      <c r="A361" s="31">
        <v>21910</v>
      </c>
      <c r="B361" s="35">
        <v>1826769.985722237</v>
      </c>
    </row>
    <row r="362" spans="1:5">
      <c r="A362" s="31">
        <v>21911</v>
      </c>
      <c r="B362" s="35">
        <v>1818669.5024165015</v>
      </c>
    </row>
    <row r="363" spans="1:5">
      <c r="A363" s="31">
        <v>21912</v>
      </c>
      <c r="B363" s="35">
        <v>1778437.0858878247</v>
      </c>
    </row>
    <row r="364" spans="1:5">
      <c r="A364" s="31">
        <v>21913</v>
      </c>
      <c r="B364" s="35">
        <v>1789121.7302954718</v>
      </c>
    </row>
    <row r="365" spans="1:5">
      <c r="A365" s="31">
        <v>21914</v>
      </c>
      <c r="B365" s="35">
        <v>1770444.6025820894</v>
      </c>
    </row>
    <row r="366" spans="1:5">
      <c r="A366" s="31">
        <v>21915</v>
      </c>
      <c r="B366" s="35">
        <v>1783775.4080916482</v>
      </c>
      <c r="C366" s="35">
        <v>1783775.4080916482</v>
      </c>
      <c r="D366" s="35">
        <v>1783775.4080916482</v>
      </c>
      <c r="E366" s="35">
        <v>1783775.4080916482</v>
      </c>
    </row>
    <row r="367" spans="1:5">
      <c r="A367" s="31">
        <v>21916</v>
      </c>
      <c r="C367" s="35">
        <f>_xlfn.FORECAST.ETS(A367,$B$2:$B$366,$A$2:$A$366,1,1)</f>
        <v>1791629.7504950061</v>
      </c>
      <c r="D367" s="35">
        <f>C367-_xlfn.FORECAST.ETS.CONFINT(A367,$B$2:$B$366,$A$2:$A$366,0.95,1,1)</f>
        <v>1752267.3715748724</v>
      </c>
      <c r="E367" s="35">
        <f>C367+_xlfn.FORECAST.ETS.CONFINT(A367,$B$2:$B$366,$A$2:$A$366,0.95,1,1)</f>
        <v>1830992.1294151398</v>
      </c>
    </row>
    <row r="368" spans="1:5">
      <c r="A368" s="31">
        <v>21917</v>
      </c>
      <c r="C368" s="35">
        <f>_xlfn.FORECAST.ETS(A368,$B$2:$B$366,$A$2:$A$366,1,1)</f>
        <v>1798458.6635411927</v>
      </c>
      <c r="D368" s="35">
        <f>C368-_xlfn.FORECAST.ETS.CONFINT(A368,$B$2:$B$366,$A$2:$A$366,0.95,1,1)</f>
        <v>1757865.6866442626</v>
      </c>
      <c r="E368" s="35">
        <f>C368+_xlfn.FORECAST.ETS.CONFINT(A368,$B$2:$B$366,$A$2:$A$366,0.95,1,1)</f>
        <v>1839051.6404381227</v>
      </c>
    </row>
    <row r="369" spans="1:5">
      <c r="A369" s="31">
        <v>21918</v>
      </c>
      <c r="C369" s="35">
        <f>_xlfn.FORECAST.ETS(A369,$B$2:$B$366,$A$2:$A$366,1,1)</f>
        <v>1797798.9713877495</v>
      </c>
      <c r="D369" s="35">
        <f>C369-_xlfn.FORECAST.ETS.CONFINT(A369,$B$2:$B$366,$A$2:$A$366,0.95,1,1)</f>
        <v>1756002.259580734</v>
      </c>
      <c r="E369" s="35">
        <f>C369+_xlfn.FORECAST.ETS.CONFINT(A369,$B$2:$B$366,$A$2:$A$366,0.95,1,1)</f>
        <v>1839595.6831947651</v>
      </c>
    </row>
    <row r="370" spans="1:5">
      <c r="A370" s="31">
        <v>21919</v>
      </c>
      <c r="C370" s="35">
        <f>_xlfn.FORECAST.ETS(A370,$B$2:$B$366,$A$2:$A$366,1,1)</f>
        <v>1770649.3409526986</v>
      </c>
      <c r="D370" s="35">
        <f>C370-_xlfn.FORECAST.ETS.CONFINT(A370,$B$2:$B$366,$A$2:$A$366,0.95,1,1)</f>
        <v>1727673.4639212992</v>
      </c>
      <c r="E370" s="35">
        <f>C370+_xlfn.FORECAST.ETS.CONFINT(A370,$B$2:$B$366,$A$2:$A$366,0.95,1,1)</f>
        <v>1813625.217984098</v>
      </c>
    </row>
    <row r="371" spans="1:5">
      <c r="A371" s="31">
        <v>21920</v>
      </c>
      <c r="C371" s="35">
        <f>_xlfn.FORECAST.ETS(A371,$B$2:$B$366,$A$2:$A$366,1,1)</f>
        <v>1785477.2255719954</v>
      </c>
      <c r="D371" s="35">
        <f>C371-_xlfn.FORECAST.ETS.CONFINT(A371,$B$2:$B$366,$A$2:$A$366,0.95,1,1)</f>
        <v>1741344.7484336542</v>
      </c>
      <c r="E371" s="35">
        <f>C371+_xlfn.FORECAST.ETS.CONFINT(A371,$B$2:$B$366,$A$2:$A$366,0.95,1,1)</f>
        <v>1829609.7027103365</v>
      </c>
    </row>
    <row r="372" spans="1:5">
      <c r="A372" s="31">
        <v>21921</v>
      </c>
      <c r="C372" s="35">
        <f>_xlfn.FORECAST.ETS(A372,$B$2:$B$366,$A$2:$A$366,1,1)</f>
        <v>1782928.3099264696</v>
      </c>
      <c r="D372" s="35">
        <f>C372-_xlfn.FORECAST.ETS.CONFINT(A372,$B$2:$B$366,$A$2:$A$366,0.95,1,1)</f>
        <v>1737660.0339275186</v>
      </c>
      <c r="E372" s="35">
        <f>C372+_xlfn.FORECAST.ETS.CONFINT(A372,$B$2:$B$366,$A$2:$A$366,0.95,1,1)</f>
        <v>1828196.5859254205</v>
      </c>
    </row>
    <row r="373" spans="1:5">
      <c r="A373" s="31">
        <v>21922</v>
      </c>
      <c r="C373" s="35">
        <f>_xlfn.FORECAST.ETS(A373,$B$2:$B$366,$A$2:$A$366,1,1)</f>
        <v>1788945.737914307</v>
      </c>
      <c r="D373" s="35">
        <f>C373-_xlfn.FORECAST.ETS.CONFINT(A373,$B$2:$B$366,$A$2:$A$366,0.95,1,1)</f>
        <v>1742560.9028271292</v>
      </c>
      <c r="E373" s="35">
        <f>C373+_xlfn.FORECAST.ETS.CONFINT(A373,$B$2:$B$366,$A$2:$A$366,0.95,1,1)</f>
        <v>1835330.5730014849</v>
      </c>
    </row>
    <row r="374" spans="1:5">
      <c r="A374" s="31">
        <v>21923</v>
      </c>
      <c r="C374" s="35">
        <f>_xlfn.FORECAST.ETS(A374,$B$2:$B$366,$A$2:$A$366,1,1)</f>
        <v>1790901.6757095531</v>
      </c>
      <c r="D374" s="35">
        <f>C374-_xlfn.FORECAST.ETS.CONFINT(A374,$B$2:$B$366,$A$2:$A$366,0.95,1,1)</f>
        <v>1740390.3256877835</v>
      </c>
      <c r="E374" s="35">
        <f>C374+_xlfn.FORECAST.ETS.CONFINT(A374,$B$2:$B$366,$A$2:$A$366,0.95,1,1)</f>
        <v>1841413.0257313226</v>
      </c>
    </row>
    <row r="375" spans="1:5">
      <c r="A375" s="31">
        <v>21924</v>
      </c>
      <c r="C375" s="35">
        <f>_xlfn.FORECAST.ETS(A375,$B$2:$B$366,$A$2:$A$366,1,1)</f>
        <v>1797730.5887557396</v>
      </c>
      <c r="D375" s="35">
        <f>C375-_xlfn.FORECAST.ETS.CONFINT(A375,$B$2:$B$366,$A$2:$A$366,0.95,1,1)</f>
        <v>1746200.679258988</v>
      </c>
      <c r="E375" s="35">
        <f>C375+_xlfn.FORECAST.ETS.CONFINT(A375,$B$2:$B$366,$A$2:$A$366,0.95,1,1)</f>
        <v>1849260.4982524912</v>
      </c>
    </row>
    <row r="376" spans="1:5">
      <c r="A376" s="31">
        <v>21925</v>
      </c>
      <c r="C376" s="35">
        <f>_xlfn.FORECAST.ETS(A376,$B$2:$B$366,$A$2:$A$366,1,1)</f>
        <v>1797070.8966022965</v>
      </c>
      <c r="D376" s="35">
        <f>C376-_xlfn.FORECAST.ETS.CONFINT(A376,$B$2:$B$366,$A$2:$A$366,0.95,1,1)</f>
        <v>1744534.5206191468</v>
      </c>
      <c r="E376" s="35">
        <f>C376+_xlfn.FORECAST.ETS.CONFINT(A376,$B$2:$B$366,$A$2:$A$366,0.95,1,1)</f>
        <v>1849607.2725854462</v>
      </c>
    </row>
    <row r="377" spans="1:5">
      <c r="A377" s="31">
        <v>21926</v>
      </c>
      <c r="C377" s="35">
        <f>_xlfn.FORECAST.ETS(A377,$B$2:$B$366,$A$2:$A$366,1,1)</f>
        <v>1769921.2661672456</v>
      </c>
      <c r="D377" s="35">
        <f>C377-_xlfn.FORECAST.ETS.CONFINT(A377,$B$2:$B$366,$A$2:$A$366,0.95,1,1)</f>
        <v>1716389.8056424868</v>
      </c>
      <c r="E377" s="35">
        <f>C377+_xlfn.FORECAST.ETS.CONFINT(A377,$B$2:$B$366,$A$2:$A$366,0.95,1,1)</f>
        <v>1823452.7266920044</v>
      </c>
    </row>
    <row r="378" spans="1:5">
      <c r="A378" s="31">
        <v>21927</v>
      </c>
      <c r="C378" s="35">
        <f>_xlfn.FORECAST.ETS(A378,$B$2:$B$366,$A$2:$A$366,1,1)</f>
        <v>1784749.1507865421</v>
      </c>
      <c r="D378" s="35">
        <f>C378-_xlfn.FORECAST.ETS.CONFINT(A378,$B$2:$B$366,$A$2:$A$366,0.95,1,1)</f>
        <v>1730233.3359714816</v>
      </c>
      <c r="E378" s="35">
        <f>C378+_xlfn.FORECAST.ETS.CONFINT(A378,$B$2:$B$366,$A$2:$A$366,0.95,1,1)</f>
        <v>1839264.9656016026</v>
      </c>
    </row>
    <row r="379" spans="1:5">
      <c r="A379" s="31">
        <v>21928</v>
      </c>
      <c r="C379" s="35">
        <f>_xlfn.FORECAST.ETS(A379,$B$2:$B$366,$A$2:$A$366,1,1)</f>
        <v>1782200.2351410163</v>
      </c>
      <c r="D379" s="35">
        <f>C379-_xlfn.FORECAST.ETS.CONFINT(A379,$B$2:$B$366,$A$2:$A$366,0.95,1,1)</f>
        <v>1726710.1973202946</v>
      </c>
      <c r="E379" s="35">
        <f>C379+_xlfn.FORECAST.ETS.CONFINT(A379,$B$2:$B$366,$A$2:$A$366,0.95,1,1)</f>
        <v>1837690.2729617381</v>
      </c>
    </row>
    <row r="380" spans="1:5">
      <c r="A380" s="31">
        <v>21929</v>
      </c>
      <c r="C380" s="35">
        <f>_xlfn.FORECAST.ETS(A380,$B$2:$B$366,$A$2:$A$366,1,1)</f>
        <v>1788217.663128854</v>
      </c>
      <c r="D380" s="35">
        <f>C380-_xlfn.FORECAST.ETS.CONFINT(A380,$B$2:$B$366,$A$2:$A$366,0.95,1,1)</f>
        <v>1731762.9816410181</v>
      </c>
      <c r="E380" s="35">
        <f>C380+_xlfn.FORECAST.ETS.CONFINT(A380,$B$2:$B$366,$A$2:$A$366,0.95,1,1)</f>
        <v>1844672.34461669</v>
      </c>
    </row>
    <row r="381" spans="1:5">
      <c r="A381" s="31">
        <v>21930</v>
      </c>
      <c r="C381" s="35">
        <f>_xlfn.FORECAST.ETS(A381,$B$2:$B$366,$A$2:$A$366,1,1)</f>
        <v>1790173.6009241</v>
      </c>
      <c r="D381" s="35">
        <f>C381-_xlfn.FORECAST.ETS.CONFINT(A381,$B$2:$B$366,$A$2:$A$366,0.95,1,1)</f>
        <v>1730189.6876817436</v>
      </c>
      <c r="E381" s="35">
        <f>C381+_xlfn.FORECAST.ETS.CONFINT(A381,$B$2:$B$366,$A$2:$A$366,0.95,1,1)</f>
        <v>1850157.5141664564</v>
      </c>
    </row>
    <row r="382" spans="1:5">
      <c r="A382" s="31">
        <v>21931</v>
      </c>
      <c r="C382" s="35">
        <f>_xlfn.FORECAST.ETS(A382,$B$2:$B$366,$A$2:$A$366,1,1)</f>
        <v>1797002.5139702866</v>
      </c>
      <c r="D382" s="35">
        <f>C382-_xlfn.FORECAST.ETS.CONFINT(A382,$B$2:$B$366,$A$2:$A$366,0.95,1,1)</f>
        <v>1736111.6363850429</v>
      </c>
      <c r="E382" s="35">
        <f>C382+_xlfn.FORECAST.ETS.CONFINT(A382,$B$2:$B$366,$A$2:$A$366,0.95,1,1)</f>
        <v>1857893.3915555303</v>
      </c>
    </row>
    <row r="383" spans="1:5">
      <c r="A383" s="31">
        <v>21932</v>
      </c>
      <c r="C383" s="35">
        <f>_xlfn.FORECAST.ETS(A383,$B$2:$B$366,$A$2:$A$366,1,1)</f>
        <v>1796342.8218168435</v>
      </c>
      <c r="D383" s="35">
        <f>C383-_xlfn.FORECAST.ETS.CONFINT(A383,$B$2:$B$366,$A$2:$A$366,0.95,1,1)</f>
        <v>1734551.6094410559</v>
      </c>
      <c r="E383" s="35">
        <f>C383+_xlfn.FORECAST.ETS.CONFINT(A383,$B$2:$B$366,$A$2:$A$366,0.95,1,1)</f>
        <v>1858134.034192631</v>
      </c>
    </row>
    <row r="384" spans="1:5">
      <c r="A384" s="31">
        <v>21933</v>
      </c>
      <c r="C384" s="35">
        <f>_xlfn.FORECAST.ETS(A384,$B$2:$B$366,$A$2:$A$366,1,1)</f>
        <v>1769193.1913817925</v>
      </c>
      <c r="D384" s="35">
        <f>C384-_xlfn.FORECAST.ETS.CONFINT(A384,$B$2:$B$366,$A$2:$A$366,0.95,1,1)</f>
        <v>1706507.9633933264</v>
      </c>
      <c r="E384" s="35">
        <f>C384+_xlfn.FORECAST.ETS.CONFINT(A384,$B$2:$B$366,$A$2:$A$366,0.95,1,1)</f>
        <v>1831878.4193702587</v>
      </c>
    </row>
    <row r="385" spans="1:5">
      <c r="A385" s="31">
        <v>21934</v>
      </c>
      <c r="C385" s="35">
        <f>_xlfn.FORECAST.ETS(A385,$B$2:$B$366,$A$2:$A$366,1,1)</f>
        <v>1784021.0760010891</v>
      </c>
      <c r="D385" s="35">
        <f>C385-_xlfn.FORECAST.ETS.CONFINT(A385,$B$2:$B$366,$A$2:$A$366,0.95,1,1)</f>
        <v>1720447.8606098276</v>
      </c>
      <c r="E385" s="35">
        <f>C385+_xlfn.FORECAST.ETS.CONFINT(A385,$B$2:$B$366,$A$2:$A$366,0.95,1,1)</f>
        <v>1847594.2913923506</v>
      </c>
    </row>
    <row r="386" spans="1:5">
      <c r="A386" s="31">
        <v>21935</v>
      </c>
      <c r="C386" s="35">
        <f>_xlfn.FORECAST.ETS(A386,$B$2:$B$366,$A$2:$A$366,1,1)</f>
        <v>1781472.1603555633</v>
      </c>
      <c r="D386" s="35">
        <f>C386-_xlfn.FORECAST.ETS.CONFINT(A386,$B$2:$B$366,$A$2:$A$366,0.95,1,1)</f>
        <v>1717016.7125848997</v>
      </c>
      <c r="E386" s="35">
        <f>C386+_xlfn.FORECAST.ETS.CONFINT(A386,$B$2:$B$366,$A$2:$A$366,0.95,1,1)</f>
        <v>1845927.6081262268</v>
      </c>
    </row>
    <row r="387" spans="1:5">
      <c r="A387" s="31">
        <v>21936</v>
      </c>
      <c r="C387" s="35">
        <f>_xlfn.FORECAST.ETS(A387,$B$2:$B$366,$A$2:$A$366,1,1)</f>
        <v>1787489.5883434007</v>
      </c>
      <c r="D387" s="35">
        <f>C387-_xlfn.FORECAST.ETS.CONFINT(A387,$B$2:$B$366,$A$2:$A$366,0.95,1,1)</f>
        <v>1722157.4063565829</v>
      </c>
      <c r="E387" s="35">
        <f>C387+_xlfn.FORECAST.ETS.CONFINT(A387,$B$2:$B$366,$A$2:$A$366,0.95,1,1)</f>
        <v>1852821.7703302186</v>
      </c>
    </row>
    <row r="388" spans="1:5">
      <c r="A388" s="31">
        <v>21937</v>
      </c>
      <c r="C388" s="35">
        <f>_xlfn.FORECAST.ETS(A388,$B$2:$B$366,$A$2:$A$366,1,1)</f>
        <v>1789445.5261386468</v>
      </c>
      <c r="D388" s="35">
        <f>C388-_xlfn.FORECAST.ETS.CONFINT(A388,$B$2:$B$366,$A$2:$A$366,0.95,1,1)</f>
        <v>1720958.4480797718</v>
      </c>
      <c r="E388" s="35">
        <f>C388+_xlfn.FORECAST.ETS.CONFINT(A388,$B$2:$B$366,$A$2:$A$366,0.95,1,1)</f>
        <v>1857932.6041975217</v>
      </c>
    </row>
    <row r="389" spans="1:5">
      <c r="A389" s="31">
        <v>21938</v>
      </c>
      <c r="C389" s="35">
        <f>_xlfn.FORECAST.ETS(A389,$B$2:$B$366,$A$2:$A$366,1,1)</f>
        <v>1796274.4391848336</v>
      </c>
      <c r="D389" s="35">
        <f>C389-_xlfn.FORECAST.ETS.CONFINT(A389,$B$2:$B$366,$A$2:$A$366,0.95,1,1)</f>
        <v>1726949.4446973938</v>
      </c>
      <c r="E389" s="35">
        <f>C389+_xlfn.FORECAST.ETS.CONFINT(A389,$B$2:$B$366,$A$2:$A$366,0.95,1,1)</f>
        <v>1865599.4336722733</v>
      </c>
    </row>
    <row r="390" spans="1:5">
      <c r="A390" s="31">
        <v>21939</v>
      </c>
      <c r="C390" s="35">
        <f>_xlfn.FORECAST.ETS(A390,$B$2:$B$366,$A$2:$A$366,1,1)</f>
        <v>1795614.7470313904</v>
      </c>
      <c r="D390" s="35">
        <f>C390-_xlfn.FORECAST.ETS.CONFINT(A390,$B$2:$B$366,$A$2:$A$366,0.95,1,1)</f>
        <v>1725455.8033362711</v>
      </c>
      <c r="E390" s="35">
        <f>C390+_xlfn.FORECAST.ETS.CONFINT(A390,$B$2:$B$366,$A$2:$A$366,0.95,1,1)</f>
        <v>1865773.6907265098</v>
      </c>
    </row>
    <row r="391" spans="1:5">
      <c r="A391" s="31">
        <v>21940</v>
      </c>
      <c r="C391" s="35">
        <f>_xlfn.FORECAST.ETS(A391,$B$2:$B$366,$A$2:$A$366,1,1)</f>
        <v>1768465.1165963395</v>
      </c>
      <c r="D391" s="35">
        <f>C391-_xlfn.FORECAST.ETS.CONFINT(A391,$B$2:$B$366,$A$2:$A$366,0.95,1,1)</f>
        <v>1697476.0292727922</v>
      </c>
      <c r="E391" s="35">
        <f>C391+_xlfn.FORECAST.ETS.CONFINT(A391,$B$2:$B$366,$A$2:$A$366,0.95,1,1)</f>
        <v>1839454.2039198868</v>
      </c>
    </row>
    <row r="392" spans="1:5">
      <c r="A392" s="31">
        <v>21941</v>
      </c>
      <c r="C392" s="35">
        <f>_xlfn.FORECAST.ETS(A392,$B$2:$B$366,$A$2:$A$366,1,1)</f>
        <v>1783293.001215636</v>
      </c>
      <c r="D392" s="35">
        <f>C392-_xlfn.FORECAST.ETS.CONFINT(A392,$B$2:$B$366,$A$2:$A$366,0.95,1,1)</f>
        <v>1711477.4222976654</v>
      </c>
      <c r="E392" s="35">
        <f>C392+_xlfn.FORECAST.ETS.CONFINT(A392,$B$2:$B$366,$A$2:$A$366,0.95,1,1)</f>
        <v>1855108.5801336067</v>
      </c>
    </row>
    <row r="393" spans="1:5">
      <c r="A393" s="31">
        <v>21942</v>
      </c>
      <c r="C393" s="35">
        <f>_xlfn.FORECAST.ETS(A393,$B$2:$B$366,$A$2:$A$366,1,1)</f>
        <v>1780744.0855701102</v>
      </c>
      <c r="D393" s="35">
        <f>C393-_xlfn.FORECAST.ETS.CONFINT(A393,$B$2:$B$366,$A$2:$A$366,0.95,1,1)</f>
        <v>1708105.521101312</v>
      </c>
      <c r="E393" s="35">
        <f>C393+_xlfn.FORECAST.ETS.CONFINT(A393,$B$2:$B$366,$A$2:$A$366,0.95,1,1)</f>
        <v>1853382.6500389085</v>
      </c>
    </row>
    <row r="394" spans="1:5">
      <c r="A394" s="31">
        <v>21943</v>
      </c>
      <c r="C394" s="35">
        <f>_xlfn.FORECAST.ETS(A394,$B$2:$B$366,$A$2:$A$366,1,1)</f>
        <v>1786761.5135579477</v>
      </c>
      <c r="D394" s="35">
        <f>C394-_xlfn.FORECAST.ETS.CONFINT(A394,$B$2:$B$366,$A$2:$A$366,0.95,1,1)</f>
        <v>1713303.3306501363</v>
      </c>
      <c r="E394" s="35">
        <f>C394+_xlfn.FORECAST.ETS.CONFINT(A394,$B$2:$B$366,$A$2:$A$366,0.95,1,1)</f>
        <v>1860219.6964657591</v>
      </c>
    </row>
    <row r="395" spans="1:5">
      <c r="A395" s="31">
        <v>21944</v>
      </c>
      <c r="C395" s="35">
        <f>_xlfn.FORECAST.ETS(A395,$B$2:$B$366,$A$2:$A$366,1,1)</f>
        <v>1788717.4513531937</v>
      </c>
      <c r="D395" s="35">
        <f>C395-_xlfn.FORECAST.ETS.CONFINT(A395,$B$2:$B$366,$A$2:$A$366,0.95,1,1)</f>
        <v>1712365.0485959454</v>
      </c>
      <c r="E395" s="35">
        <f>C395+_xlfn.FORECAST.ETS.CONFINT(A395,$B$2:$B$366,$A$2:$A$366,0.95,1,1)</f>
        <v>1865069.8541104421</v>
      </c>
    </row>
    <row r="396" spans="1:5">
      <c r="A396" s="31">
        <v>21945</v>
      </c>
      <c r="C396" s="35">
        <f>_xlfn.FORECAST.ETS(A396,$B$2:$B$366,$A$2:$A$366,1,1)</f>
        <v>1795546.3643993803</v>
      </c>
      <c r="D396" s="35">
        <f>C396-_xlfn.FORECAST.ETS.CONFINT(A396,$B$2:$B$366,$A$2:$A$366,0.95,1,1)</f>
        <v>1718402.5887480262</v>
      </c>
      <c r="E396" s="35">
        <f>C396+_xlfn.FORECAST.ETS.CONFINT(A396,$B$2:$B$366,$A$2:$A$366,0.95,1,1)</f>
        <v>1872690.1400507344</v>
      </c>
    </row>
    <row r="397" spans="1:5">
      <c r="A397" s="31">
        <v>21946</v>
      </c>
      <c r="C397" s="35">
        <f>_xlfn.FORECAST.ETS(A397,$B$2:$B$366,$A$2:$A$366,1,1)</f>
        <v>1794886.6722459372</v>
      </c>
      <c r="D397" s="35">
        <f>C397-_xlfn.FORECAST.ETS.CONFINT(A397,$B$2:$B$366,$A$2:$A$366,0.95,1,1)</f>
        <v>1716953.9830306002</v>
      </c>
      <c r="E397" s="35">
        <f>C397+_xlfn.FORECAST.ETS.CONFINT(A397,$B$2:$B$366,$A$2:$A$366,0.95,1,1)</f>
        <v>1872819.3614612741</v>
      </c>
    </row>
    <row r="398" spans="1:5">
      <c r="A398" s="31">
        <v>21947</v>
      </c>
      <c r="C398" s="35">
        <f>_xlfn.FORECAST.ETS(A398,$B$2:$B$366,$A$2:$A$366,1,1)</f>
        <v>1767737.0418108865</v>
      </c>
      <c r="D398" s="35">
        <f>C398-_xlfn.FORECAST.ETS.CONFINT(A398,$B$2:$B$366,$A$2:$A$366,0.95,1,1)</f>
        <v>1689017.8047378412</v>
      </c>
      <c r="E398" s="35">
        <f>C398+_xlfn.FORECAST.ETS.CONFINT(A398,$B$2:$B$366,$A$2:$A$366,0.95,1,1)</f>
        <v>1846456.2788839317</v>
      </c>
    </row>
    <row r="399" spans="1:5">
      <c r="A399" s="31">
        <v>21948</v>
      </c>
      <c r="C399" s="35">
        <f>_xlfn.FORECAST.ETS(A399,$B$2:$B$366,$A$2:$A$366,1,1)</f>
        <v>1782564.926430183</v>
      </c>
      <c r="D399" s="35">
        <f>C399-_xlfn.FORECAST.ETS.CONFINT(A399,$B$2:$B$366,$A$2:$A$366,0.95,1,1)</f>
        <v>1703061.4175036941</v>
      </c>
      <c r="E399" s="35">
        <f>C399+_xlfn.FORECAST.ETS.CONFINT(A399,$B$2:$B$366,$A$2:$A$366,0.95,1,1)</f>
        <v>1862068.4353566719</v>
      </c>
    </row>
    <row r="400" spans="1:5">
      <c r="A400" s="31">
        <v>21949</v>
      </c>
      <c r="C400" s="35">
        <f>_xlfn.FORECAST.ETS(A400,$B$2:$B$366,$A$2:$A$366,1,1)</f>
        <v>1780016.0107846572</v>
      </c>
      <c r="D400" s="35">
        <f>C400-_xlfn.FORECAST.ETS.CONFINT(A400,$B$2:$B$366,$A$2:$A$366,0.95,1,1)</f>
        <v>1699730.4200107581</v>
      </c>
      <c r="E400" s="35">
        <f>C400+_xlfn.FORECAST.ETS.CONFINT(A400,$B$2:$B$366,$A$2:$A$366,0.95,1,1)</f>
        <v>1860301.6015585563</v>
      </c>
    </row>
    <row r="401" spans="1:5">
      <c r="A401" s="31">
        <v>21950</v>
      </c>
      <c r="C401" s="35">
        <f>_xlfn.FORECAST.ETS(A401,$B$2:$B$366,$A$2:$A$366,1,1)</f>
        <v>1786033.4387724947</v>
      </c>
      <c r="D401" s="35">
        <f>C401-_xlfn.FORECAST.ETS.CONFINT(A401,$B$2:$B$366,$A$2:$A$366,0.95,1,1)</f>
        <v>1704967.8736598953</v>
      </c>
      <c r="E401" s="35">
        <f>C401+_xlfn.FORECAST.ETS.CONFINT(A401,$B$2:$B$366,$A$2:$A$366,0.95,1,1)</f>
        <v>1867099.0038850941</v>
      </c>
    </row>
    <row r="402" spans="1:5">
      <c r="A402" s="31">
        <v>21951</v>
      </c>
      <c r="C402" s="35">
        <f>_xlfn.FORECAST.ETS(A402,$B$2:$B$366,$A$2:$A$366,1,1)</f>
        <v>1787989.3765677407</v>
      </c>
      <c r="D402" s="35">
        <f>C402-_xlfn.FORECAST.ETS.CONFINT(A402,$B$2:$B$366,$A$2:$A$366,0.95,1,1)</f>
        <v>1704223.2654522648</v>
      </c>
      <c r="E402" s="35">
        <f>C402+_xlfn.FORECAST.ETS.CONFINT(A402,$B$2:$B$366,$A$2:$A$366,0.95,1,1)</f>
        <v>1871755.4876832166</v>
      </c>
    </row>
    <row r="403" spans="1:5">
      <c r="A403" s="31">
        <v>21952</v>
      </c>
      <c r="C403" s="35">
        <f>_xlfn.FORECAST.ETS(A403,$B$2:$B$366,$A$2:$A$366,1,1)</f>
        <v>1794818.2896139272</v>
      </c>
      <c r="D403" s="35">
        <f>C403-_xlfn.FORECAST.ETS.CONFINT(A403,$B$2:$B$366,$A$2:$A$366,0.95,1,1)</f>
        <v>1710293.8337295766</v>
      </c>
      <c r="E403" s="35">
        <f>C403+_xlfn.FORECAST.ETS.CONFINT(A403,$B$2:$B$366,$A$2:$A$366,0.95,1,1)</f>
        <v>1879342.7454982779</v>
      </c>
    </row>
    <row r="404" spans="1:5">
      <c r="A404" s="31">
        <v>21953</v>
      </c>
      <c r="C404" s="35">
        <f>_xlfn.FORECAST.ETS(A404,$B$2:$B$366,$A$2:$A$366,1,1)</f>
        <v>1794158.5974604841</v>
      </c>
      <c r="D404" s="35">
        <f>C404-_xlfn.FORECAST.ETS.CONFINT(A404,$B$2:$B$366,$A$2:$A$366,0.95,1,1)</f>
        <v>1708877.3168833051</v>
      </c>
      <c r="E404" s="35">
        <f>C404+_xlfn.FORECAST.ETS.CONFINT(A404,$B$2:$B$366,$A$2:$A$366,0.95,1,1)</f>
        <v>1879439.8780376632</v>
      </c>
    </row>
    <row r="405" spans="1:5">
      <c r="A405" s="31">
        <v>21954</v>
      </c>
      <c r="C405" s="35">
        <f>_xlfn.FORECAST.ETS(A405,$B$2:$B$366,$A$2:$A$366,1,1)</f>
        <v>1767008.9670254332</v>
      </c>
      <c r="D405" s="35">
        <f>C405-_xlfn.FORECAST.ETS.CONFINT(A405,$B$2:$B$366,$A$2:$A$366,0.95,1,1)</f>
        <v>1680972.3237086583</v>
      </c>
      <c r="E405" s="35">
        <f>C405+_xlfn.FORECAST.ETS.CONFINT(A405,$B$2:$B$366,$A$2:$A$366,0.95,1,1)</f>
        <v>1853045.6103422081</v>
      </c>
    </row>
    <row r="406" spans="1:5">
      <c r="A406" s="31">
        <v>21955</v>
      </c>
      <c r="C406" s="35">
        <f>_xlfn.FORECAST.ETS(A406,$B$2:$B$366,$A$2:$A$366,1,1)</f>
        <v>1781836.8516447297</v>
      </c>
      <c r="D406" s="35">
        <f>C406-_xlfn.FORECAST.ETS.CONFINT(A406,$B$2:$B$366,$A$2:$A$366,0.95,1,1)</f>
        <v>1695046.2515180884</v>
      </c>
      <c r="E406" s="35">
        <f>C406+_xlfn.FORECAST.ETS.CONFINT(A406,$B$2:$B$366,$A$2:$A$366,0.95,1,1)</f>
        <v>1868627.4517713711</v>
      </c>
    </row>
    <row r="407" spans="1:5">
      <c r="A407" s="31">
        <v>21956</v>
      </c>
      <c r="C407" s="35">
        <f>_xlfn.FORECAST.ETS(A407,$B$2:$B$366,$A$2:$A$366,1,1)</f>
        <v>1779287.9359992042</v>
      </c>
      <c r="D407" s="35">
        <f>C407-_xlfn.FORECAST.ETS.CONFINT(A407,$B$2:$B$366,$A$2:$A$366,0.95,1,1)</f>
        <v>1691744.7309684819</v>
      </c>
      <c r="E407" s="35">
        <f>C407+_xlfn.FORECAST.ETS.CONFINT(A407,$B$2:$B$366,$A$2:$A$366,0.95,1,1)</f>
        <v>1866831.1410299265</v>
      </c>
    </row>
    <row r="408" spans="1:5">
      <c r="A408" s="31">
        <v>21957</v>
      </c>
      <c r="C408" s="35">
        <f>_xlfn.FORECAST.ETS(A408,$B$2:$B$366,$A$2:$A$366,1,1)</f>
        <v>1785305.3639870416</v>
      </c>
      <c r="D408" s="35">
        <f>C408-_xlfn.FORECAST.ETS.CONFINT(A408,$B$2:$B$366,$A$2:$A$366,0.95,1,1)</f>
        <v>1697010.8538398228</v>
      </c>
      <c r="E408" s="35">
        <f>C408+_xlfn.FORECAST.ETS.CONFINT(A408,$B$2:$B$366,$A$2:$A$366,0.95,1,1)</f>
        <v>1873599.8741342605</v>
      </c>
    </row>
    <row r="409" spans="1:5">
      <c r="A409" s="31">
        <v>21958</v>
      </c>
      <c r="C409" s="35">
        <f>_xlfn.FORECAST.ETS(A409,$B$2:$B$366,$A$2:$A$366,1,1)</f>
        <v>1787261.3017822877</v>
      </c>
      <c r="D409" s="35">
        <f>C409-_xlfn.FORECAST.ETS.CONFINT(A409,$B$2:$B$366,$A$2:$A$366,0.95,1,1)</f>
        <v>1696416.606609076</v>
      </c>
      <c r="E409" s="35">
        <f>C409+_xlfn.FORECAST.ETS.CONFINT(A409,$B$2:$B$366,$A$2:$A$366,0.95,1,1)</f>
        <v>1878105.9969554993</v>
      </c>
    </row>
    <row r="410" spans="1:5">
      <c r="A410" s="31">
        <v>21959</v>
      </c>
      <c r="C410" s="35">
        <f>_xlfn.FORECAST.ETS(A410,$B$2:$B$366,$A$2:$A$366,1,1)</f>
        <v>1794090.2148284742</v>
      </c>
      <c r="D410" s="35">
        <f>C410-_xlfn.FORECAST.ETS.CONFINT(A410,$B$2:$B$366,$A$2:$A$366,0.95,1,1)</f>
        <v>1702511.3837083045</v>
      </c>
      <c r="E410" s="35">
        <f>C410+_xlfn.FORECAST.ETS.CONFINT(A410,$B$2:$B$366,$A$2:$A$366,0.95,1,1)</f>
        <v>1885669.0459486439</v>
      </c>
    </row>
    <row r="411" spans="1:5">
      <c r="A411" s="31">
        <v>21960</v>
      </c>
      <c r="C411" s="35">
        <f>_xlfn.FORECAST.ETS(A411,$B$2:$B$366,$A$2:$A$366,1,1)</f>
        <v>1793430.5226750311</v>
      </c>
      <c r="D411" s="35">
        <f>C411-_xlfn.FORECAST.ETS.CONFINT(A411,$B$2:$B$366,$A$2:$A$366,0.95,1,1)</f>
        <v>1701118.4510250113</v>
      </c>
      <c r="E411" s="35">
        <f>C411+_xlfn.FORECAST.ETS.CONFINT(A411,$B$2:$B$366,$A$2:$A$366,0.95,1,1)</f>
        <v>1885742.5943250509</v>
      </c>
    </row>
    <row r="412" spans="1:5">
      <c r="A412" s="31">
        <v>21961</v>
      </c>
      <c r="C412" s="35">
        <f>_xlfn.FORECAST.ETS(A412,$B$2:$B$366,$A$2:$A$366,1,1)</f>
        <v>1766280.8922399802</v>
      </c>
      <c r="D412" s="35">
        <f>C412-_xlfn.FORECAST.ETS.CONFINT(A412,$B$2:$B$366,$A$2:$A$366,0.95,1,1)</f>
        <v>1673236.437655879</v>
      </c>
      <c r="E412" s="35">
        <f>C412+_xlfn.FORECAST.ETS.CONFINT(A412,$B$2:$B$366,$A$2:$A$366,0.95,1,1)</f>
        <v>1859325.3468240814</v>
      </c>
    </row>
    <row r="413" spans="1:5">
      <c r="A413" s="31">
        <v>21962</v>
      </c>
      <c r="C413" s="35">
        <f>_xlfn.FORECAST.ETS(A413,$B$2:$B$366,$A$2:$A$366,1,1)</f>
        <v>1781108.7768592767</v>
      </c>
      <c r="D413" s="35">
        <f>C413-_xlfn.FORECAST.ETS.CONFINT(A413,$B$2:$B$366,$A$2:$A$366,0.95,1,1)</f>
        <v>1687332.7603212846</v>
      </c>
      <c r="E413" s="35">
        <f>C413+_xlfn.FORECAST.ETS.CONFINT(A413,$B$2:$B$366,$A$2:$A$366,0.95,1,1)</f>
        <v>1874884.7933972687</v>
      </c>
    </row>
    <row r="414" spans="1:5">
      <c r="A414" s="31">
        <v>21963</v>
      </c>
      <c r="C414" s="35">
        <f>_xlfn.FORECAST.ETS(A414,$B$2:$B$366,$A$2:$A$366,1,1)</f>
        <v>1778559.8612137509</v>
      </c>
      <c r="D414" s="35">
        <f>C414-_xlfn.FORECAST.ETS.CONFINT(A414,$B$2:$B$366,$A$2:$A$366,0.95,1,1)</f>
        <v>1684053.0682422672</v>
      </c>
      <c r="E414" s="35">
        <f>C414+_xlfn.FORECAST.ETS.CONFINT(A414,$B$2:$B$366,$A$2:$A$366,0.95,1,1)</f>
        <v>1873066.6541852346</v>
      </c>
    </row>
    <row r="415" spans="1:5">
      <c r="A415" s="31">
        <v>21964</v>
      </c>
      <c r="C415" s="35">
        <f>_xlfn.FORECAST.ETS(A415,$B$2:$B$366,$A$2:$A$366,1,1)</f>
        <v>1784577.2892015884</v>
      </c>
      <c r="D415" s="35">
        <f>C415-_xlfn.FORECAST.ETS.CONFINT(A415,$B$2:$B$366,$A$2:$A$366,0.95,1,1)</f>
        <v>1689340.4709656253</v>
      </c>
      <c r="E415" s="35">
        <f>C415+_xlfn.FORECAST.ETS.CONFINT(A415,$B$2:$B$366,$A$2:$A$366,0.95,1,1)</f>
        <v>1879814.1074375515</v>
      </c>
    </row>
    <row r="416" spans="1:5">
      <c r="A416" s="31">
        <v>21965</v>
      </c>
      <c r="C416" s="35">
        <f>_xlfn.FORECAST.ETS(A416,$B$2:$B$366,$A$2:$A$366,1,1)</f>
        <v>1786533.2269968346</v>
      </c>
      <c r="D416" s="35">
        <f>C416-_xlfn.FORECAST.ETS.CONFINT(A416,$B$2:$B$366,$A$2:$A$366,0.95,1,1)</f>
        <v>1688866.7327310366</v>
      </c>
      <c r="E416" s="35">
        <f>C416+_xlfn.FORECAST.ETS.CONFINT(A416,$B$2:$B$366,$A$2:$A$366,0.95,1,1)</f>
        <v>1884199.7212626326</v>
      </c>
    </row>
    <row r="417" spans="1:5">
      <c r="A417" s="31">
        <v>21966</v>
      </c>
      <c r="C417" s="35">
        <f>_xlfn.FORECAST.ETS(A417,$B$2:$B$366,$A$2:$A$366,1,1)</f>
        <v>1793362.1400430212</v>
      </c>
      <c r="D417" s="35">
        <f>C417-_xlfn.FORECAST.ETS.CONFINT(A417,$B$2:$B$366,$A$2:$A$366,0.95,1,1)</f>
        <v>1694979.6161458609</v>
      </c>
      <c r="E417" s="35">
        <f>C417+_xlfn.FORECAST.ETS.CONFINT(A417,$B$2:$B$366,$A$2:$A$366,0.95,1,1)</f>
        <v>1891744.6639401815</v>
      </c>
    </row>
    <row r="418" spans="1:5">
      <c r="A418" s="31">
        <v>21967</v>
      </c>
      <c r="C418" s="35">
        <f>_xlfn.FORECAST.ETS(A418,$B$2:$B$366,$A$2:$A$366,1,1)</f>
        <v>1792702.4478895781</v>
      </c>
      <c r="D418" s="35">
        <f>C418-_xlfn.FORECAST.ETS.CONFINT(A418,$B$2:$B$366,$A$2:$A$366,0.95,1,1)</f>
        <v>1693604.3540587954</v>
      </c>
      <c r="E418" s="35">
        <f>C418+_xlfn.FORECAST.ETS.CONFINT(A418,$B$2:$B$366,$A$2:$A$366,0.95,1,1)</f>
        <v>1891800.5417203608</v>
      </c>
    </row>
    <row r="419" spans="1:5">
      <c r="A419" s="31">
        <v>21968</v>
      </c>
      <c r="C419" s="35">
        <f>_xlfn.FORECAST.ETS(A419,$B$2:$B$366,$A$2:$A$366,1,1)</f>
        <v>1765552.8174545271</v>
      </c>
      <c r="D419" s="35">
        <f>C419-_xlfn.FORECAST.ETS.CONFINT(A419,$B$2:$B$366,$A$2:$A$366,0.95,1,1)</f>
        <v>1665739.5879780552</v>
      </c>
      <c r="E419" s="35">
        <f>C419+_xlfn.FORECAST.ETS.CONFINT(A419,$B$2:$B$366,$A$2:$A$366,0.95,1,1)</f>
        <v>1865366.046930999</v>
      </c>
    </row>
    <row r="420" spans="1:5">
      <c r="A420" s="31">
        <v>21969</v>
      </c>
      <c r="C420" s="35">
        <f>_xlfn.FORECAST.ETS(A420,$B$2:$B$366,$A$2:$A$366,1,1)</f>
        <v>1780380.7020738237</v>
      </c>
      <c r="D420" s="35">
        <f>C420-_xlfn.FORECAST.ETS.CONFINT(A420,$B$2:$B$366,$A$2:$A$366,0.95,1,1)</f>
        <v>1679852.7465586849</v>
      </c>
      <c r="E420" s="35">
        <f>C420+_xlfn.FORECAST.ETS.CONFINT(A420,$B$2:$B$366,$A$2:$A$366,0.95,1,1)</f>
        <v>1880908.6575889625</v>
      </c>
    </row>
    <row r="421" spans="1:5">
      <c r="A421" s="31">
        <v>21970</v>
      </c>
      <c r="C421" s="35">
        <f>_xlfn.FORECAST.ETS(A421,$B$2:$B$366,$A$2:$A$366,1,1)</f>
        <v>1777831.7864282979</v>
      </c>
      <c r="D421" s="35">
        <f>C421-_xlfn.FORECAST.ETS.CONFINT(A421,$B$2:$B$366,$A$2:$A$366,0.95,1,1)</f>
        <v>1676589.4905027263</v>
      </c>
      <c r="E421" s="35">
        <f>C421+_xlfn.FORECAST.ETS.CONFINT(A421,$B$2:$B$366,$A$2:$A$366,0.95,1,1)</f>
        <v>1879074.0823538695</v>
      </c>
    </row>
    <row r="422" spans="1:5">
      <c r="A422" s="31">
        <v>21971</v>
      </c>
      <c r="C422" s="35">
        <f>_xlfn.FORECAST.ETS(A422,$B$2:$B$366,$A$2:$A$366,1,1)</f>
        <v>1783849.2144161353</v>
      </c>
      <c r="D422" s="35">
        <f>C422-_xlfn.FORECAST.ETS.CONFINT(A422,$B$2:$B$366,$A$2:$A$366,0.95,1,1)</f>
        <v>1681892.9404061534</v>
      </c>
      <c r="E422" s="35">
        <f>C422+_xlfn.FORECAST.ETS.CONFINT(A422,$B$2:$B$366,$A$2:$A$366,0.95,1,1)</f>
        <v>1885805.4884261172</v>
      </c>
    </row>
    <row r="423" spans="1:5">
      <c r="A423" s="31">
        <v>21972</v>
      </c>
      <c r="C423" s="35">
        <f>_xlfn.FORECAST.ETS(A423,$B$2:$B$366,$A$2:$A$366,1,1)</f>
        <v>1785805.1522113814</v>
      </c>
      <c r="D423" s="35">
        <f>C423-_xlfn.FORECAST.ETS.CONFINT(A423,$B$2:$B$366,$A$2:$A$366,0.95,1,1)</f>
        <v>1681518.1413191406</v>
      </c>
      <c r="E423" s="35">
        <f>C423+_xlfn.FORECAST.ETS.CONFINT(A423,$B$2:$B$366,$A$2:$A$366,0.95,1,1)</f>
        <v>1890092.1631036222</v>
      </c>
    </row>
    <row r="424" spans="1:5">
      <c r="A424" s="31">
        <v>21973</v>
      </c>
      <c r="C424" s="35">
        <f>_xlfn.FORECAST.ETS(A424,$B$2:$B$366,$A$2:$A$366,1,1)</f>
        <v>1792634.0652575679</v>
      </c>
      <c r="D424" s="35">
        <f>C424-_xlfn.FORECAST.ETS.CONFINT(A424,$B$2:$B$366,$A$2:$A$366,0.95,1,1)</f>
        <v>1687644.7199604502</v>
      </c>
      <c r="E424" s="35">
        <f>C424+_xlfn.FORECAST.ETS.CONFINT(A424,$B$2:$B$366,$A$2:$A$366,0.95,1,1)</f>
        <v>1897623.4105546856</v>
      </c>
    </row>
    <row r="425" spans="1:5">
      <c r="A425" s="31">
        <v>21974</v>
      </c>
      <c r="C425" s="35">
        <f>_xlfn.FORECAST.ETS(A425,$B$2:$B$366,$A$2:$A$366,1,1)</f>
        <v>1791974.373104125</v>
      </c>
      <c r="D425" s="35">
        <f>C425-_xlfn.FORECAST.ETS.CONFINT(A425,$B$2:$B$366,$A$2:$A$366,0.95,1,1)</f>
        <v>1686282.8380179703</v>
      </c>
      <c r="E425" s="35">
        <f>C425+_xlfn.FORECAST.ETS.CONFINT(A425,$B$2:$B$366,$A$2:$A$366,0.95,1,1)</f>
        <v>1897665.9081902797</v>
      </c>
    </row>
    <row r="426" spans="1:5">
      <c r="A426" s="31">
        <v>21975</v>
      </c>
      <c r="C426" s="35">
        <f>_xlfn.FORECAST.ETS(A426,$B$2:$B$366,$A$2:$A$366,1,1)</f>
        <v>1764824.7426690741</v>
      </c>
      <c r="D426" s="35">
        <f>C426-_xlfn.FORECAST.ETS.CONFINT(A426,$B$2:$B$366,$A$2:$A$366,0.95,1,1)</f>
        <v>1658431.1449834825</v>
      </c>
      <c r="E426" s="35">
        <f>C426+_xlfn.FORECAST.ETS.CONFINT(A426,$B$2:$B$366,$A$2:$A$366,0.95,1,1)</f>
        <v>1871218.3403546656</v>
      </c>
    </row>
    <row r="427" spans="1:5">
      <c r="A427" s="31">
        <v>21976</v>
      </c>
      <c r="C427" s="35">
        <f>_xlfn.FORECAST.ETS(A427,$B$2:$B$366,$A$2:$A$366,1,1)</f>
        <v>1779652.6272883706</v>
      </c>
      <c r="D427" s="35">
        <f>C427-_xlfn.FORECAST.ETS.CONFINT(A427,$B$2:$B$366,$A$2:$A$366,0.95,1,1)</f>
        <v>1672557.0772241496</v>
      </c>
      <c r="E427" s="35">
        <f>C427+_xlfn.FORECAST.ETS.CONFINT(A427,$B$2:$B$366,$A$2:$A$366,0.95,1,1)</f>
        <v>1886748.1773525917</v>
      </c>
    </row>
    <row r="428" spans="1:5">
      <c r="A428" s="31">
        <v>21977</v>
      </c>
      <c r="C428" s="35">
        <f>_xlfn.FORECAST.ETS(A428,$B$2:$B$366,$A$2:$A$366,1,1)</f>
        <v>1777103.7116428448</v>
      </c>
      <c r="D428" s="35">
        <f>C428-_xlfn.FORECAST.ETS.CONFINT(A428,$B$2:$B$366,$A$2:$A$366,0.95,1,1)</f>
        <v>1669306.3028943723</v>
      </c>
      <c r="E428" s="35">
        <f>C428+_xlfn.FORECAST.ETS.CONFINT(A428,$B$2:$B$366,$A$2:$A$366,0.95,1,1)</f>
        <v>1884901.1203913174</v>
      </c>
    </row>
    <row r="429" spans="1:5">
      <c r="A429" s="31">
        <v>21978</v>
      </c>
      <c r="C429" s="35">
        <f>_xlfn.FORECAST.ETS(A429,$B$2:$B$366,$A$2:$A$366,1,1)</f>
        <v>1783121.1396306823</v>
      </c>
      <c r="D429" s="35">
        <f>C429-_xlfn.FORECAST.ETS.CONFINT(A429,$B$2:$B$366,$A$2:$A$366,0.95,1,1)</f>
        <v>1674621.9497938042</v>
      </c>
      <c r="E429" s="35">
        <f>C429+_xlfn.FORECAST.ETS.CONFINT(A429,$B$2:$B$366,$A$2:$A$366,0.95,1,1)</f>
        <v>1891620.3294675604</v>
      </c>
    </row>
    <row r="430" spans="1:5">
      <c r="A430" s="31">
        <v>21979</v>
      </c>
      <c r="C430" s="35">
        <f>_xlfn.FORECAST.ETS(A430,$B$2:$B$366,$A$2:$A$366,1,1)</f>
        <v>1785077.0774259283</v>
      </c>
      <c r="D430" s="35">
        <f>C430-_xlfn.FORECAST.ETS.CONFINT(A430,$B$2:$B$366,$A$2:$A$366,0.95,1,1)</f>
        <v>1674329.9278311373</v>
      </c>
      <c r="E430" s="35">
        <f>C430+_xlfn.FORECAST.ETS.CONFINT(A430,$B$2:$B$366,$A$2:$A$366,0.95,1,1)</f>
        <v>1895824.2270207193</v>
      </c>
    </row>
    <row r="431" spans="1:5">
      <c r="A431" s="31">
        <v>21980</v>
      </c>
      <c r="C431" s="35">
        <f>_xlfn.FORECAST.ETS(A431,$B$2:$B$366,$A$2:$A$366,1,1)</f>
        <v>1791905.9904721149</v>
      </c>
      <c r="D431" s="35">
        <f>C431-_xlfn.FORECAST.ETS.CONFINT(A431,$B$2:$B$366,$A$2:$A$366,0.95,1,1)</f>
        <v>1680466.9037555652</v>
      </c>
      <c r="E431" s="35">
        <f>C431+_xlfn.FORECAST.ETS.CONFINT(A431,$B$2:$B$366,$A$2:$A$366,0.95,1,1)</f>
        <v>1903345.0771886646</v>
      </c>
    </row>
    <row r="432" spans="1:5">
      <c r="A432" s="31">
        <v>21981</v>
      </c>
      <c r="C432" s="35">
        <f>_xlfn.FORECAST.ETS(A432,$B$2:$B$366,$A$2:$A$366,1,1)</f>
        <v>1791246.2983186718</v>
      </c>
      <c r="D432" s="35">
        <f>C432-_xlfn.FORECAST.ETS.CONFINT(A432,$B$2:$B$366,$A$2:$A$366,0.95,1,1)</f>
        <v>1679115.1847841402</v>
      </c>
      <c r="E432" s="35">
        <f>C432+_xlfn.FORECAST.ETS.CONFINT(A432,$B$2:$B$366,$A$2:$A$366,0.95,1,1)</f>
        <v>1903377.4118532033</v>
      </c>
    </row>
    <row r="433" spans="1:5">
      <c r="A433" s="31">
        <v>21982</v>
      </c>
      <c r="C433" s="35">
        <f>_xlfn.FORECAST.ETS(A433,$B$2:$B$366,$A$2:$A$366,1,1)</f>
        <v>1764096.6678836208</v>
      </c>
      <c r="D433" s="35">
        <f>C433-_xlfn.FORECAST.ETS.CONFINT(A433,$B$2:$B$366,$A$2:$A$366,0.95,1,1)</f>
        <v>1651273.4257524414</v>
      </c>
      <c r="E433" s="35">
        <f>C433+_xlfn.FORECAST.ETS.CONFINT(A433,$B$2:$B$366,$A$2:$A$366,0.95,1,1)</f>
        <v>1876919.9100148003</v>
      </c>
    </row>
    <row r="434" spans="1:5">
      <c r="A434" s="31">
        <v>21983</v>
      </c>
      <c r="C434" s="35">
        <f>_xlfn.FORECAST.ETS(A434,$B$2:$B$366,$A$2:$A$366,1,1)</f>
        <v>1778924.5525029176</v>
      </c>
      <c r="D434" s="35">
        <f>C434-_xlfn.FORECAST.ETS.CONFINT(A434,$B$2:$B$366,$A$2:$A$366,0.95,1,1)</f>
        <v>1665409.0682089119</v>
      </c>
      <c r="E434" s="35">
        <f>C434+_xlfn.FORECAST.ETS.CONFINT(A434,$B$2:$B$366,$A$2:$A$366,0.95,1,1)</f>
        <v>1892440.0367969233</v>
      </c>
    </row>
    <row r="435" spans="1:5">
      <c r="A435" s="31">
        <v>21984</v>
      </c>
      <c r="C435" s="35">
        <f>_xlfn.FORECAST.ETS(A435,$B$2:$B$366,$A$2:$A$366,1,1)</f>
        <v>1776375.6368573918</v>
      </c>
      <c r="D435" s="35">
        <f>C435-_xlfn.FORECAST.ETS.CONFINT(A435,$B$2:$B$366,$A$2:$A$366,0.95,1,1)</f>
        <v>1662167.7853329743</v>
      </c>
      <c r="E435" s="35">
        <f>C435+_xlfn.FORECAST.ETS.CONFINT(A435,$B$2:$B$366,$A$2:$A$366,0.95,1,1)</f>
        <v>1890583.4883818093</v>
      </c>
    </row>
    <row r="436" spans="1:5">
      <c r="A436" s="31">
        <v>21985</v>
      </c>
      <c r="C436" s="35">
        <f>_xlfn.FORECAST.ETS(A436,$B$2:$B$366,$A$2:$A$366,1,1)</f>
        <v>1782393.0648452293</v>
      </c>
      <c r="D436" s="35">
        <f>C436-_xlfn.FORECAST.ETS.CONFINT(A436,$B$2:$B$366,$A$2:$A$366,0.95,1,1)</f>
        <v>1667492.7097990117</v>
      </c>
      <c r="E436" s="35">
        <f>C436+_xlfn.FORECAST.ETS.CONFINT(A436,$B$2:$B$366,$A$2:$A$366,0.95,1,1)</f>
        <v>1897293.4198914468</v>
      </c>
    </row>
    <row r="437" spans="1:5">
      <c r="A437" s="31">
        <v>21986</v>
      </c>
      <c r="C437" s="35">
        <f>_xlfn.FORECAST.ETS(A437,$B$2:$B$366,$A$2:$A$366,1,1)</f>
        <v>1784349.0026404753</v>
      </c>
      <c r="D437" s="35">
        <f>C437-_xlfn.FORECAST.ETS.CONFINT(A437,$B$2:$B$366,$A$2:$A$366,0.95,1,1)</f>
        <v>1667271.0008808582</v>
      </c>
      <c r="E437" s="35">
        <f>C437+_xlfn.FORECAST.ETS.CONFINT(A437,$B$2:$B$366,$A$2:$A$366,0.95,1,1)</f>
        <v>1901427.0044000924</v>
      </c>
    </row>
    <row r="438" spans="1:5">
      <c r="A438" s="31">
        <v>21987</v>
      </c>
      <c r="C438" s="35">
        <f>_xlfn.FORECAST.ETS(A438,$B$2:$B$366,$A$2:$A$366,1,1)</f>
        <v>1791177.9156866618</v>
      </c>
      <c r="D438" s="35">
        <f>C438-_xlfn.FORECAST.ETS.CONFINT(A438,$B$2:$B$366,$A$2:$A$366,0.95,1,1)</f>
        <v>1673415.8413098285</v>
      </c>
      <c r="E438" s="35">
        <f>C438+_xlfn.FORECAST.ETS.CONFINT(A438,$B$2:$B$366,$A$2:$A$366,0.95,1,1)</f>
        <v>1908939.9900634952</v>
      </c>
    </row>
    <row r="439" spans="1:5">
      <c r="A439" s="31">
        <v>21988</v>
      </c>
      <c r="C439" s="35">
        <f>_xlfn.FORECAST.ETS(A439,$B$2:$B$366,$A$2:$A$366,1,1)</f>
        <v>1790518.2235332187</v>
      </c>
      <c r="D439" s="35">
        <f>C439-_xlfn.FORECAST.ETS.CONFINT(A439,$B$2:$B$366,$A$2:$A$366,0.95,1,1)</f>
        <v>1672071.8086949945</v>
      </c>
      <c r="E439" s="35">
        <f>C439+_xlfn.FORECAST.ETS.CONFINT(A439,$B$2:$B$366,$A$2:$A$366,0.95,1,1)</f>
        <v>1908964.6383714429</v>
      </c>
    </row>
    <row r="440" spans="1:5">
      <c r="A440" s="31">
        <v>21989</v>
      </c>
      <c r="C440" s="35">
        <f>_xlfn.FORECAST.ETS(A440,$B$2:$B$366,$A$2:$A$366,1,1)</f>
        <v>1763368.5930981678</v>
      </c>
      <c r="D440" s="35">
        <f>C440-_xlfn.FORECAST.ETS.CONFINT(A440,$B$2:$B$366,$A$2:$A$366,0.95,1,1)</f>
        <v>1644237.5615643973</v>
      </c>
      <c r="E440" s="35">
        <f>C440+_xlfn.FORECAST.ETS.CONFINT(A440,$B$2:$B$366,$A$2:$A$366,0.95,1,1)</f>
        <v>1882499.6246319383</v>
      </c>
    </row>
    <row r="441" spans="1:5">
      <c r="A441" s="31">
        <v>21990</v>
      </c>
      <c r="C441" s="35">
        <f>_xlfn.FORECAST.ETS(A441,$B$2:$B$366,$A$2:$A$366,1,1)</f>
        <v>1778196.4777174643</v>
      </c>
      <c r="D441" s="35">
        <f>C441-_xlfn.FORECAST.ETS.CONFINT(A441,$B$2:$B$366,$A$2:$A$366,0.95,1,1)</f>
        <v>1658380.5450576418</v>
      </c>
      <c r="E441" s="35">
        <f>C441+_xlfn.FORECAST.ETS.CONFINT(A441,$B$2:$B$366,$A$2:$A$366,0.95,1,1)</f>
        <v>1898012.4103772868</v>
      </c>
    </row>
    <row r="442" spans="1:5">
      <c r="A442" s="31">
        <v>21991</v>
      </c>
      <c r="C442" s="35">
        <f>_xlfn.FORECAST.ETS(A442,$B$2:$B$366,$A$2:$A$366,1,1)</f>
        <v>1775647.5620719385</v>
      </c>
      <c r="D442" s="35">
        <f>C442-_xlfn.FORECAST.ETS.CONFINT(A442,$B$2:$B$366,$A$2:$A$366,0.95,1,1)</f>
        <v>1655146.4358475287</v>
      </c>
      <c r="E442" s="35">
        <f>C442+_xlfn.FORECAST.ETS.CONFINT(A442,$B$2:$B$366,$A$2:$A$366,0.95,1,1)</f>
        <v>1896148.6882963483</v>
      </c>
    </row>
    <row r="443" spans="1:5">
      <c r="A443" s="31">
        <v>21992</v>
      </c>
      <c r="C443" s="35">
        <f>_xlfn.FORECAST.ETS(A443,$B$2:$B$366,$A$2:$A$366,1,1)</f>
        <v>1781664.9900597762</v>
      </c>
      <c r="D443" s="35">
        <f>C443-_xlfn.FORECAST.ETS.CONFINT(A443,$B$2:$B$366,$A$2:$A$366,0.95,1,1)</f>
        <v>1660478.3700074039</v>
      </c>
      <c r="E443" s="35">
        <f>C443+_xlfn.FORECAST.ETS.CONFINT(A443,$B$2:$B$366,$A$2:$A$366,0.95,1,1)</f>
        <v>1902851.6101121486</v>
      </c>
    </row>
    <row r="444" spans="1:5">
      <c r="A444" s="31">
        <v>21993</v>
      </c>
      <c r="C444" s="35">
        <f>_xlfn.FORECAST.ETS(A444,$B$2:$B$366,$A$2:$A$366,1,1)</f>
        <v>1783620.9278550223</v>
      </c>
      <c r="D444" s="35">
        <f>C444-_xlfn.FORECAST.ETS.CONFINT(A444,$B$2:$B$366,$A$2:$A$366,0.95,1,1)</f>
        <v>1660317.1339756136</v>
      </c>
      <c r="E444" s="35">
        <f>C444+_xlfn.FORECAST.ETS.CONFINT(A444,$B$2:$B$366,$A$2:$A$366,0.95,1,1)</f>
        <v>1906924.7217344309</v>
      </c>
    </row>
    <row r="445" spans="1:5">
      <c r="A445" s="31">
        <v>21994</v>
      </c>
      <c r="C445" s="35">
        <f>_xlfn.FORECAST.ETS(A445,$B$2:$B$366,$A$2:$A$366,1,1)</f>
        <v>1790449.8409012088</v>
      </c>
      <c r="D445" s="35">
        <f>C445-_xlfn.FORECAST.ETS.CONFINT(A445,$B$2:$B$366,$A$2:$A$366,0.95,1,1)</f>
        <v>1666467.8508699078</v>
      </c>
      <c r="E445" s="35">
        <f>C445+_xlfn.FORECAST.ETS.CONFINT(A445,$B$2:$B$366,$A$2:$A$366,0.95,1,1)</f>
        <v>1914431.8309325099</v>
      </c>
    </row>
    <row r="446" spans="1:5">
      <c r="A446" s="31">
        <v>21995</v>
      </c>
      <c r="C446" s="35">
        <f>_xlfn.FORECAST.ETS(A446,$B$2:$B$366,$A$2:$A$366,1,1)</f>
        <v>1789790.1487477657</v>
      </c>
      <c r="D446" s="35">
        <f>C446-_xlfn.FORECAST.ETS.CONFINT(A446,$B$2:$B$366,$A$2:$A$366,0.95,1,1)</f>
        <v>1665129.5568523007</v>
      </c>
      <c r="E446" s="35">
        <f>C446+_xlfn.FORECAST.ETS.CONFINT(A446,$B$2:$B$366,$A$2:$A$366,0.95,1,1)</f>
        <v>1914450.7406432307</v>
      </c>
    </row>
    <row r="447" spans="1:5">
      <c r="A447" s="31">
        <v>21996</v>
      </c>
      <c r="C447" s="35">
        <f>_xlfn.FORECAST.ETS(A447,$B$2:$B$366,$A$2:$A$366,1,1)</f>
        <v>1762640.5183127148</v>
      </c>
      <c r="D447" s="35">
        <f>C447-_xlfn.FORECAST.ETS.CONFINT(A447,$B$2:$B$366,$A$2:$A$366,0.95,1,1)</f>
        <v>1637300.9130689306</v>
      </c>
      <c r="E447" s="35">
        <f>C447+_xlfn.FORECAST.ETS.CONFINT(A447,$B$2:$B$366,$A$2:$A$366,0.95,1,1)</f>
        <v>1887980.1235564989</v>
      </c>
    </row>
    <row r="448" spans="1:5">
      <c r="A448" s="31">
        <v>21997</v>
      </c>
      <c r="C448" s="35">
        <f>_xlfn.FORECAST.ETS(A448,$B$2:$B$366,$A$2:$A$366,1,1)</f>
        <v>1777468.4029320113</v>
      </c>
      <c r="D448" s="35">
        <f>C448-_xlfn.FORECAST.ETS.CONFINT(A448,$B$2:$B$366,$A$2:$A$366,0.95,1,1)</f>
        <v>1651449.3672122629</v>
      </c>
      <c r="E448" s="35">
        <f>C448+_xlfn.FORECAST.ETS.CONFINT(A448,$B$2:$B$366,$A$2:$A$366,0.95,1,1)</f>
        <v>1903487.4386517596</v>
      </c>
    </row>
    <row r="449" spans="1:5">
      <c r="A449" s="31">
        <v>21998</v>
      </c>
      <c r="C449" s="35">
        <f>_xlfn.FORECAST.ETS(A449,$B$2:$B$366,$A$2:$A$366,1,1)</f>
        <v>1774919.4872864855</v>
      </c>
      <c r="D449" s="35">
        <f>C449-_xlfn.FORECAST.ETS.CONFINT(A449,$B$2:$B$366,$A$2:$A$366,0.95,1,1)</f>
        <v>1648220.5984447747</v>
      </c>
      <c r="E449" s="35">
        <f>C449+_xlfn.FORECAST.ETS.CONFINT(A449,$B$2:$B$366,$A$2:$A$366,0.95,1,1)</f>
        <v>1901618.3761281963</v>
      </c>
    </row>
    <row r="450" spans="1:5">
      <c r="A450" s="31">
        <v>21999</v>
      </c>
      <c r="C450" s="35">
        <f>_xlfn.FORECAST.ETS(A450,$B$2:$B$366,$A$2:$A$366,1,1)</f>
        <v>1780936.915274323</v>
      </c>
      <c r="D450" s="35">
        <f>C450-_xlfn.FORECAST.ETS.CONFINT(A450,$B$2:$B$366,$A$2:$A$366,0.95,1,1)</f>
        <v>1653557.7452682806</v>
      </c>
      <c r="E450" s="35">
        <f>C450+_xlfn.FORECAST.ETS.CONFINT(A450,$B$2:$B$366,$A$2:$A$366,0.95,1,1)</f>
        <v>1908316.0852803653</v>
      </c>
    </row>
    <row r="451" spans="1:5">
      <c r="A451" s="31">
        <v>22000</v>
      </c>
      <c r="C451" s="35">
        <f>_xlfn.FORECAST.ETS(A451,$B$2:$B$366,$A$2:$A$366,1,1)</f>
        <v>1782892.853069569</v>
      </c>
      <c r="D451" s="35">
        <f>C451-_xlfn.FORECAST.ETS.CONFINT(A451,$B$2:$B$366,$A$2:$A$366,0.95,1,1)</f>
        <v>1653449.0610333374</v>
      </c>
      <c r="E451" s="35">
        <f>C451+_xlfn.FORECAST.ETS.CONFINT(A451,$B$2:$B$366,$A$2:$A$366,0.95,1,1)</f>
        <v>1912336.6451058006</v>
      </c>
    </row>
    <row r="452" spans="1:5">
      <c r="A452" s="31">
        <v>22001</v>
      </c>
      <c r="C452" s="35">
        <f>_xlfn.FORECAST.ETS(A452,$B$2:$B$366,$A$2:$A$366,1,1)</f>
        <v>1789721.7661157558</v>
      </c>
      <c r="D452" s="35">
        <f>C452-_xlfn.FORECAST.ETS.CONFINT(A452,$B$2:$B$366,$A$2:$A$366,0.95,1,1)</f>
        <v>1659604.0655280387</v>
      </c>
      <c r="E452" s="35">
        <f>C452+_xlfn.FORECAST.ETS.CONFINT(A452,$B$2:$B$366,$A$2:$A$366,0.95,1,1)</f>
        <v>1919839.4667034729</v>
      </c>
    </row>
    <row r="453" spans="1:5">
      <c r="A453" s="31">
        <v>22002</v>
      </c>
      <c r="C453" s="35">
        <f>_xlfn.FORECAST.ETS(A453,$B$2:$B$366,$A$2:$A$366,1,1)</f>
        <v>1789062.0739623127</v>
      </c>
      <c r="D453" s="35">
        <f>C453-_xlfn.FORECAST.ETS.CONFINT(A453,$B$2:$B$366,$A$2:$A$366,0.95,1,1)</f>
        <v>1658269.9508820341</v>
      </c>
      <c r="E453" s="35">
        <f>C453+_xlfn.FORECAST.ETS.CONFINT(A453,$B$2:$B$366,$A$2:$A$366,0.95,1,1)</f>
        <v>1919854.1970425912</v>
      </c>
    </row>
    <row r="454" spans="1:5">
      <c r="A454" s="31">
        <v>22003</v>
      </c>
      <c r="C454" s="35">
        <f>_xlfn.FORECAST.ETS(A454,$B$2:$B$366,$A$2:$A$366,1,1)</f>
        <v>1761912.4435272617</v>
      </c>
      <c r="D454" s="35">
        <f>C454-_xlfn.FORECAST.ETS.CONFINT(A454,$B$2:$B$366,$A$2:$A$366,0.95,1,1)</f>
        <v>1630445.3801374196</v>
      </c>
      <c r="E454" s="35">
        <f>C454+_xlfn.FORECAST.ETS.CONFINT(A454,$B$2:$B$366,$A$2:$A$366,0.95,1,1)</f>
        <v>1893379.5069171039</v>
      </c>
    </row>
    <row r="455" spans="1:5">
      <c r="A455" s="31">
        <v>22004</v>
      </c>
      <c r="C455" s="35">
        <f>_xlfn.FORECAST.ETS(A455,$B$2:$B$366,$A$2:$A$366,1,1)</f>
        <v>1776740.3281465583</v>
      </c>
      <c r="D455" s="35">
        <f>C455-_xlfn.FORECAST.ETS.CONFINT(A455,$B$2:$B$366,$A$2:$A$366,0.95,1,1)</f>
        <v>1644597.8028394689</v>
      </c>
      <c r="E455" s="35">
        <f>C455+_xlfn.FORECAST.ETS.CONFINT(A455,$B$2:$B$366,$A$2:$A$366,0.95,1,1)</f>
        <v>1908882.8534536476</v>
      </c>
    </row>
    <row r="456" spans="1:5">
      <c r="A456" s="31">
        <v>22005</v>
      </c>
      <c r="C456" s="35">
        <f>_xlfn.FORECAST.ETS(A456,$B$2:$B$366,$A$2:$A$366,1,1)</f>
        <v>1774191.4125010325</v>
      </c>
      <c r="D456" s="35">
        <f>C456-_xlfn.FORECAST.ETS.CONFINT(A456,$B$2:$B$366,$A$2:$A$366,0.95,1,1)</f>
        <v>1641372.8999615591</v>
      </c>
      <c r="E456" s="35">
        <f>C456+_xlfn.FORECAST.ETS.CONFINT(A456,$B$2:$B$366,$A$2:$A$366,0.95,1,1)</f>
        <v>1907009.9250405058</v>
      </c>
    </row>
    <row r="457" spans="1:5">
      <c r="A457" s="31">
        <v>22006</v>
      </c>
      <c r="C457" s="35">
        <f>_xlfn.FORECAST.ETS(A457,$B$2:$B$366,$A$2:$A$366,1,1)</f>
        <v>1780208.8404888699</v>
      </c>
      <c r="D457" s="35">
        <f>C457-_xlfn.FORECAST.ETS.CONFINT(A457,$B$2:$B$366,$A$2:$A$366,0.95,1,1)</f>
        <v>1646713.8117756883</v>
      </c>
      <c r="E457" s="35">
        <f>C457+_xlfn.FORECAST.ETS.CONFINT(A457,$B$2:$B$366,$A$2:$A$366,0.95,1,1)</f>
        <v>1913703.8692020515</v>
      </c>
    </row>
    <row r="458" spans="1:5">
      <c r="A458" s="31">
        <v>22007</v>
      </c>
      <c r="C458" s="35">
        <f>_xlfn.FORECAST.ETS(A458,$B$2:$B$366,$A$2:$A$366,1,1)</f>
        <v>1782164.7782841159</v>
      </c>
      <c r="D458" s="35">
        <f>C458-_xlfn.FORECAST.ETS.CONFINT(A458,$B$2:$B$366,$A$2:$A$366,0.95,1,1)</f>
        <v>1646651.197720133</v>
      </c>
      <c r="E458" s="35">
        <f>C458+_xlfn.FORECAST.ETS.CONFINT(A458,$B$2:$B$366,$A$2:$A$366,0.95,1,1)</f>
        <v>1917678.3588480989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zoomScale="90" zoomScaleNormal="90" workbookViewId="0">
      <selection activeCell="B2" sqref="B2:K366"/>
    </sheetView>
  </sheetViews>
  <sheetFormatPr defaultColWidth="11.25" defaultRowHeight="15" customHeight="1"/>
  <cols>
    <col min="1" max="4" width="11" customWidth="1"/>
    <col min="5" max="5" width="12.125" customWidth="1"/>
    <col min="6" max="6" width="14.5" customWidth="1"/>
    <col min="7" max="7" width="23.5" customWidth="1"/>
    <col min="8" max="8" width="12" customWidth="1"/>
    <col min="9" max="9" width="12.875" customWidth="1"/>
    <col min="10" max="10" width="21.375" bestFit="1" customWidth="1"/>
    <col min="11" max="11" width="22.875" customWidth="1"/>
    <col min="14" max="17" width="11" customWidth="1"/>
    <col min="20" max="22" width="11" customWidth="1"/>
    <col min="23" max="23" width="15.375" customWidth="1"/>
    <col min="24" max="24" width="14" customWidth="1"/>
    <col min="25" max="25" width="14.375" customWidth="1"/>
    <col min="26" max="26" width="11" customWidth="1"/>
  </cols>
  <sheetData>
    <row r="1" spans="1:25" ht="15.75" customHeight="1">
      <c r="A1" s="2" t="s">
        <v>17</v>
      </c>
      <c r="B1" s="2" t="s">
        <v>15</v>
      </c>
      <c r="C1" s="1" t="s">
        <v>0</v>
      </c>
      <c r="D1" s="2" t="s">
        <v>1</v>
      </c>
      <c r="E1" s="2" t="s">
        <v>18</v>
      </c>
      <c r="F1" s="2" t="s">
        <v>19</v>
      </c>
      <c r="G1" s="2" t="s">
        <v>20</v>
      </c>
      <c r="H1" s="14" t="s">
        <v>14</v>
      </c>
      <c r="I1" s="2" t="s">
        <v>4</v>
      </c>
      <c r="J1" s="2" t="s">
        <v>5</v>
      </c>
      <c r="K1" s="2" t="s">
        <v>6</v>
      </c>
    </row>
    <row r="2" spans="1:25" ht="15.75" customHeight="1">
      <c r="A2" s="4" t="str">
        <f t="shared" ref="A2:A256" si="0">IF(MONTH(C2)=1, "Jan",  IF(MONTH(C2) = 2, "Feb", IF(MONTH(C2) = 3, "Mar", IF(MONTH(C2) = 4, "Apr", IF(MONTH(C2) = 5, "May", IF(MONTH(C2) = 6, "Jun", IF(MONTH(C2) = 7, "Jul", IF(MONTH(C2) = 8, "Aug", IF(MONTH(C2) = 9, "Sep", IF(MONTH(C2) = 10, "Oct", IF(MONTH(C2) = 11, "Nov", "Dec")))))))))))</f>
        <v>Jan</v>
      </c>
      <c r="B2" s="4">
        <v>1</v>
      </c>
      <c r="C2" s="3">
        <v>21551</v>
      </c>
      <c r="D2" s="4">
        <v>35</v>
      </c>
      <c r="E2" s="15">
        <f>$O$2+($O$3*B2)</f>
        <v>38.507433191107125</v>
      </c>
      <c r="F2" s="8">
        <f>VLOOKUP(A2,V7:$Y$19,4,FALSE)</f>
        <v>0.93206922757903476</v>
      </c>
      <c r="G2" s="15">
        <f>E2*F2</f>
        <v>35.891593510486501</v>
      </c>
      <c r="H2" s="8">
        <f>D2-G2</f>
        <v>-0.89159351048650137</v>
      </c>
      <c r="I2" s="8">
        <f>ABS(H2)</f>
        <v>0.89159351048650137</v>
      </c>
      <c r="J2" s="8">
        <f>I2^2</f>
        <v>0.79493898794164308</v>
      </c>
      <c r="K2" s="5">
        <f>I2/D2</f>
        <v>2.5474100299614326E-2</v>
      </c>
      <c r="N2" s="18" t="s">
        <v>21</v>
      </c>
      <c r="O2" s="18">
        <f>INTERCEPT(D2:D366,B2:B366)</f>
        <v>38.488348637663712</v>
      </c>
    </row>
    <row r="3" spans="1:25" ht="15.75" customHeight="1" thickBot="1">
      <c r="A3" s="4" t="str">
        <f t="shared" si="0"/>
        <v>Jan</v>
      </c>
      <c r="B3" s="4">
        <v>2</v>
      </c>
      <c r="C3" s="3">
        <v>21552</v>
      </c>
      <c r="D3" s="4">
        <v>32</v>
      </c>
      <c r="E3" s="15">
        <f>$O$2+($O$3*B3)</f>
        <v>38.526517744550539</v>
      </c>
      <c r="F3" s="8">
        <f>VLOOKUP(A3,V8:$Y$19,4,FALSE)</f>
        <v>0.93206922757903476</v>
      </c>
      <c r="G3" s="15">
        <f>E3*F3</f>
        <v>35.909381635473196</v>
      </c>
      <c r="H3" s="8">
        <f t="shared" ref="H3:H66" si="1">D3-G3</f>
        <v>-3.9093816354731956</v>
      </c>
      <c r="I3" s="8">
        <f t="shared" ref="I3:I66" si="2">ABS(H3)</f>
        <v>3.9093816354731956</v>
      </c>
      <c r="J3" s="8">
        <f t="shared" ref="J3:J66" si="3">I3^2</f>
        <v>15.283264771775078</v>
      </c>
      <c r="K3" s="5">
        <f t="shared" ref="K3:K66" si="4">I3/D3</f>
        <v>0.12216817610853736</v>
      </c>
      <c r="N3" s="19" t="s">
        <v>22</v>
      </c>
      <c r="O3" s="19">
        <f>SLOPE(D2:D366,B2:B366)</f>
        <v>1.9084553443412627E-2</v>
      </c>
    </row>
    <row r="4" spans="1:25" ht="15.75" customHeight="1">
      <c r="A4" s="4" t="str">
        <f t="shared" si="0"/>
        <v>Jan</v>
      </c>
      <c r="B4" s="4">
        <v>3</v>
      </c>
      <c r="C4" s="3">
        <v>21553</v>
      </c>
      <c r="D4" s="4">
        <v>30</v>
      </c>
      <c r="E4" s="15">
        <f>$O$2+($O$3*B4)</f>
        <v>38.545602297993952</v>
      </c>
      <c r="F4" s="8">
        <v>0.93206922757903476</v>
      </c>
      <c r="G4" s="15">
        <f>E4*F4</f>
        <v>35.92716976045989</v>
      </c>
      <c r="H4" s="8">
        <f t="shared" si="1"/>
        <v>-5.9271697604598899</v>
      </c>
      <c r="I4" s="8">
        <f t="shared" si="2"/>
        <v>5.9271697604598899</v>
      </c>
      <c r="J4" s="8">
        <f t="shared" si="3"/>
        <v>35.13134136931015</v>
      </c>
      <c r="K4" s="5">
        <f t="shared" si="4"/>
        <v>0.19757232534866301</v>
      </c>
    </row>
    <row r="5" spans="1:25" ht="15.75" customHeight="1">
      <c r="A5" s="4" t="str">
        <f t="shared" si="0"/>
        <v>Jan</v>
      </c>
      <c r="B5" s="4">
        <v>4</v>
      </c>
      <c r="C5" s="3">
        <v>21554</v>
      </c>
      <c r="D5" s="4">
        <v>31</v>
      </c>
      <c r="E5" s="15">
        <f>$O$2+($O$3*B5)</f>
        <v>38.564686851437365</v>
      </c>
      <c r="F5" s="8">
        <v>0.93206922757903476</v>
      </c>
      <c r="G5" s="15">
        <f>E5*F5</f>
        <v>35.944957885446584</v>
      </c>
      <c r="H5" s="8">
        <f t="shared" si="1"/>
        <v>-4.9449578854465841</v>
      </c>
      <c r="I5" s="8">
        <f t="shared" si="2"/>
        <v>4.9449578854465841</v>
      </c>
      <c r="J5" s="8">
        <f t="shared" si="3"/>
        <v>24.452608488840351</v>
      </c>
      <c r="K5" s="5">
        <f t="shared" si="4"/>
        <v>0.15951477049827692</v>
      </c>
    </row>
    <row r="6" spans="1:25" ht="15.75" customHeight="1">
      <c r="A6" s="4" t="str">
        <f t="shared" si="0"/>
        <v>Jan</v>
      </c>
      <c r="B6" s="4">
        <v>5</v>
      </c>
      <c r="C6" s="3">
        <v>21555</v>
      </c>
      <c r="D6" s="4">
        <v>44</v>
      </c>
      <c r="E6" s="15">
        <f>$O$2+($O$3*B6)</f>
        <v>38.583771404880778</v>
      </c>
      <c r="F6" s="8">
        <v>0.93206922757903476</v>
      </c>
      <c r="G6" s="15">
        <f>E6*F6</f>
        <v>35.962746010433278</v>
      </c>
      <c r="H6" s="8">
        <f t="shared" si="1"/>
        <v>8.0372539895667217</v>
      </c>
      <c r="I6" s="8">
        <f t="shared" si="2"/>
        <v>8.0372539895667217</v>
      </c>
      <c r="J6" s="8">
        <f t="shared" si="3"/>
        <v>64.597451692806189</v>
      </c>
      <c r="K6" s="5">
        <f t="shared" si="4"/>
        <v>0.18266486339924368</v>
      </c>
      <c r="W6" s="20" t="s">
        <v>23</v>
      </c>
    </row>
    <row r="7" spans="1:25" ht="15.75" customHeight="1">
      <c r="A7" s="4" t="str">
        <f t="shared" si="0"/>
        <v>Jan</v>
      </c>
      <c r="B7" s="4">
        <v>6</v>
      </c>
      <c r="C7" s="3">
        <v>21556</v>
      </c>
      <c r="D7" s="4">
        <v>29</v>
      </c>
      <c r="E7" s="15">
        <f>$O$2+($O$3*B7)</f>
        <v>38.602855958324191</v>
      </c>
      <c r="F7" s="8">
        <v>0.93206922757903476</v>
      </c>
      <c r="G7" s="15">
        <f>E7*F7</f>
        <v>35.980534135419965</v>
      </c>
      <c r="H7" s="8">
        <f t="shared" si="1"/>
        <v>-6.9805341354199655</v>
      </c>
      <c r="I7" s="8">
        <f t="shared" si="2"/>
        <v>6.9805341354199655</v>
      </c>
      <c r="J7" s="8">
        <f t="shared" si="3"/>
        <v>48.727856815763367</v>
      </c>
      <c r="K7" s="5">
        <f t="shared" si="4"/>
        <v>0.24070807363517122</v>
      </c>
      <c r="V7" s="6" t="s">
        <v>17</v>
      </c>
      <c r="W7" s="6" t="s">
        <v>24</v>
      </c>
      <c r="X7" s="6" t="s">
        <v>25</v>
      </c>
      <c r="Y7" s="6" t="s">
        <v>26</v>
      </c>
    </row>
    <row r="8" spans="1:25" ht="15.75" customHeight="1">
      <c r="A8" s="4" t="str">
        <f t="shared" si="0"/>
        <v>Jan</v>
      </c>
      <c r="B8" s="4">
        <v>7</v>
      </c>
      <c r="C8" s="3">
        <v>21557</v>
      </c>
      <c r="D8" s="4">
        <v>45</v>
      </c>
      <c r="E8" s="15">
        <f>$O$2+($O$3*B8)</f>
        <v>38.621940511767598</v>
      </c>
      <c r="F8" s="8">
        <v>0.93206922757903476</v>
      </c>
      <c r="G8" s="15">
        <f>E8*F8</f>
        <v>35.998322260406653</v>
      </c>
      <c r="H8" s="8">
        <f t="shared" si="1"/>
        <v>9.0016777395933474</v>
      </c>
      <c r="I8" s="8">
        <f t="shared" si="2"/>
        <v>9.0016777395933474</v>
      </c>
      <c r="J8" s="8">
        <f t="shared" si="3"/>
        <v>81.030202127490398</v>
      </c>
      <c r="K8" s="5">
        <f t="shared" si="4"/>
        <v>0.20003728310207439</v>
      </c>
      <c r="N8" s="6" t="s">
        <v>7</v>
      </c>
      <c r="O8" s="7">
        <f>AVERAGE(I2:I366)</f>
        <v>5.6272218112411752</v>
      </c>
      <c r="V8" s="21" t="s">
        <v>27</v>
      </c>
      <c r="W8" s="15">
        <f t="shared" ref="W8:W19" si="5">AVERAGEIF($A$2:$A$366,V8,$D$2:$D$366)</f>
        <v>39.12903225806452</v>
      </c>
      <c r="X8" s="15">
        <f t="shared" ref="X8:X19" si="6">AVERAGE($D$2:$D$366)</f>
        <v>41.980821917808221</v>
      </c>
      <c r="Y8" s="8">
        <f t="shared" ref="Y8:Y19" si="7">W8/X8</f>
        <v>0.93206922757903476</v>
      </c>
    </row>
    <row r="9" spans="1:25" ht="15.75" customHeight="1">
      <c r="A9" s="4" t="str">
        <f t="shared" si="0"/>
        <v>Jan</v>
      </c>
      <c r="B9" s="4">
        <v>8</v>
      </c>
      <c r="C9" s="3">
        <v>21558</v>
      </c>
      <c r="D9" s="4">
        <v>43</v>
      </c>
      <c r="E9" s="15">
        <f>$O$2+($O$3*B9)</f>
        <v>38.641025065211011</v>
      </c>
      <c r="F9" s="8">
        <v>0.93206922757903476</v>
      </c>
      <c r="G9" s="15">
        <f>E9*F9</f>
        <v>36.016110385393347</v>
      </c>
      <c r="H9" s="8">
        <f t="shared" si="1"/>
        <v>6.9838896146066531</v>
      </c>
      <c r="I9" s="8">
        <f t="shared" si="2"/>
        <v>6.9838896146066531</v>
      </c>
      <c r="J9" s="8">
        <f t="shared" si="3"/>
        <v>48.774714149010663</v>
      </c>
      <c r="K9" s="5">
        <f t="shared" si="4"/>
        <v>0.16241603754899192</v>
      </c>
      <c r="N9" s="2" t="s">
        <v>8</v>
      </c>
      <c r="O9" s="8">
        <f>AVERAGE(J2:J366)</f>
        <v>50.409445478174696</v>
      </c>
      <c r="V9" s="21" t="s">
        <v>28</v>
      </c>
      <c r="W9" s="15">
        <f t="shared" si="5"/>
        <v>41</v>
      </c>
      <c r="X9" s="15">
        <f t="shared" si="6"/>
        <v>41.980821917808221</v>
      </c>
      <c r="Y9" s="8">
        <f t="shared" si="7"/>
        <v>0.97663642889773539</v>
      </c>
    </row>
    <row r="10" spans="1:25" ht="15.75" customHeight="1">
      <c r="A10" s="4" t="str">
        <f t="shared" si="0"/>
        <v>Jan</v>
      </c>
      <c r="B10" s="4">
        <v>9</v>
      </c>
      <c r="C10" s="3">
        <v>21559</v>
      </c>
      <c r="D10" s="4">
        <v>38</v>
      </c>
      <c r="E10" s="15">
        <f>$O$2+($O$3*B10)</f>
        <v>38.660109618654424</v>
      </c>
      <c r="F10" s="8">
        <v>0.93206922757903476</v>
      </c>
      <c r="G10" s="15">
        <f>E10*F10</f>
        <v>36.033898510380041</v>
      </c>
      <c r="H10" s="8">
        <f t="shared" si="1"/>
        <v>1.9661014896199589</v>
      </c>
      <c r="I10" s="8">
        <f t="shared" si="2"/>
        <v>1.9661014896199589</v>
      </c>
      <c r="J10" s="8">
        <f t="shared" si="3"/>
        <v>3.8655550674858214</v>
      </c>
      <c r="K10" s="5">
        <f t="shared" si="4"/>
        <v>5.1739512884735758E-2</v>
      </c>
      <c r="N10" s="2" t="s">
        <v>9</v>
      </c>
      <c r="O10" s="5">
        <f>AVERAGE(K2:K366)</f>
        <v>0.13778263128762683</v>
      </c>
      <c r="V10" s="21" t="s">
        <v>29</v>
      </c>
      <c r="W10" s="15">
        <f t="shared" si="5"/>
        <v>39.29032258064516</v>
      </c>
      <c r="X10" s="15">
        <f t="shared" si="6"/>
        <v>41.980821917808221</v>
      </c>
      <c r="Y10" s="8">
        <f t="shared" si="7"/>
        <v>0.93591122769271573</v>
      </c>
    </row>
    <row r="11" spans="1:25" ht="15.75" customHeight="1" thickBot="1">
      <c r="A11" s="4" t="str">
        <f t="shared" si="0"/>
        <v>Jan</v>
      </c>
      <c r="B11" s="4">
        <v>10</v>
      </c>
      <c r="C11" s="3">
        <v>21560</v>
      </c>
      <c r="D11" s="4">
        <v>27</v>
      </c>
      <c r="E11" s="15">
        <f>$O$2+($O$3*B11)</f>
        <v>38.679194172097837</v>
      </c>
      <c r="F11" s="8">
        <v>0.93206922757903476</v>
      </c>
      <c r="G11" s="15">
        <f>E11*F11</f>
        <v>36.051686635366735</v>
      </c>
      <c r="H11" s="8">
        <f t="shared" si="1"/>
        <v>-9.0516866353667353</v>
      </c>
      <c r="I11" s="8">
        <f t="shared" si="2"/>
        <v>9.0516866353667353</v>
      </c>
      <c r="J11" s="8">
        <f t="shared" si="3"/>
        <v>81.933030944876776</v>
      </c>
      <c r="K11" s="5">
        <f t="shared" si="4"/>
        <v>0.33524765316173094</v>
      </c>
      <c r="N11" s="16" t="s">
        <v>10</v>
      </c>
      <c r="O11" s="17">
        <f>100% - O10</f>
        <v>0.8622173687123732</v>
      </c>
      <c r="V11" s="21" t="s">
        <v>30</v>
      </c>
      <c r="W11" s="15">
        <f t="shared" si="5"/>
        <v>39.833333333333336</v>
      </c>
      <c r="X11" s="15">
        <f t="shared" si="6"/>
        <v>41.980821917808221</v>
      </c>
      <c r="Y11" s="8">
        <f t="shared" si="7"/>
        <v>0.94884596140877553</v>
      </c>
    </row>
    <row r="12" spans="1:25" ht="15.75" customHeight="1">
      <c r="A12" s="4" t="str">
        <f t="shared" si="0"/>
        <v>Jan</v>
      </c>
      <c r="B12" s="4">
        <v>11</v>
      </c>
      <c r="C12" s="3">
        <v>21561</v>
      </c>
      <c r="D12" s="4">
        <v>38</v>
      </c>
      <c r="E12" s="15">
        <f>$O$2+($O$3*B12)</f>
        <v>38.69827872554125</v>
      </c>
      <c r="F12" s="8">
        <v>0.93206922757903476</v>
      </c>
      <c r="G12" s="15">
        <f>E12*F12</f>
        <v>36.06947476035343</v>
      </c>
      <c r="H12" s="8">
        <f t="shared" si="1"/>
        <v>1.9305252396465704</v>
      </c>
      <c r="I12" s="8">
        <f t="shared" si="2"/>
        <v>1.9305252396465704</v>
      </c>
      <c r="J12" s="8">
        <f t="shared" si="3"/>
        <v>3.726927700912448</v>
      </c>
      <c r="K12" s="5">
        <f t="shared" si="4"/>
        <v>5.0803295780172904E-2</v>
      </c>
      <c r="V12" s="21" t="s">
        <v>31</v>
      </c>
      <c r="W12" s="15">
        <f t="shared" si="5"/>
        <v>38.967741935483872</v>
      </c>
      <c r="X12" s="15">
        <f t="shared" si="6"/>
        <v>41.980821917808221</v>
      </c>
      <c r="Y12" s="8">
        <f t="shared" si="7"/>
        <v>0.92822722746535358</v>
      </c>
    </row>
    <row r="13" spans="1:25" ht="15.75" customHeight="1">
      <c r="A13" s="4" t="str">
        <f t="shared" si="0"/>
        <v>Jan</v>
      </c>
      <c r="B13" s="4">
        <v>12</v>
      </c>
      <c r="C13" s="3">
        <v>21562</v>
      </c>
      <c r="D13" s="4">
        <v>33</v>
      </c>
      <c r="E13" s="15">
        <f>$O$2+($O$3*B13)</f>
        <v>38.717363278984664</v>
      </c>
      <c r="F13" s="8">
        <v>0.93206922757903476</v>
      </c>
      <c r="G13" s="15">
        <f>E13*F13</f>
        <v>36.087262885340117</v>
      </c>
      <c r="H13" s="8">
        <f t="shared" si="1"/>
        <v>-3.0872628853401167</v>
      </c>
      <c r="I13" s="8">
        <f t="shared" si="2"/>
        <v>3.0872628853401167</v>
      </c>
      <c r="J13" s="8">
        <f t="shared" si="3"/>
        <v>9.5311921231985828</v>
      </c>
      <c r="K13" s="5">
        <f t="shared" si="4"/>
        <v>9.3553420767882325E-2</v>
      </c>
      <c r="V13" s="21" t="s">
        <v>32</v>
      </c>
      <c r="W13" s="15">
        <f t="shared" si="5"/>
        <v>40.4</v>
      </c>
      <c r="X13" s="15">
        <f t="shared" si="6"/>
        <v>41.980821917808221</v>
      </c>
      <c r="Y13" s="8">
        <f t="shared" si="7"/>
        <v>0.96234418847484171</v>
      </c>
    </row>
    <row r="14" spans="1:25" ht="15.75" customHeight="1">
      <c r="A14" s="4" t="str">
        <f t="shared" si="0"/>
        <v>Jan</v>
      </c>
      <c r="B14" s="4">
        <v>13</v>
      </c>
      <c r="C14" s="3">
        <v>21563</v>
      </c>
      <c r="D14" s="4">
        <v>55</v>
      </c>
      <c r="E14" s="15">
        <f>$O$2+($O$3*B14)</f>
        <v>38.736447832428077</v>
      </c>
      <c r="F14" s="8">
        <v>0.93206922757903476</v>
      </c>
      <c r="G14" s="15">
        <f>E14*F14</f>
        <v>36.105051010326811</v>
      </c>
      <c r="H14" s="8">
        <f t="shared" si="1"/>
        <v>18.894948989673189</v>
      </c>
      <c r="I14" s="8">
        <f t="shared" si="2"/>
        <v>18.894948989673189</v>
      </c>
      <c r="J14" s="8">
        <f t="shared" si="3"/>
        <v>357.01909732235185</v>
      </c>
      <c r="K14" s="5">
        <f t="shared" si="4"/>
        <v>0.34354452708496708</v>
      </c>
      <c r="V14" s="21" t="s">
        <v>33</v>
      </c>
      <c r="W14" s="15">
        <f t="shared" si="5"/>
        <v>41.935483870967744</v>
      </c>
      <c r="X14" s="15">
        <f t="shared" si="6"/>
        <v>41.980821917808221</v>
      </c>
      <c r="Y14" s="8">
        <f t="shared" si="7"/>
        <v>0.99892002955708581</v>
      </c>
    </row>
    <row r="15" spans="1:25" ht="15.75" customHeight="1">
      <c r="A15" s="4" t="str">
        <f t="shared" si="0"/>
        <v>Jan</v>
      </c>
      <c r="B15" s="4">
        <v>14</v>
      </c>
      <c r="C15" s="3">
        <v>21564</v>
      </c>
      <c r="D15" s="4">
        <v>47</v>
      </c>
      <c r="E15" s="15">
        <f>$O$2+($O$3*B15)</f>
        <v>38.75553238587149</v>
      </c>
      <c r="F15" s="8">
        <v>0.93206922757903476</v>
      </c>
      <c r="G15" s="15">
        <f>E15*F15</f>
        <v>36.122839135313505</v>
      </c>
      <c r="H15" s="8">
        <f t="shared" si="1"/>
        <v>10.877160864686495</v>
      </c>
      <c r="I15" s="8">
        <f t="shared" si="2"/>
        <v>10.877160864686495</v>
      </c>
      <c r="J15" s="8">
        <f t="shared" si="3"/>
        <v>118.31262847626745</v>
      </c>
      <c r="K15" s="5">
        <f t="shared" si="4"/>
        <v>0.23142895456779777</v>
      </c>
      <c r="V15" s="21" t="s">
        <v>34</v>
      </c>
      <c r="W15" s="15">
        <f t="shared" si="5"/>
        <v>43.58064516129032</v>
      </c>
      <c r="X15" s="15">
        <f t="shared" si="6"/>
        <v>41.980821917808221</v>
      </c>
      <c r="Y15" s="8">
        <f t="shared" si="7"/>
        <v>1.0381084307166328</v>
      </c>
    </row>
    <row r="16" spans="1:25" ht="15.75" customHeight="1">
      <c r="A16" s="4" t="str">
        <f t="shared" si="0"/>
        <v>Jan</v>
      </c>
      <c r="B16" s="4">
        <v>15</v>
      </c>
      <c r="C16" s="3">
        <v>21565</v>
      </c>
      <c r="D16" s="4">
        <v>45</v>
      </c>
      <c r="E16" s="15">
        <f>$O$2+($O$3*B16)</f>
        <v>38.774616939314903</v>
      </c>
      <c r="F16" s="8">
        <v>0.93206922757903476</v>
      </c>
      <c r="G16" s="15">
        <f>E16*F16</f>
        <v>36.140627260300199</v>
      </c>
      <c r="H16" s="8">
        <f t="shared" si="1"/>
        <v>8.8593727396998005</v>
      </c>
      <c r="I16" s="8">
        <f t="shared" si="2"/>
        <v>8.8593727396998005</v>
      </c>
      <c r="J16" s="8">
        <f t="shared" si="3"/>
        <v>78.488485340935952</v>
      </c>
      <c r="K16" s="5">
        <f t="shared" si="4"/>
        <v>0.19687494977110667</v>
      </c>
      <c r="V16" s="21" t="s">
        <v>35</v>
      </c>
      <c r="W16" s="15">
        <f t="shared" si="5"/>
        <v>48.2</v>
      </c>
      <c r="X16" s="15">
        <f t="shared" si="6"/>
        <v>41.980821917808221</v>
      </c>
      <c r="Y16" s="8">
        <f t="shared" si="7"/>
        <v>1.1481433139724597</v>
      </c>
    </row>
    <row r="17" spans="1:25" ht="15.75" customHeight="1">
      <c r="A17" s="4" t="str">
        <f t="shared" si="0"/>
        <v>Jan</v>
      </c>
      <c r="B17" s="4">
        <v>16</v>
      </c>
      <c r="C17" s="3">
        <v>21566</v>
      </c>
      <c r="D17" s="4">
        <v>37</v>
      </c>
      <c r="E17" s="15">
        <f>$O$2+($O$3*B17)</f>
        <v>38.793701492758316</v>
      </c>
      <c r="F17" s="8">
        <v>0.93206922757903476</v>
      </c>
      <c r="G17" s="15">
        <f>E17*F17</f>
        <v>36.158415385286894</v>
      </c>
      <c r="H17" s="8">
        <f t="shared" si="1"/>
        <v>0.8415846147131063</v>
      </c>
      <c r="I17" s="8">
        <f t="shared" si="2"/>
        <v>0.8415846147131063</v>
      </c>
      <c r="J17" s="8">
        <f t="shared" si="3"/>
        <v>0.70826466372180763</v>
      </c>
      <c r="K17" s="5">
        <f t="shared" si="4"/>
        <v>2.2745530127381251E-2</v>
      </c>
      <c r="V17" s="21" t="s">
        <v>36</v>
      </c>
      <c r="W17" s="15">
        <f t="shared" si="5"/>
        <v>44.12903225806452</v>
      </c>
      <c r="X17" s="15">
        <f t="shared" si="6"/>
        <v>41.980821917808221</v>
      </c>
      <c r="Y17" s="8">
        <f t="shared" si="7"/>
        <v>1.0511712311031487</v>
      </c>
    </row>
    <row r="18" spans="1:25" ht="15.75" customHeight="1">
      <c r="A18" s="4" t="str">
        <f t="shared" si="0"/>
        <v>Jan</v>
      </c>
      <c r="B18" s="4">
        <v>17</v>
      </c>
      <c r="C18" s="3">
        <v>21567</v>
      </c>
      <c r="D18" s="4">
        <v>50</v>
      </c>
      <c r="E18" s="15">
        <f>$O$2+($O$3*B18)</f>
        <v>38.81278604620173</v>
      </c>
      <c r="F18" s="8">
        <v>0.93206922757903476</v>
      </c>
      <c r="G18" s="15">
        <f>E18*F18</f>
        <v>36.176203510273588</v>
      </c>
      <c r="H18" s="8">
        <f t="shared" si="1"/>
        <v>13.823796489726412</v>
      </c>
      <c r="I18" s="8">
        <f t="shared" si="2"/>
        <v>13.823796489726412</v>
      </c>
      <c r="J18" s="8">
        <f t="shared" si="3"/>
        <v>191.09734938937228</v>
      </c>
      <c r="K18" s="5">
        <f t="shared" si="4"/>
        <v>0.27647592979452823</v>
      </c>
      <c r="V18" s="21" t="s">
        <v>37</v>
      </c>
      <c r="W18" s="15">
        <f t="shared" si="5"/>
        <v>45</v>
      </c>
      <c r="X18" s="15">
        <f t="shared" si="6"/>
        <v>41.980821917808221</v>
      </c>
      <c r="Y18" s="8">
        <f t="shared" si="7"/>
        <v>1.0719180317170267</v>
      </c>
    </row>
    <row r="19" spans="1:25" ht="15.75" customHeight="1" thickBot="1">
      <c r="A19" s="4" t="str">
        <f t="shared" si="0"/>
        <v>Jan</v>
      </c>
      <c r="B19" s="4">
        <v>18</v>
      </c>
      <c r="C19" s="3">
        <v>21568</v>
      </c>
      <c r="D19" s="4">
        <v>43</v>
      </c>
      <c r="E19" s="15">
        <f>$O$2+($O$3*B19)</f>
        <v>38.831870599645143</v>
      </c>
      <c r="F19" s="8">
        <v>0.93206922757903476</v>
      </c>
      <c r="G19" s="15">
        <f>E19*F19</f>
        <v>36.193991635260275</v>
      </c>
      <c r="H19" s="8">
        <f t="shared" si="1"/>
        <v>6.8060083647397249</v>
      </c>
      <c r="I19" s="8">
        <f t="shared" si="2"/>
        <v>6.8060083647397249</v>
      </c>
      <c r="J19" s="8">
        <f t="shared" si="3"/>
        <v>46.321749860907104</v>
      </c>
      <c r="K19" s="5">
        <f t="shared" si="4"/>
        <v>0.15827926429627268</v>
      </c>
      <c r="V19" s="19" t="s">
        <v>38</v>
      </c>
      <c r="W19" s="22">
        <f t="shared" si="5"/>
        <v>42.387096774193552</v>
      </c>
      <c r="X19" s="22">
        <f t="shared" si="6"/>
        <v>41.980821917808221</v>
      </c>
      <c r="Y19" s="23">
        <f t="shared" si="7"/>
        <v>1.0096776298753929</v>
      </c>
    </row>
    <row r="20" spans="1:25" ht="15.75" customHeight="1">
      <c r="A20" s="4" t="str">
        <f t="shared" si="0"/>
        <v>Jan</v>
      </c>
      <c r="B20" s="4">
        <v>19</v>
      </c>
      <c r="C20" s="3">
        <v>21569</v>
      </c>
      <c r="D20" s="4">
        <v>41</v>
      </c>
      <c r="E20" s="15">
        <f>$O$2+($O$3*B20)</f>
        <v>38.850955153088549</v>
      </c>
      <c r="F20" s="8">
        <v>0.93206922757903476</v>
      </c>
      <c r="G20" s="15">
        <f>E20*F20</f>
        <v>36.211779760246962</v>
      </c>
      <c r="H20" s="8">
        <f t="shared" si="1"/>
        <v>4.7882202397530378</v>
      </c>
      <c r="I20" s="8">
        <f t="shared" si="2"/>
        <v>4.7882202397530378</v>
      </c>
      <c r="J20" s="8">
        <f t="shared" si="3"/>
        <v>22.92705306438064</v>
      </c>
      <c r="K20" s="5">
        <f t="shared" si="4"/>
        <v>0.11678585950617165</v>
      </c>
    </row>
    <row r="21" spans="1:25" ht="15.75" customHeight="1">
      <c r="A21" s="4" t="str">
        <f t="shared" si="0"/>
        <v>Jan</v>
      </c>
      <c r="B21" s="4">
        <v>20</v>
      </c>
      <c r="C21" s="3">
        <v>21570</v>
      </c>
      <c r="D21" s="4">
        <v>52</v>
      </c>
      <c r="E21" s="15">
        <f>$O$2+($O$3*B21)</f>
        <v>38.870039706531962</v>
      </c>
      <c r="F21" s="8">
        <v>0.93206922757903476</v>
      </c>
      <c r="G21" s="15">
        <f>E21*F21</f>
        <v>36.229567885233656</v>
      </c>
      <c r="H21" s="8">
        <f t="shared" si="1"/>
        <v>15.770432114766344</v>
      </c>
      <c r="I21" s="8">
        <f t="shared" si="2"/>
        <v>15.770432114766344</v>
      </c>
      <c r="J21" s="8">
        <f t="shared" si="3"/>
        <v>248.70652908645366</v>
      </c>
      <c r="K21" s="5">
        <f t="shared" si="4"/>
        <v>0.30327754066858353</v>
      </c>
    </row>
    <row r="22" spans="1:25" ht="15.75" customHeight="1">
      <c r="A22" s="4" t="str">
        <f t="shared" si="0"/>
        <v>Jan</v>
      </c>
      <c r="B22" s="4">
        <v>21</v>
      </c>
      <c r="C22" s="3">
        <v>21571</v>
      </c>
      <c r="D22" s="4">
        <v>34</v>
      </c>
      <c r="E22" s="15">
        <f>$O$2+($O$3*B22)</f>
        <v>38.889124259975375</v>
      </c>
      <c r="F22" s="8">
        <v>0.93206922757903476</v>
      </c>
      <c r="G22" s="15">
        <f>E22*F22</f>
        <v>36.247356010220351</v>
      </c>
      <c r="H22" s="8">
        <f t="shared" si="1"/>
        <v>-2.2473560102203507</v>
      </c>
      <c r="I22" s="8">
        <f t="shared" si="2"/>
        <v>2.2473560102203507</v>
      </c>
      <c r="J22" s="8">
        <f t="shared" si="3"/>
        <v>5.0506090366735332</v>
      </c>
      <c r="K22" s="5">
        <f t="shared" si="4"/>
        <v>6.6098706182951494E-2</v>
      </c>
    </row>
    <row r="23" spans="1:25" ht="15.75" customHeight="1">
      <c r="A23" s="4" t="str">
        <f t="shared" si="0"/>
        <v>Jan</v>
      </c>
      <c r="B23" s="4">
        <v>22</v>
      </c>
      <c r="C23" s="3">
        <v>21572</v>
      </c>
      <c r="D23" s="4">
        <v>53</v>
      </c>
      <c r="E23" s="15">
        <f>$O$2+($O$3*B23)</f>
        <v>38.908208813418788</v>
      </c>
      <c r="F23" s="8">
        <v>0.93206922757903476</v>
      </c>
      <c r="G23" s="15">
        <f>E23*F23</f>
        <v>36.265144135207045</v>
      </c>
      <c r="H23" s="8">
        <f t="shared" si="1"/>
        <v>16.734855864792955</v>
      </c>
      <c r="I23" s="8">
        <f t="shared" si="2"/>
        <v>16.734855864792955</v>
      </c>
      <c r="J23" s="8">
        <f t="shared" si="3"/>
        <v>280.05540081539516</v>
      </c>
      <c r="K23" s="5">
        <f t="shared" si="4"/>
        <v>0.31575199744892368</v>
      </c>
    </row>
    <row r="24" spans="1:25" ht="15.75" customHeight="1">
      <c r="A24" s="4" t="str">
        <f t="shared" si="0"/>
        <v>Jan</v>
      </c>
      <c r="B24" s="4">
        <v>23</v>
      </c>
      <c r="C24" s="3">
        <v>21573</v>
      </c>
      <c r="D24" s="4">
        <v>39</v>
      </c>
      <c r="E24" s="15">
        <f>$O$2+($O$3*B24)</f>
        <v>38.927293366862202</v>
      </c>
      <c r="F24" s="8">
        <v>0.93206922757903476</v>
      </c>
      <c r="G24" s="15">
        <f>E24*F24</f>
        <v>36.282932260193739</v>
      </c>
      <c r="H24" s="8">
        <f t="shared" si="1"/>
        <v>2.7170677398062608</v>
      </c>
      <c r="I24" s="8">
        <f t="shared" si="2"/>
        <v>2.7170677398062608</v>
      </c>
      <c r="J24" s="8">
        <f t="shared" si="3"/>
        <v>7.3824571026959029</v>
      </c>
      <c r="K24" s="5">
        <f t="shared" si="4"/>
        <v>6.9668403584775912E-2</v>
      </c>
    </row>
    <row r="25" spans="1:25" ht="15.75" customHeight="1">
      <c r="A25" s="4" t="str">
        <f t="shared" si="0"/>
        <v>Jan</v>
      </c>
      <c r="B25" s="4">
        <v>24</v>
      </c>
      <c r="C25" s="3">
        <v>21574</v>
      </c>
      <c r="D25" s="4">
        <v>32</v>
      </c>
      <c r="E25" s="15">
        <f>$O$2+($O$3*B25)</f>
        <v>38.946377920305615</v>
      </c>
      <c r="F25" s="8">
        <v>0.93206922757903476</v>
      </c>
      <c r="G25" s="15">
        <f>E25*F25</f>
        <v>36.300720385180426</v>
      </c>
      <c r="H25" s="8">
        <f t="shared" si="1"/>
        <v>-4.3007203851804263</v>
      </c>
      <c r="I25" s="8">
        <f t="shared" si="2"/>
        <v>4.3007203851804263</v>
      </c>
      <c r="J25" s="8">
        <f t="shared" si="3"/>
        <v>18.496195831506476</v>
      </c>
      <c r="K25" s="5">
        <f t="shared" si="4"/>
        <v>0.13439751203688832</v>
      </c>
    </row>
    <row r="26" spans="1:25" ht="15.75" customHeight="1">
      <c r="A26" s="4" t="str">
        <f t="shared" si="0"/>
        <v>Jan</v>
      </c>
      <c r="B26" s="4">
        <v>25</v>
      </c>
      <c r="C26" s="3">
        <v>21575</v>
      </c>
      <c r="D26" s="4">
        <v>37</v>
      </c>
      <c r="E26" s="15">
        <f>$O$2+($O$3*B26)</f>
        <v>38.965462473749028</v>
      </c>
      <c r="F26" s="8">
        <v>0.93206922757903476</v>
      </c>
      <c r="G26" s="15">
        <f>E26*F26</f>
        <v>36.318508510167121</v>
      </c>
      <c r="H26" s="8">
        <f t="shared" si="1"/>
        <v>0.68149148983287944</v>
      </c>
      <c r="I26" s="8">
        <f t="shared" si="2"/>
        <v>0.68149148983287944</v>
      </c>
      <c r="J26" s="8">
        <f t="shared" si="3"/>
        <v>0.46443065071463763</v>
      </c>
      <c r="K26" s="5">
        <f t="shared" si="4"/>
        <v>1.8418688914402147E-2</v>
      </c>
    </row>
    <row r="27" spans="1:25" ht="15.75" customHeight="1">
      <c r="A27" s="4" t="str">
        <f t="shared" si="0"/>
        <v>Jan</v>
      </c>
      <c r="B27" s="4">
        <v>26</v>
      </c>
      <c r="C27" s="3">
        <v>21576</v>
      </c>
      <c r="D27" s="4">
        <v>43</v>
      </c>
      <c r="E27" s="15">
        <f>$O$2+($O$3*B27)</f>
        <v>38.984547027192441</v>
      </c>
      <c r="F27" s="8">
        <v>0.93206922757903476</v>
      </c>
      <c r="G27" s="15">
        <f>E27*F27</f>
        <v>36.336296635153815</v>
      </c>
      <c r="H27" s="8">
        <f t="shared" si="1"/>
        <v>6.6637033648461852</v>
      </c>
      <c r="I27" s="8">
        <f t="shared" si="2"/>
        <v>6.6637033648461852</v>
      </c>
      <c r="J27" s="8">
        <f t="shared" si="3"/>
        <v>44.404942534662368</v>
      </c>
      <c r="K27" s="5">
        <f t="shared" si="4"/>
        <v>0.15496984569409733</v>
      </c>
    </row>
    <row r="28" spans="1:25" ht="15.75" customHeight="1">
      <c r="A28" s="4" t="str">
        <f t="shared" si="0"/>
        <v>Jan</v>
      </c>
      <c r="B28" s="4">
        <v>27</v>
      </c>
      <c r="C28" s="3">
        <v>21577</v>
      </c>
      <c r="D28" s="4">
        <v>39</v>
      </c>
      <c r="E28" s="15">
        <f>$O$2+($O$3*B28)</f>
        <v>39.003631580635854</v>
      </c>
      <c r="F28" s="8">
        <v>0.93206922757903476</v>
      </c>
      <c r="G28" s="15">
        <f>E28*F28</f>
        <v>36.354084760140509</v>
      </c>
      <c r="H28" s="8">
        <f t="shared" si="1"/>
        <v>2.645915239859491</v>
      </c>
      <c r="I28" s="8">
        <f t="shared" si="2"/>
        <v>2.645915239859491</v>
      </c>
      <c r="J28" s="8">
        <f t="shared" si="3"/>
        <v>7.0008674565207079</v>
      </c>
      <c r="K28" s="5">
        <f t="shared" si="4"/>
        <v>6.7843980509217722E-2</v>
      </c>
    </row>
    <row r="29" spans="1:25" ht="15.75" customHeight="1">
      <c r="A29" s="4" t="str">
        <f t="shared" si="0"/>
        <v>Jan</v>
      </c>
      <c r="B29" s="4">
        <v>28</v>
      </c>
      <c r="C29" s="3">
        <v>21578</v>
      </c>
      <c r="D29" s="4">
        <v>35</v>
      </c>
      <c r="E29" s="15">
        <f>$O$2+($O$3*B29)</f>
        <v>39.022716134079268</v>
      </c>
      <c r="F29" s="8">
        <v>0.93206922757903476</v>
      </c>
      <c r="G29" s="15">
        <f>E29*F29</f>
        <v>36.371872885127203</v>
      </c>
      <c r="H29" s="8">
        <f t="shared" si="1"/>
        <v>-1.3718728851272033</v>
      </c>
      <c r="I29" s="8">
        <f t="shared" si="2"/>
        <v>1.3718728851272033</v>
      </c>
      <c r="J29" s="8">
        <f t="shared" si="3"/>
        <v>1.8820352129472366</v>
      </c>
      <c r="K29" s="5">
        <f t="shared" si="4"/>
        <v>3.9196368146491523E-2</v>
      </c>
    </row>
    <row r="30" spans="1:25" ht="15.75" customHeight="1">
      <c r="A30" s="4" t="str">
        <f t="shared" si="0"/>
        <v>Jan</v>
      </c>
      <c r="B30" s="4">
        <v>29</v>
      </c>
      <c r="C30" s="3">
        <v>21579</v>
      </c>
      <c r="D30" s="4">
        <v>44</v>
      </c>
      <c r="E30" s="15">
        <f>$O$2+($O$3*B30)</f>
        <v>39.041800687522681</v>
      </c>
      <c r="F30" s="8">
        <v>0.93206922757903476</v>
      </c>
      <c r="G30" s="15">
        <f>E30*F30</f>
        <v>36.38966101011389</v>
      </c>
      <c r="H30" s="8">
        <f t="shared" si="1"/>
        <v>7.6103389898861096</v>
      </c>
      <c r="I30" s="8">
        <f t="shared" si="2"/>
        <v>7.6103389898861096</v>
      </c>
      <c r="J30" s="8">
        <f t="shared" si="3"/>
        <v>57.91725954098073</v>
      </c>
      <c r="K30" s="5">
        <f t="shared" si="4"/>
        <v>0.17296224977013885</v>
      </c>
    </row>
    <row r="31" spans="1:25" ht="15.75" customHeight="1">
      <c r="A31" s="4" t="str">
        <f t="shared" si="0"/>
        <v>Jan</v>
      </c>
      <c r="B31" s="4">
        <v>30</v>
      </c>
      <c r="C31" s="3">
        <v>21580</v>
      </c>
      <c r="D31" s="4">
        <v>38</v>
      </c>
      <c r="E31" s="15">
        <f>$O$2+($O$3*B31)</f>
        <v>39.060885240966094</v>
      </c>
      <c r="F31" s="8">
        <v>0.93206922757903476</v>
      </c>
      <c r="G31" s="15">
        <f>E31*F31</f>
        <v>36.407449135100585</v>
      </c>
      <c r="H31" s="8">
        <f t="shared" si="1"/>
        <v>1.5925508648994153</v>
      </c>
      <c r="I31" s="8">
        <f t="shared" si="2"/>
        <v>1.5925508648994153</v>
      </c>
      <c r="J31" s="8">
        <f t="shared" si="3"/>
        <v>2.5362182572918757</v>
      </c>
      <c r="K31" s="5">
        <f t="shared" si="4"/>
        <v>4.1909233286826719E-2</v>
      </c>
    </row>
    <row r="32" spans="1:25" ht="15.75" customHeight="1">
      <c r="A32" s="4" t="str">
        <f t="shared" si="0"/>
        <v>Jan</v>
      </c>
      <c r="B32" s="4">
        <v>31</v>
      </c>
      <c r="C32" s="3">
        <v>21581</v>
      </c>
      <c r="D32" s="4">
        <v>24</v>
      </c>
      <c r="E32" s="15">
        <f>$O$2+($O$3*B32)</f>
        <v>39.079969794409507</v>
      </c>
      <c r="F32" s="8">
        <v>0.93206922757903476</v>
      </c>
      <c r="G32" s="15">
        <f>E32*F32</f>
        <v>36.425237260087279</v>
      </c>
      <c r="H32" s="8">
        <f t="shared" si="1"/>
        <v>-12.425237260087279</v>
      </c>
      <c r="I32" s="8">
        <f t="shared" si="2"/>
        <v>12.425237260087279</v>
      </c>
      <c r="J32" s="8">
        <f t="shared" si="3"/>
        <v>154.38652096946123</v>
      </c>
      <c r="K32" s="5">
        <f t="shared" si="4"/>
        <v>0.51771821917030325</v>
      </c>
    </row>
    <row r="33" spans="1:11" ht="15.75" customHeight="1">
      <c r="A33" s="4" t="str">
        <f t="shared" si="0"/>
        <v>Feb</v>
      </c>
      <c r="B33" s="4">
        <v>32</v>
      </c>
      <c r="C33" s="3">
        <v>21582</v>
      </c>
      <c r="D33" s="4">
        <v>23</v>
      </c>
      <c r="E33" s="15">
        <f>$O$2+($O$3*B33)</f>
        <v>39.099054347852913</v>
      </c>
      <c r="F33" s="8">
        <f>VLOOKUP(A33,V7:Y19,4,FALSE)</f>
        <v>0.97663642889773539</v>
      </c>
      <c r="G33" s="15">
        <f>E33*F33</f>
        <v>38.185560811565544</v>
      </c>
      <c r="H33" s="8">
        <f t="shared" si="1"/>
        <v>-15.185560811565544</v>
      </c>
      <c r="I33" s="8">
        <f t="shared" si="2"/>
        <v>15.185560811565544</v>
      </c>
      <c r="J33" s="8">
        <f t="shared" si="3"/>
        <v>230.6012571617552</v>
      </c>
      <c r="K33" s="5">
        <f t="shared" si="4"/>
        <v>0.66024177441589327</v>
      </c>
    </row>
    <row r="34" spans="1:11" ht="15.75" customHeight="1">
      <c r="A34" s="4" t="str">
        <f t="shared" si="0"/>
        <v>Feb</v>
      </c>
      <c r="B34" s="4">
        <v>33</v>
      </c>
      <c r="C34" s="3">
        <v>21583</v>
      </c>
      <c r="D34" s="4">
        <v>31</v>
      </c>
      <c r="E34" s="15">
        <f>$O$2+($O$3*B34)</f>
        <v>39.118138901296327</v>
      </c>
      <c r="F34" s="8">
        <f>VLOOKUP(A34,V8:Y20,4,FALSE)</f>
        <v>0.97663642889773539</v>
      </c>
      <c r="G34" s="15">
        <f>E34*F34</f>
        <v>38.204199481687624</v>
      </c>
      <c r="H34" s="8">
        <f t="shared" si="1"/>
        <v>-7.204199481687624</v>
      </c>
      <c r="I34" s="8">
        <f t="shared" si="2"/>
        <v>7.204199481687624</v>
      </c>
      <c r="J34" s="8">
        <f t="shared" si="3"/>
        <v>51.900490171948228</v>
      </c>
      <c r="K34" s="5">
        <f t="shared" si="4"/>
        <v>0.23239353166734272</v>
      </c>
    </row>
    <row r="35" spans="1:11" ht="15.75" customHeight="1">
      <c r="A35" s="4" t="str">
        <f t="shared" si="0"/>
        <v>Feb</v>
      </c>
      <c r="B35" s="4">
        <v>34</v>
      </c>
      <c r="C35" s="3">
        <v>21584</v>
      </c>
      <c r="D35" s="4">
        <v>44</v>
      </c>
      <c r="E35" s="15">
        <f>$O$2+($O$3*B35)</f>
        <v>39.13722345473974</v>
      </c>
      <c r="F35" s="8">
        <v>0.97663642889773539</v>
      </c>
      <c r="G35" s="15">
        <f>E35*F35</f>
        <v>38.222838151809711</v>
      </c>
      <c r="H35" s="8">
        <f t="shared" si="1"/>
        <v>5.7771618481902891</v>
      </c>
      <c r="I35" s="8">
        <f t="shared" si="2"/>
        <v>5.7771618481902891</v>
      </c>
      <c r="J35" s="8">
        <f t="shared" si="3"/>
        <v>33.37559902018544</v>
      </c>
      <c r="K35" s="5">
        <f t="shared" si="4"/>
        <v>0.13129913291341566</v>
      </c>
    </row>
    <row r="36" spans="1:11" ht="15.75" customHeight="1">
      <c r="A36" s="4" t="str">
        <f t="shared" si="0"/>
        <v>Feb</v>
      </c>
      <c r="B36" s="4">
        <v>35</v>
      </c>
      <c r="C36" s="3">
        <v>21585</v>
      </c>
      <c r="D36" s="4">
        <v>38</v>
      </c>
      <c r="E36" s="15">
        <f>$O$2+($O$3*B36)</f>
        <v>39.156308008183153</v>
      </c>
      <c r="F36" s="8">
        <v>0.97663642889773539</v>
      </c>
      <c r="G36" s="15">
        <f>E36*F36</f>
        <v>38.241476821931791</v>
      </c>
      <c r="H36" s="8">
        <f t="shared" si="1"/>
        <v>-0.24147682193179065</v>
      </c>
      <c r="I36" s="8">
        <f t="shared" si="2"/>
        <v>0.24147682193179065</v>
      </c>
      <c r="J36" s="8">
        <f t="shared" si="3"/>
        <v>5.8311055530277732E-2</v>
      </c>
      <c r="K36" s="5">
        <f t="shared" si="4"/>
        <v>6.3546532087313326E-3</v>
      </c>
    </row>
    <row r="37" spans="1:11" ht="15.75" customHeight="1">
      <c r="A37" s="4" t="str">
        <f t="shared" si="0"/>
        <v>Feb</v>
      </c>
      <c r="B37" s="4">
        <v>36</v>
      </c>
      <c r="C37" s="3">
        <v>21586</v>
      </c>
      <c r="D37" s="4">
        <v>50</v>
      </c>
      <c r="E37" s="15">
        <f>$O$2+($O$3*B37)</f>
        <v>39.175392561626566</v>
      </c>
      <c r="F37" s="8">
        <v>0.97663642889773539</v>
      </c>
      <c r="G37" s="15">
        <f>E37*F37</f>
        <v>38.260115492053878</v>
      </c>
      <c r="H37" s="8">
        <f t="shared" si="1"/>
        <v>11.739884507946122</v>
      </c>
      <c r="I37" s="8">
        <f t="shared" si="2"/>
        <v>11.739884507946122</v>
      </c>
      <c r="J37" s="8">
        <f t="shared" si="3"/>
        <v>137.82488825991337</v>
      </c>
      <c r="K37" s="5">
        <f t="shared" si="4"/>
        <v>0.23479769015892246</v>
      </c>
    </row>
    <row r="38" spans="1:11" ht="15.75" customHeight="1">
      <c r="A38" s="4" t="str">
        <f t="shared" si="0"/>
        <v>Feb</v>
      </c>
      <c r="B38" s="4">
        <v>37</v>
      </c>
      <c r="C38" s="3">
        <v>21587</v>
      </c>
      <c r="D38" s="4">
        <v>38</v>
      </c>
      <c r="E38" s="15">
        <f>$O$2+($O$3*B38)</f>
        <v>39.194477115069979</v>
      </c>
      <c r="F38" s="8">
        <v>0.97663642889773539</v>
      </c>
      <c r="G38" s="15">
        <f>E38*F38</f>
        <v>38.278754162175957</v>
      </c>
      <c r="H38" s="8">
        <f t="shared" si="1"/>
        <v>-0.27875416217595728</v>
      </c>
      <c r="I38" s="8">
        <f t="shared" si="2"/>
        <v>0.27875416217595728</v>
      </c>
      <c r="J38" s="8">
        <f t="shared" si="3"/>
        <v>7.7703882930419896E-2</v>
      </c>
      <c r="K38" s="5">
        <f t="shared" si="4"/>
        <v>7.3356358467357181E-3</v>
      </c>
    </row>
    <row r="39" spans="1:11" ht="15.75" customHeight="1">
      <c r="A39" s="4" t="str">
        <f t="shared" si="0"/>
        <v>Feb</v>
      </c>
      <c r="B39" s="4">
        <v>38</v>
      </c>
      <c r="C39" s="3">
        <v>21588</v>
      </c>
      <c r="D39" s="4">
        <v>51</v>
      </c>
      <c r="E39" s="15">
        <f>$O$2+($O$3*B39)</f>
        <v>39.213561668513393</v>
      </c>
      <c r="F39" s="8">
        <v>0.97663642889773539</v>
      </c>
      <c r="G39" s="15">
        <f>E39*F39</f>
        <v>38.297392832298044</v>
      </c>
      <c r="H39" s="8">
        <f t="shared" si="1"/>
        <v>12.702607167701956</v>
      </c>
      <c r="I39" s="8">
        <f t="shared" si="2"/>
        <v>12.702607167701956</v>
      </c>
      <c r="J39" s="8">
        <f t="shared" si="3"/>
        <v>161.35622885695309</v>
      </c>
      <c r="K39" s="5">
        <f t="shared" si="4"/>
        <v>0.24907072877846972</v>
      </c>
    </row>
    <row r="40" spans="1:11" ht="15.75" customHeight="1">
      <c r="A40" s="4" t="str">
        <f t="shared" si="0"/>
        <v>Feb</v>
      </c>
      <c r="B40" s="4">
        <v>39</v>
      </c>
      <c r="C40" s="3">
        <v>21589</v>
      </c>
      <c r="D40" s="4">
        <v>31</v>
      </c>
      <c r="E40" s="15">
        <f>$O$2+($O$3*B40)</f>
        <v>39.232646221956806</v>
      </c>
      <c r="F40" s="8">
        <v>0.97663642889773539</v>
      </c>
      <c r="G40" s="15">
        <f>E40*F40</f>
        <v>38.316031502420124</v>
      </c>
      <c r="H40" s="8">
        <f t="shared" si="1"/>
        <v>-7.3160315024201239</v>
      </c>
      <c r="I40" s="8">
        <f t="shared" si="2"/>
        <v>7.3160315024201239</v>
      </c>
      <c r="J40" s="8">
        <f t="shared" si="3"/>
        <v>53.524316944403658</v>
      </c>
      <c r="K40" s="5">
        <f t="shared" si="4"/>
        <v>0.23600101620710076</v>
      </c>
    </row>
    <row r="41" spans="1:11" ht="15.75" customHeight="1">
      <c r="A41" s="4" t="str">
        <f t="shared" si="0"/>
        <v>Feb</v>
      </c>
      <c r="B41" s="4">
        <v>40</v>
      </c>
      <c r="C41" s="3">
        <v>21590</v>
      </c>
      <c r="D41" s="4">
        <v>31</v>
      </c>
      <c r="E41" s="15">
        <f>$O$2+($O$3*B41)</f>
        <v>39.251730775400219</v>
      </c>
      <c r="F41" s="8">
        <v>0.97663642889773539</v>
      </c>
      <c r="G41" s="15">
        <f>E41*F41</f>
        <v>38.334670172542211</v>
      </c>
      <c r="H41" s="8">
        <f t="shared" si="1"/>
        <v>-7.3346701725422108</v>
      </c>
      <c r="I41" s="8">
        <f t="shared" si="2"/>
        <v>7.3346701725422108</v>
      </c>
      <c r="J41" s="8">
        <f t="shared" si="3"/>
        <v>53.797386539980387</v>
      </c>
      <c r="K41" s="5">
        <f t="shared" si="4"/>
        <v>0.23660226363039388</v>
      </c>
    </row>
    <row r="42" spans="1:11" ht="15.75" customHeight="1">
      <c r="A42" s="4" t="str">
        <f t="shared" si="0"/>
        <v>Feb</v>
      </c>
      <c r="B42" s="4">
        <v>41</v>
      </c>
      <c r="C42" s="3">
        <v>21591</v>
      </c>
      <c r="D42" s="4">
        <v>51</v>
      </c>
      <c r="E42" s="15">
        <f>$O$2+($O$3*B42)</f>
        <v>39.270815328843632</v>
      </c>
      <c r="F42" s="8">
        <v>0.97663642889773539</v>
      </c>
      <c r="G42" s="15">
        <f>E42*F42</f>
        <v>38.353308842664291</v>
      </c>
      <c r="H42" s="8">
        <f t="shared" si="1"/>
        <v>12.646691157335709</v>
      </c>
      <c r="I42" s="8">
        <f t="shared" si="2"/>
        <v>12.646691157335709</v>
      </c>
      <c r="J42" s="8">
        <f t="shared" si="3"/>
        <v>159.93879722903321</v>
      </c>
      <c r="K42" s="5">
        <f t="shared" si="4"/>
        <v>0.24797433641834724</v>
      </c>
    </row>
    <row r="43" spans="1:11" ht="15.75" customHeight="1">
      <c r="A43" s="4" t="str">
        <f t="shared" si="0"/>
        <v>Feb</v>
      </c>
      <c r="B43" s="4">
        <v>42</v>
      </c>
      <c r="C43" s="3">
        <v>21592</v>
      </c>
      <c r="D43" s="4">
        <v>36</v>
      </c>
      <c r="E43" s="15">
        <f>$O$2+($O$3*B43)</f>
        <v>39.289899882287045</v>
      </c>
      <c r="F43" s="8">
        <v>0.97663642889773539</v>
      </c>
      <c r="G43" s="15">
        <f>E43*F43</f>
        <v>38.371947512786377</v>
      </c>
      <c r="H43" s="8">
        <f t="shared" si="1"/>
        <v>-2.3719475127863774</v>
      </c>
      <c r="I43" s="8">
        <f t="shared" si="2"/>
        <v>2.3719475127863774</v>
      </c>
      <c r="J43" s="8">
        <f t="shared" si="3"/>
        <v>5.6261350034134816</v>
      </c>
      <c r="K43" s="5">
        <f t="shared" si="4"/>
        <v>6.5887430910732708E-2</v>
      </c>
    </row>
    <row r="44" spans="1:11" ht="15.75" customHeight="1">
      <c r="A44" s="4" t="str">
        <f t="shared" si="0"/>
        <v>Feb</v>
      </c>
      <c r="B44" s="4">
        <v>43</v>
      </c>
      <c r="C44" s="3">
        <v>21593</v>
      </c>
      <c r="D44" s="4">
        <v>45</v>
      </c>
      <c r="E44" s="15">
        <f>$O$2+($O$3*B44)</f>
        <v>39.308984435730459</v>
      </c>
      <c r="F44" s="8">
        <v>0.97663642889773539</v>
      </c>
      <c r="G44" s="15">
        <f>E44*F44</f>
        <v>38.390586182908457</v>
      </c>
      <c r="H44" s="8">
        <f t="shared" si="1"/>
        <v>6.6094138170915429</v>
      </c>
      <c r="I44" s="8">
        <f t="shared" si="2"/>
        <v>6.6094138170915429</v>
      </c>
      <c r="J44" s="8">
        <f t="shared" si="3"/>
        <v>43.6843510055606</v>
      </c>
      <c r="K44" s="5">
        <f t="shared" si="4"/>
        <v>0.14687586260203428</v>
      </c>
    </row>
    <row r="45" spans="1:11" ht="15.75" customHeight="1">
      <c r="A45" s="4" t="str">
        <f t="shared" si="0"/>
        <v>Feb</v>
      </c>
      <c r="B45" s="4">
        <v>44</v>
      </c>
      <c r="C45" s="3">
        <v>21594</v>
      </c>
      <c r="D45" s="4">
        <v>51</v>
      </c>
      <c r="E45" s="15">
        <f>$O$2+($O$3*B45)</f>
        <v>39.328068989173865</v>
      </c>
      <c r="F45" s="8">
        <v>0.97663642889773539</v>
      </c>
      <c r="G45" s="15">
        <f>E45*F45</f>
        <v>38.40922485303053</v>
      </c>
      <c r="H45" s="8">
        <f t="shared" si="1"/>
        <v>12.59077514696947</v>
      </c>
      <c r="I45" s="8">
        <f t="shared" si="2"/>
        <v>12.59077514696947</v>
      </c>
      <c r="J45" s="8">
        <f t="shared" si="3"/>
        <v>158.52761880154409</v>
      </c>
      <c r="K45" s="5">
        <f t="shared" si="4"/>
        <v>0.24687794405822491</v>
      </c>
    </row>
    <row r="46" spans="1:11" ht="15.75" customHeight="1">
      <c r="A46" s="4" t="str">
        <f t="shared" si="0"/>
        <v>Feb</v>
      </c>
      <c r="B46" s="4">
        <v>45</v>
      </c>
      <c r="C46" s="3">
        <v>21595</v>
      </c>
      <c r="D46" s="4">
        <v>34</v>
      </c>
      <c r="E46" s="15">
        <f>$O$2+($O$3*B46)</f>
        <v>39.347153542617278</v>
      </c>
      <c r="F46" s="8">
        <v>0.97663642889773539</v>
      </c>
      <c r="G46" s="15">
        <f>E46*F46</f>
        <v>38.427863523152617</v>
      </c>
      <c r="H46" s="8">
        <f t="shared" si="1"/>
        <v>-4.4278635231526167</v>
      </c>
      <c r="I46" s="8">
        <f t="shared" si="2"/>
        <v>4.4278635231526167</v>
      </c>
      <c r="J46" s="8">
        <f t="shared" si="3"/>
        <v>19.605975379665502</v>
      </c>
      <c r="K46" s="5">
        <f t="shared" si="4"/>
        <v>0.13023128009272403</v>
      </c>
    </row>
    <row r="47" spans="1:11" ht="15.75" customHeight="1">
      <c r="A47" s="4" t="str">
        <f t="shared" si="0"/>
        <v>Feb</v>
      </c>
      <c r="B47" s="4">
        <v>46</v>
      </c>
      <c r="C47" s="3">
        <v>21596</v>
      </c>
      <c r="D47" s="4">
        <v>52</v>
      </c>
      <c r="E47" s="15">
        <f>$O$2+($O$3*B47)</f>
        <v>39.366238096060691</v>
      </c>
      <c r="F47" s="8">
        <v>0.97663642889773539</v>
      </c>
      <c r="G47" s="15">
        <f>E47*F47</f>
        <v>38.446502193274696</v>
      </c>
      <c r="H47" s="8">
        <f t="shared" si="1"/>
        <v>13.553497806725304</v>
      </c>
      <c r="I47" s="8">
        <f t="shared" si="2"/>
        <v>13.553497806725304</v>
      </c>
      <c r="J47" s="8">
        <f t="shared" si="3"/>
        <v>183.69730279690762</v>
      </c>
      <c r="K47" s="5">
        <f t="shared" si="4"/>
        <v>0.26064418859087124</v>
      </c>
    </row>
    <row r="48" spans="1:11" ht="15.75" customHeight="1">
      <c r="A48" s="4" t="str">
        <f t="shared" si="0"/>
        <v>Feb</v>
      </c>
      <c r="B48" s="4">
        <v>47</v>
      </c>
      <c r="C48" s="3">
        <v>21597</v>
      </c>
      <c r="D48" s="4">
        <v>47</v>
      </c>
      <c r="E48" s="15">
        <f>$O$2+($O$3*B48)</f>
        <v>39.385322649504104</v>
      </c>
      <c r="F48" s="8">
        <v>0.97663642889773539</v>
      </c>
      <c r="G48" s="15">
        <f>E48*F48</f>
        <v>38.465140863396783</v>
      </c>
      <c r="H48" s="8">
        <f t="shared" si="1"/>
        <v>8.5348591366032167</v>
      </c>
      <c r="I48" s="8">
        <f t="shared" si="2"/>
        <v>8.5348591366032167</v>
      </c>
      <c r="J48" s="8">
        <f t="shared" si="3"/>
        <v>72.843820481659407</v>
      </c>
      <c r="K48" s="5">
        <f t="shared" si="4"/>
        <v>0.18159274758730248</v>
      </c>
    </row>
    <row r="49" spans="1:11" ht="15.75" customHeight="1">
      <c r="A49" s="4" t="str">
        <f t="shared" si="0"/>
        <v>Feb</v>
      </c>
      <c r="B49" s="4">
        <v>48</v>
      </c>
      <c r="C49" s="3">
        <v>21598</v>
      </c>
      <c r="D49" s="4">
        <v>45</v>
      </c>
      <c r="E49" s="15">
        <f>$O$2+($O$3*B49)</f>
        <v>39.404407202947517</v>
      </c>
      <c r="F49" s="8">
        <v>0.97663642889773539</v>
      </c>
      <c r="G49" s="15">
        <f>E49*F49</f>
        <v>38.483779533518863</v>
      </c>
      <c r="H49" s="8">
        <f t="shared" si="1"/>
        <v>6.516220466481137</v>
      </c>
      <c r="I49" s="8">
        <f t="shared" si="2"/>
        <v>6.516220466481137</v>
      </c>
      <c r="J49" s="8">
        <f t="shared" si="3"/>
        <v>42.461129167787647</v>
      </c>
      <c r="K49" s="5">
        <f t="shared" si="4"/>
        <v>0.14480489925513637</v>
      </c>
    </row>
    <row r="50" spans="1:11" ht="15.75" customHeight="1">
      <c r="A50" s="4" t="str">
        <f t="shared" si="0"/>
        <v>Feb</v>
      </c>
      <c r="B50" s="4">
        <v>49</v>
      </c>
      <c r="C50" s="3">
        <v>21599</v>
      </c>
      <c r="D50" s="4">
        <v>46</v>
      </c>
      <c r="E50" s="15">
        <f>$O$2+($O$3*B50)</f>
        <v>39.423491756390931</v>
      </c>
      <c r="F50" s="8">
        <v>0.97663642889773539</v>
      </c>
      <c r="G50" s="15">
        <f>E50*F50</f>
        <v>38.50241820364095</v>
      </c>
      <c r="H50" s="8">
        <f t="shared" si="1"/>
        <v>7.4975817963590501</v>
      </c>
      <c r="I50" s="8">
        <f t="shared" si="2"/>
        <v>7.4975817963590501</v>
      </c>
      <c r="J50" s="8">
        <f t="shared" si="3"/>
        <v>56.2137327930946</v>
      </c>
      <c r="K50" s="5">
        <f t="shared" si="4"/>
        <v>0.16299090861650109</v>
      </c>
    </row>
    <row r="51" spans="1:11" ht="15.75" customHeight="1">
      <c r="A51" s="4" t="str">
        <f t="shared" si="0"/>
        <v>Feb</v>
      </c>
      <c r="B51" s="4">
        <v>50</v>
      </c>
      <c r="C51" s="3">
        <v>21600</v>
      </c>
      <c r="D51" s="4">
        <v>39</v>
      </c>
      <c r="E51" s="15">
        <f>$O$2+($O$3*B51)</f>
        <v>39.442576309834344</v>
      </c>
      <c r="F51" s="8">
        <v>0.97663642889773539</v>
      </c>
      <c r="G51" s="15">
        <f>E51*F51</f>
        <v>38.52105687376303</v>
      </c>
      <c r="H51" s="8">
        <f t="shared" si="1"/>
        <v>0.47894312623697033</v>
      </c>
      <c r="I51" s="8">
        <f t="shared" si="2"/>
        <v>0.47894312623697033</v>
      </c>
      <c r="J51" s="8">
        <f t="shared" si="3"/>
        <v>0.22938651816964251</v>
      </c>
      <c r="K51" s="5">
        <f t="shared" si="4"/>
        <v>1.2280592980435137E-2</v>
      </c>
    </row>
    <row r="52" spans="1:11" ht="15.75" customHeight="1">
      <c r="A52" s="4" t="str">
        <f t="shared" si="0"/>
        <v>Feb</v>
      </c>
      <c r="B52" s="4">
        <v>51</v>
      </c>
      <c r="C52" s="3">
        <v>21601</v>
      </c>
      <c r="D52" s="4">
        <v>48</v>
      </c>
      <c r="E52" s="15">
        <f>$O$2+($O$3*B52)</f>
        <v>39.461660863277757</v>
      </c>
      <c r="F52" s="8">
        <v>0.97663642889773539</v>
      </c>
      <c r="G52" s="15">
        <f>E52*F52</f>
        <v>38.539695543885117</v>
      </c>
      <c r="H52" s="8">
        <f t="shared" si="1"/>
        <v>9.4603044561148835</v>
      </c>
      <c r="I52" s="8">
        <f t="shared" si="2"/>
        <v>9.4603044561148835</v>
      </c>
      <c r="J52" s="8">
        <f t="shared" si="3"/>
        <v>89.497360402387116</v>
      </c>
      <c r="K52" s="5">
        <f t="shared" si="4"/>
        <v>0.19708967616906006</v>
      </c>
    </row>
    <row r="53" spans="1:11" ht="15.75" customHeight="1">
      <c r="A53" s="4" t="str">
        <f t="shared" si="0"/>
        <v>Feb</v>
      </c>
      <c r="B53" s="4">
        <v>52</v>
      </c>
      <c r="C53" s="3">
        <v>21602</v>
      </c>
      <c r="D53" s="4">
        <v>37</v>
      </c>
      <c r="E53" s="15">
        <f>$O$2+($O$3*B53)</f>
        <v>39.48074541672117</v>
      </c>
      <c r="F53" s="8">
        <v>0.97663642889773539</v>
      </c>
      <c r="G53" s="15">
        <f>E53*F53</f>
        <v>38.558334214007196</v>
      </c>
      <c r="H53" s="8">
        <f t="shared" si="1"/>
        <v>-1.5583342140071963</v>
      </c>
      <c r="I53" s="8">
        <f t="shared" si="2"/>
        <v>1.5583342140071963</v>
      </c>
      <c r="J53" s="8">
        <f t="shared" si="3"/>
        <v>2.4284055225454262</v>
      </c>
      <c r="K53" s="5">
        <f t="shared" si="4"/>
        <v>4.2117140919113415E-2</v>
      </c>
    </row>
    <row r="54" spans="1:11" ht="15.75" customHeight="1">
      <c r="A54" s="4" t="str">
        <f t="shared" si="0"/>
        <v>Feb</v>
      </c>
      <c r="B54" s="4">
        <v>53</v>
      </c>
      <c r="C54" s="3">
        <v>21603</v>
      </c>
      <c r="D54" s="4">
        <v>35</v>
      </c>
      <c r="E54" s="15">
        <f>$O$2+($O$3*B54)</f>
        <v>39.499829970164583</v>
      </c>
      <c r="F54" s="8">
        <v>0.97663642889773539</v>
      </c>
      <c r="G54" s="15">
        <f>E54*F54</f>
        <v>38.576972884129283</v>
      </c>
      <c r="H54" s="8">
        <f t="shared" si="1"/>
        <v>-3.5769728841292832</v>
      </c>
      <c r="I54" s="8">
        <f t="shared" si="2"/>
        <v>3.5769728841292832</v>
      </c>
      <c r="J54" s="8">
        <f t="shared" si="3"/>
        <v>12.794735013796162</v>
      </c>
      <c r="K54" s="5">
        <f t="shared" si="4"/>
        <v>0.10219922526083666</v>
      </c>
    </row>
    <row r="55" spans="1:11" ht="15.75" customHeight="1">
      <c r="A55" s="4" t="str">
        <f t="shared" si="0"/>
        <v>Feb</v>
      </c>
      <c r="B55" s="4">
        <v>54</v>
      </c>
      <c r="C55" s="3">
        <v>21604</v>
      </c>
      <c r="D55" s="4">
        <v>52</v>
      </c>
      <c r="E55" s="15">
        <f>$O$2+($O$3*B55)</f>
        <v>39.518914523607997</v>
      </c>
      <c r="F55" s="8">
        <v>0.97663642889773539</v>
      </c>
      <c r="G55" s="15">
        <f>E55*F55</f>
        <v>38.595611554251363</v>
      </c>
      <c r="H55" s="8">
        <f t="shared" si="1"/>
        <v>13.404388445748637</v>
      </c>
      <c r="I55" s="8">
        <f t="shared" si="2"/>
        <v>13.404388445748637</v>
      </c>
      <c r="J55" s="8">
        <f t="shared" si="3"/>
        <v>179.67762960451955</v>
      </c>
      <c r="K55" s="5">
        <f t="shared" si="4"/>
        <v>0.2577767008797815</v>
      </c>
    </row>
    <row r="56" spans="1:11" ht="15.75" customHeight="1">
      <c r="A56" s="4" t="str">
        <f t="shared" si="0"/>
        <v>Feb</v>
      </c>
      <c r="B56" s="4">
        <v>55</v>
      </c>
      <c r="C56" s="3">
        <v>21605</v>
      </c>
      <c r="D56" s="4">
        <v>42</v>
      </c>
      <c r="E56" s="15">
        <f>$O$2+($O$3*B56)</f>
        <v>39.53799907705141</v>
      </c>
      <c r="F56" s="8">
        <v>0.97663642889773539</v>
      </c>
      <c r="G56" s="15">
        <f>E56*F56</f>
        <v>38.61425022437345</v>
      </c>
      <c r="H56" s="8">
        <f t="shared" si="1"/>
        <v>3.3857497756265502</v>
      </c>
      <c r="I56" s="8">
        <f t="shared" si="2"/>
        <v>3.3857497756265502</v>
      </c>
      <c r="J56" s="8">
        <f t="shared" si="3"/>
        <v>11.463301543155236</v>
      </c>
      <c r="K56" s="5">
        <f t="shared" si="4"/>
        <v>8.0613089895870238E-2</v>
      </c>
    </row>
    <row r="57" spans="1:11" ht="15.75" customHeight="1">
      <c r="A57" s="4" t="str">
        <f t="shared" si="0"/>
        <v>Feb</v>
      </c>
      <c r="B57" s="4">
        <v>56</v>
      </c>
      <c r="C57" s="3">
        <v>21606</v>
      </c>
      <c r="D57" s="4">
        <v>45</v>
      </c>
      <c r="E57" s="15">
        <f>$O$2+($O$3*B57)</f>
        <v>39.557083630494816</v>
      </c>
      <c r="F57" s="8">
        <v>0.97663642889773539</v>
      </c>
      <c r="G57" s="15">
        <f>E57*F57</f>
        <v>38.632888894495522</v>
      </c>
      <c r="H57" s="8">
        <f t="shared" si="1"/>
        <v>6.3671111055044776</v>
      </c>
      <c r="I57" s="8">
        <f t="shared" si="2"/>
        <v>6.3671111055044776</v>
      </c>
      <c r="J57" s="8">
        <f t="shared" si="3"/>
        <v>40.540103829838451</v>
      </c>
      <c r="K57" s="5">
        <f t="shared" si="4"/>
        <v>0.14149135790009951</v>
      </c>
    </row>
    <row r="58" spans="1:11" ht="15.75" customHeight="1">
      <c r="A58" s="4" t="str">
        <f t="shared" si="0"/>
        <v>Feb</v>
      </c>
      <c r="B58" s="4">
        <v>57</v>
      </c>
      <c r="C58" s="3">
        <v>21607</v>
      </c>
      <c r="D58" s="4">
        <v>39</v>
      </c>
      <c r="E58" s="15">
        <f>$O$2+($O$3*B58)</f>
        <v>39.576168183938229</v>
      </c>
      <c r="F58" s="8">
        <v>0.97663642889773539</v>
      </c>
      <c r="G58" s="15">
        <f>E58*F58</f>
        <v>38.651527564617602</v>
      </c>
      <c r="H58" s="8">
        <f t="shared" si="1"/>
        <v>0.3484724353823978</v>
      </c>
      <c r="I58" s="8">
        <f t="shared" si="2"/>
        <v>0.3484724353823978</v>
      </c>
      <c r="J58" s="8">
        <f t="shared" si="3"/>
        <v>0.12143303822133941</v>
      </c>
      <c r="K58" s="5">
        <f t="shared" si="4"/>
        <v>8.9351906508307131E-3</v>
      </c>
    </row>
    <row r="59" spans="1:11" ht="15.75" customHeight="1">
      <c r="A59" s="4" t="str">
        <f t="shared" si="0"/>
        <v>Feb</v>
      </c>
      <c r="B59" s="4">
        <v>58</v>
      </c>
      <c r="C59" s="3">
        <v>21608</v>
      </c>
      <c r="D59" s="4">
        <v>37</v>
      </c>
      <c r="E59" s="15">
        <f>$O$2+($O$3*B59)</f>
        <v>39.595252737381642</v>
      </c>
      <c r="F59" s="8">
        <v>0.97663642889773539</v>
      </c>
      <c r="G59" s="15">
        <f>E59*F59</f>
        <v>38.670166234739689</v>
      </c>
      <c r="H59" s="8">
        <f t="shared" si="1"/>
        <v>-1.6701662347396891</v>
      </c>
      <c r="I59" s="8">
        <f t="shared" si="2"/>
        <v>1.6701662347396891</v>
      </c>
      <c r="J59" s="8">
        <f t="shared" si="3"/>
        <v>2.7894552516645503</v>
      </c>
      <c r="K59" s="5">
        <f t="shared" si="4"/>
        <v>4.513962796593754E-2</v>
      </c>
    </row>
    <row r="60" spans="1:11" ht="15.75" customHeight="1">
      <c r="A60" s="4" t="str">
        <f t="shared" si="0"/>
        <v>Feb</v>
      </c>
      <c r="B60" s="4">
        <v>59</v>
      </c>
      <c r="C60" s="3">
        <v>21609</v>
      </c>
      <c r="D60" s="4">
        <v>30</v>
      </c>
      <c r="E60" s="15">
        <f>$O$2+($O$3*B60)</f>
        <v>39.614337290825056</v>
      </c>
      <c r="F60" s="8">
        <v>0.97663642889773539</v>
      </c>
      <c r="G60" s="15">
        <f>E60*F60</f>
        <v>38.688804904861769</v>
      </c>
      <c r="H60" s="8">
        <f t="shared" si="1"/>
        <v>-8.6888049048617688</v>
      </c>
      <c r="I60" s="8">
        <f t="shared" si="2"/>
        <v>8.6888049048617688</v>
      </c>
      <c r="J60" s="8">
        <f t="shared" si="3"/>
        <v>75.495330674749937</v>
      </c>
      <c r="K60" s="5">
        <f t="shared" si="4"/>
        <v>0.28962683016205898</v>
      </c>
    </row>
    <row r="61" spans="1:11" ht="15.75" customHeight="1">
      <c r="A61" s="4" t="str">
        <f t="shared" si="0"/>
        <v>Mar</v>
      </c>
      <c r="B61" s="4">
        <v>60</v>
      </c>
      <c r="C61" s="3">
        <v>21610</v>
      </c>
      <c r="D61" s="4">
        <v>35</v>
      </c>
      <c r="E61" s="15">
        <f>$O$2+($O$3*B61)</f>
        <v>39.633421844268469</v>
      </c>
      <c r="F61" s="8">
        <f>VLOOKUP(A61,V7:Y19,4,FALSE)</f>
        <v>0.93591122769271573</v>
      </c>
      <c r="G61" s="15">
        <f>E61*F61</f>
        <v>37.093364495932597</v>
      </c>
      <c r="H61" s="8">
        <f t="shared" si="1"/>
        <v>-2.0933644959325974</v>
      </c>
      <c r="I61" s="8">
        <f t="shared" si="2"/>
        <v>2.0933644959325974</v>
      </c>
      <c r="J61" s="8">
        <f t="shared" si="3"/>
        <v>4.3821749128311378</v>
      </c>
      <c r="K61" s="5">
        <f t="shared" si="4"/>
        <v>5.9810414169502786E-2</v>
      </c>
    </row>
    <row r="62" spans="1:11" ht="15.75" customHeight="1">
      <c r="A62" s="4" t="str">
        <f t="shared" si="0"/>
        <v>Mar</v>
      </c>
      <c r="B62" s="4">
        <v>61</v>
      </c>
      <c r="C62" s="3">
        <v>21611</v>
      </c>
      <c r="D62" s="4">
        <v>28</v>
      </c>
      <c r="E62" s="15">
        <f>$O$2+($O$3*B62)</f>
        <v>39.652506397711882</v>
      </c>
      <c r="F62" s="8">
        <v>0.93591122769271573</v>
      </c>
      <c r="G62" s="15">
        <f>E62*F62</f>
        <v>37.111225943775793</v>
      </c>
      <c r="H62" s="8">
        <f t="shared" si="1"/>
        <v>-9.1112259437757928</v>
      </c>
      <c r="I62" s="8">
        <f t="shared" si="2"/>
        <v>9.1112259437757928</v>
      </c>
      <c r="J62" s="8">
        <f t="shared" si="3"/>
        <v>83.014438198533085</v>
      </c>
      <c r="K62" s="5">
        <f t="shared" si="4"/>
        <v>0.32540092656342118</v>
      </c>
    </row>
    <row r="63" spans="1:11" ht="15.75" customHeight="1">
      <c r="A63" s="4" t="str">
        <f t="shared" si="0"/>
        <v>Mar</v>
      </c>
      <c r="B63" s="4">
        <v>62</v>
      </c>
      <c r="C63" s="3">
        <v>21612</v>
      </c>
      <c r="D63" s="4">
        <v>45</v>
      </c>
      <c r="E63" s="15">
        <f>$O$2+($O$3*B63)</f>
        <v>39.671590951155295</v>
      </c>
      <c r="F63" s="8">
        <v>0.93591122769271573</v>
      </c>
      <c r="G63" s="15">
        <f>E63*F63</f>
        <v>37.129087391618981</v>
      </c>
      <c r="H63" s="8">
        <f t="shared" si="1"/>
        <v>7.870912608381019</v>
      </c>
      <c r="I63" s="8">
        <f t="shared" si="2"/>
        <v>7.870912608381019</v>
      </c>
      <c r="J63" s="8">
        <f t="shared" si="3"/>
        <v>61.951265288771296</v>
      </c>
      <c r="K63" s="5">
        <f t="shared" si="4"/>
        <v>0.17490916907513376</v>
      </c>
    </row>
    <row r="64" spans="1:11" ht="15.75" customHeight="1">
      <c r="A64" s="4" t="str">
        <f t="shared" si="0"/>
        <v>Mar</v>
      </c>
      <c r="B64" s="4">
        <v>63</v>
      </c>
      <c r="C64" s="3">
        <v>21613</v>
      </c>
      <c r="D64" s="4">
        <v>34</v>
      </c>
      <c r="E64" s="15">
        <f>$O$2+($O$3*B64)</f>
        <v>39.690675504598708</v>
      </c>
      <c r="F64" s="8">
        <v>0.93591122769271573</v>
      </c>
      <c r="G64" s="15">
        <f>E64*F64</f>
        <v>37.146948839462176</v>
      </c>
      <c r="H64" s="8">
        <f t="shared" si="1"/>
        <v>-3.1469488394621763</v>
      </c>
      <c r="I64" s="8">
        <f t="shared" si="2"/>
        <v>3.1469488394621763</v>
      </c>
      <c r="J64" s="8">
        <f t="shared" si="3"/>
        <v>9.903286998192339</v>
      </c>
      <c r="K64" s="5">
        <f t="shared" si="4"/>
        <v>9.2557318807711064E-2</v>
      </c>
    </row>
    <row r="65" spans="1:11" ht="15.75" customHeight="1">
      <c r="A65" s="4" t="str">
        <f t="shared" si="0"/>
        <v>Mar</v>
      </c>
      <c r="B65" s="4">
        <v>64</v>
      </c>
      <c r="C65" s="3">
        <v>21614</v>
      </c>
      <c r="D65" s="4">
        <v>36</v>
      </c>
      <c r="E65" s="15">
        <f>$O$2+($O$3*B65)</f>
        <v>39.709760058042121</v>
      </c>
      <c r="F65" s="8">
        <v>0.93591122769271573</v>
      </c>
      <c r="G65" s="15">
        <f>E65*F65</f>
        <v>37.164810287305372</v>
      </c>
      <c r="H65" s="8">
        <f t="shared" si="1"/>
        <v>-1.1648102873053716</v>
      </c>
      <c r="I65" s="8">
        <f t="shared" si="2"/>
        <v>1.1648102873053716</v>
      </c>
      <c r="J65" s="8">
        <f t="shared" si="3"/>
        <v>1.3567830054124224</v>
      </c>
      <c r="K65" s="5">
        <f t="shared" si="4"/>
        <v>3.2355841314038097E-2</v>
      </c>
    </row>
    <row r="66" spans="1:11" ht="15.75" customHeight="1">
      <c r="A66" s="4" t="str">
        <f t="shared" si="0"/>
        <v>Mar</v>
      </c>
      <c r="B66" s="4">
        <v>65</v>
      </c>
      <c r="C66" s="3">
        <v>21615</v>
      </c>
      <c r="D66" s="4">
        <v>50</v>
      </c>
      <c r="E66" s="15">
        <f>$O$2+($O$3*B66)</f>
        <v>39.728844611485535</v>
      </c>
      <c r="F66" s="8">
        <v>0.93591122769271573</v>
      </c>
      <c r="G66" s="15">
        <f>E66*F66</f>
        <v>37.18267173514856</v>
      </c>
      <c r="H66" s="8">
        <f t="shared" si="1"/>
        <v>12.81732826485144</v>
      </c>
      <c r="I66" s="8">
        <f t="shared" si="2"/>
        <v>12.81732826485144</v>
      </c>
      <c r="J66" s="8">
        <f t="shared" si="3"/>
        <v>164.28390384895962</v>
      </c>
      <c r="K66" s="5">
        <f t="shared" si="4"/>
        <v>0.25634656529702882</v>
      </c>
    </row>
    <row r="67" spans="1:11" ht="15.75" customHeight="1">
      <c r="A67" s="4" t="str">
        <f t="shared" si="0"/>
        <v>Mar</v>
      </c>
      <c r="B67" s="4">
        <v>66</v>
      </c>
      <c r="C67" s="3">
        <v>21616</v>
      </c>
      <c r="D67" s="4">
        <v>44</v>
      </c>
      <c r="E67" s="15">
        <f>$O$2+($O$3*B67)</f>
        <v>39.747929164928948</v>
      </c>
      <c r="F67" s="8">
        <v>0.93591122769271573</v>
      </c>
      <c r="G67" s="15">
        <f>E67*F67</f>
        <v>37.200533182991755</v>
      </c>
      <c r="H67" s="8">
        <f t="shared" ref="H67:H130" si="8">D67-G67</f>
        <v>6.7994668170082448</v>
      </c>
      <c r="I67" s="8">
        <f t="shared" ref="I67:I130" si="9">ABS(H67)</f>
        <v>6.7994668170082448</v>
      </c>
      <c r="J67" s="8">
        <f t="shared" ref="J67:J130" si="10">I67^2</f>
        <v>46.232748995596232</v>
      </c>
      <c r="K67" s="5">
        <f t="shared" ref="K67:K130" si="11">I67/D67</f>
        <v>0.15453333675018738</v>
      </c>
    </row>
    <row r="68" spans="1:11" ht="15.75" customHeight="1">
      <c r="A68" s="4" t="str">
        <f t="shared" si="0"/>
        <v>Mar</v>
      </c>
      <c r="B68" s="4">
        <v>67</v>
      </c>
      <c r="C68" s="3">
        <v>21617</v>
      </c>
      <c r="D68" s="4">
        <v>39</v>
      </c>
      <c r="E68" s="15">
        <f>$O$2+($O$3*B68)</f>
        <v>39.767013718372361</v>
      </c>
      <c r="F68" s="8">
        <v>0.93591122769271573</v>
      </c>
      <c r="G68" s="15">
        <f>E68*F68</f>
        <v>37.218394630834943</v>
      </c>
      <c r="H68" s="8">
        <f t="shared" si="8"/>
        <v>1.7816053691650566</v>
      </c>
      <c r="I68" s="8">
        <f t="shared" si="9"/>
        <v>1.7816053691650566</v>
      </c>
      <c r="J68" s="8">
        <f t="shared" si="10"/>
        <v>3.1741176914377576</v>
      </c>
      <c r="K68" s="5">
        <f t="shared" si="11"/>
        <v>4.5682188952950169E-2</v>
      </c>
    </row>
    <row r="69" spans="1:11" ht="15.75" customHeight="1">
      <c r="A69" s="4" t="str">
        <f t="shared" si="0"/>
        <v>Mar</v>
      </c>
      <c r="B69" s="4">
        <v>68</v>
      </c>
      <c r="C69" s="3">
        <v>21618</v>
      </c>
      <c r="D69" s="4">
        <v>32</v>
      </c>
      <c r="E69" s="15">
        <f>$O$2+($O$3*B69)</f>
        <v>39.786098271815774</v>
      </c>
      <c r="F69" s="8">
        <v>0.93591122769271573</v>
      </c>
      <c r="G69" s="15">
        <f>E69*F69</f>
        <v>37.236256078678139</v>
      </c>
      <c r="H69" s="8">
        <f t="shared" si="8"/>
        <v>-5.2362560786781387</v>
      </c>
      <c r="I69" s="8">
        <f t="shared" si="9"/>
        <v>5.2362560786781387</v>
      </c>
      <c r="J69" s="8">
        <f t="shared" si="10"/>
        <v>27.418377721493759</v>
      </c>
      <c r="K69" s="5">
        <f t="shared" si="11"/>
        <v>0.16363300245869183</v>
      </c>
    </row>
    <row r="70" spans="1:11" ht="15.75" customHeight="1">
      <c r="A70" s="4" t="str">
        <f t="shared" si="0"/>
        <v>Mar</v>
      </c>
      <c r="B70" s="4">
        <v>69</v>
      </c>
      <c r="C70" s="3">
        <v>21619</v>
      </c>
      <c r="D70" s="4">
        <v>39</v>
      </c>
      <c r="E70" s="15">
        <f>$O$2+($O$3*B70)</f>
        <v>39.80518282525918</v>
      </c>
      <c r="F70" s="8">
        <v>0.93591122769271573</v>
      </c>
      <c r="G70" s="15">
        <f>E70*F70</f>
        <v>37.25411752652132</v>
      </c>
      <c r="H70" s="8">
        <f t="shared" si="8"/>
        <v>1.7458824734786802</v>
      </c>
      <c r="I70" s="8">
        <f t="shared" si="9"/>
        <v>1.7458824734786802</v>
      </c>
      <c r="J70" s="8">
        <f t="shared" si="10"/>
        <v>3.0481056112000346</v>
      </c>
      <c r="K70" s="5">
        <f t="shared" si="11"/>
        <v>4.4766217268684107E-2</v>
      </c>
    </row>
    <row r="71" spans="1:11" ht="15.75" customHeight="1">
      <c r="A71" s="4" t="str">
        <f t="shared" si="0"/>
        <v>Mar</v>
      </c>
      <c r="B71" s="4">
        <v>70</v>
      </c>
      <c r="C71" s="3">
        <v>21620</v>
      </c>
      <c r="D71" s="4">
        <v>45</v>
      </c>
      <c r="E71" s="15">
        <f>$O$2+($O$3*B71)</f>
        <v>39.824267378702594</v>
      </c>
      <c r="F71" s="8">
        <v>0.93591122769271573</v>
      </c>
      <c r="G71" s="15">
        <f>E71*F71</f>
        <v>37.271978974364515</v>
      </c>
      <c r="H71" s="8">
        <f t="shared" si="8"/>
        <v>7.7280210256354849</v>
      </c>
      <c r="I71" s="8">
        <f t="shared" si="9"/>
        <v>7.7280210256354849</v>
      </c>
      <c r="J71" s="8">
        <f t="shared" si="10"/>
        <v>59.722308972664131</v>
      </c>
      <c r="K71" s="5">
        <f t="shared" si="11"/>
        <v>0.17173380056967744</v>
      </c>
    </row>
    <row r="72" spans="1:11" ht="15.75" customHeight="1">
      <c r="A72" s="4" t="str">
        <f t="shared" si="0"/>
        <v>Mar</v>
      </c>
      <c r="B72" s="4">
        <v>71</v>
      </c>
      <c r="C72" s="3">
        <v>21621</v>
      </c>
      <c r="D72" s="4">
        <v>43</v>
      </c>
      <c r="E72" s="15">
        <f>$O$2+($O$3*B72)</f>
        <v>39.843351932146007</v>
      </c>
      <c r="F72" s="8">
        <v>0.93591122769271573</v>
      </c>
      <c r="G72" s="15">
        <f>E72*F72</f>
        <v>37.289840422207703</v>
      </c>
      <c r="H72" s="8">
        <f t="shared" si="8"/>
        <v>5.7101595777922967</v>
      </c>
      <c r="I72" s="8">
        <f t="shared" si="9"/>
        <v>5.7101595777922967</v>
      </c>
      <c r="J72" s="8">
        <f t="shared" si="10"/>
        <v>32.6059224038531</v>
      </c>
      <c r="K72" s="5">
        <f t="shared" si="11"/>
        <v>0.13279440878586737</v>
      </c>
    </row>
    <row r="73" spans="1:11" ht="15.75" customHeight="1">
      <c r="A73" s="4" t="str">
        <f t="shared" si="0"/>
        <v>Mar</v>
      </c>
      <c r="B73" s="4">
        <v>72</v>
      </c>
      <c r="C73" s="3">
        <v>21622</v>
      </c>
      <c r="D73" s="4">
        <v>39</v>
      </c>
      <c r="E73" s="15">
        <f>$O$2+($O$3*B73)</f>
        <v>39.86243648558942</v>
      </c>
      <c r="F73" s="8">
        <v>0.93591122769271573</v>
      </c>
      <c r="G73" s="15">
        <f>E73*F73</f>
        <v>37.307701870050899</v>
      </c>
      <c r="H73" s="8">
        <f t="shared" si="8"/>
        <v>1.6922981299491013</v>
      </c>
      <c r="I73" s="8">
        <f t="shared" si="9"/>
        <v>1.6922981299491013</v>
      </c>
      <c r="J73" s="8">
        <f t="shared" si="10"/>
        <v>2.8638729606292257</v>
      </c>
      <c r="K73" s="5">
        <f t="shared" si="11"/>
        <v>4.3392259742284653E-2</v>
      </c>
    </row>
    <row r="74" spans="1:11" ht="15.75" customHeight="1">
      <c r="A74" s="4" t="str">
        <f t="shared" si="0"/>
        <v>Mar</v>
      </c>
      <c r="B74" s="4">
        <v>73</v>
      </c>
      <c r="C74" s="3">
        <v>21623</v>
      </c>
      <c r="D74" s="4">
        <v>31</v>
      </c>
      <c r="E74" s="15">
        <f>$O$2+($O$3*B74)</f>
        <v>39.881521039032833</v>
      </c>
      <c r="F74" s="8">
        <v>0.93591122769271573</v>
      </c>
      <c r="G74" s="15">
        <f>E74*F74</f>
        <v>37.325563317894094</v>
      </c>
      <c r="H74" s="8">
        <f t="shared" si="8"/>
        <v>-6.325563317894094</v>
      </c>
      <c r="I74" s="8">
        <f t="shared" si="9"/>
        <v>6.325563317894094</v>
      </c>
      <c r="J74" s="8">
        <f t="shared" si="10"/>
        <v>40.01275128868734</v>
      </c>
      <c r="K74" s="5">
        <f t="shared" si="11"/>
        <v>0.20405042960948691</v>
      </c>
    </row>
    <row r="75" spans="1:11" ht="15.75" customHeight="1">
      <c r="A75" s="4" t="str">
        <f t="shared" si="0"/>
        <v>Mar</v>
      </c>
      <c r="B75" s="4">
        <v>74</v>
      </c>
      <c r="C75" s="3">
        <v>21624</v>
      </c>
      <c r="D75" s="4">
        <v>27</v>
      </c>
      <c r="E75" s="15">
        <f>$O$2+($O$3*B75)</f>
        <v>39.900605592476246</v>
      </c>
      <c r="F75" s="8">
        <v>0.93591122769271573</v>
      </c>
      <c r="G75" s="15">
        <f>E75*F75</f>
        <v>37.343424765737282</v>
      </c>
      <c r="H75" s="8">
        <f t="shared" si="8"/>
        <v>-10.343424765737282</v>
      </c>
      <c r="I75" s="8">
        <f t="shared" si="9"/>
        <v>10.343424765737282</v>
      </c>
      <c r="J75" s="8">
        <f t="shared" si="10"/>
        <v>106.98643588446735</v>
      </c>
      <c r="K75" s="5">
        <f t="shared" si="11"/>
        <v>0.38308980613841787</v>
      </c>
    </row>
    <row r="76" spans="1:11" ht="15.75" customHeight="1">
      <c r="A76" s="4" t="str">
        <f t="shared" si="0"/>
        <v>Mar</v>
      </c>
      <c r="B76" s="4">
        <v>75</v>
      </c>
      <c r="C76" s="3">
        <v>21625</v>
      </c>
      <c r="D76" s="4">
        <v>30</v>
      </c>
      <c r="E76" s="15">
        <f>$O$2+($O$3*B76)</f>
        <v>39.91969014591966</v>
      </c>
      <c r="F76" s="8">
        <v>0.93591122769271573</v>
      </c>
      <c r="G76" s="15">
        <f>E76*F76</f>
        <v>37.361286213580478</v>
      </c>
      <c r="H76" s="8">
        <f t="shared" si="8"/>
        <v>-7.3612862135804775</v>
      </c>
      <c r="I76" s="8">
        <f t="shared" si="9"/>
        <v>7.3612862135804775</v>
      </c>
      <c r="J76" s="8">
        <f t="shared" si="10"/>
        <v>54.188534718250004</v>
      </c>
      <c r="K76" s="5">
        <f t="shared" si="11"/>
        <v>0.24537620711934924</v>
      </c>
    </row>
    <row r="77" spans="1:11" ht="15.75" customHeight="1">
      <c r="A77" s="4" t="str">
        <f t="shared" si="0"/>
        <v>Mar</v>
      </c>
      <c r="B77" s="4">
        <v>76</v>
      </c>
      <c r="C77" s="3">
        <v>21626</v>
      </c>
      <c r="D77" s="4">
        <v>42</v>
      </c>
      <c r="E77" s="15">
        <f>$O$2+($O$3*B77)</f>
        <v>39.938774699363073</v>
      </c>
      <c r="F77" s="8">
        <v>0.93591122769271573</v>
      </c>
      <c r="G77" s="15">
        <f>E77*F77</f>
        <v>37.379147661423666</v>
      </c>
      <c r="H77" s="8">
        <f t="shared" si="8"/>
        <v>4.6208523385763343</v>
      </c>
      <c r="I77" s="8">
        <f t="shared" si="9"/>
        <v>4.6208523385763343</v>
      </c>
      <c r="J77" s="8">
        <f t="shared" si="10"/>
        <v>21.352276334926376</v>
      </c>
      <c r="K77" s="5">
        <f t="shared" si="11"/>
        <v>0.11002029377562701</v>
      </c>
    </row>
    <row r="78" spans="1:11" ht="15.75" customHeight="1">
      <c r="A78" s="4" t="str">
        <f t="shared" si="0"/>
        <v>Mar</v>
      </c>
      <c r="B78" s="4">
        <v>77</v>
      </c>
      <c r="C78" s="3">
        <v>21627</v>
      </c>
      <c r="D78" s="4">
        <v>46</v>
      </c>
      <c r="E78" s="15">
        <f>$O$2+($O$3*B78)</f>
        <v>39.957859252806486</v>
      </c>
      <c r="F78" s="8">
        <v>0.93591122769271573</v>
      </c>
      <c r="G78" s="15">
        <f>E78*F78</f>
        <v>37.397009109266861</v>
      </c>
      <c r="H78" s="8">
        <f t="shared" si="8"/>
        <v>8.6029908907331389</v>
      </c>
      <c r="I78" s="8">
        <f t="shared" si="9"/>
        <v>8.6029908907331389</v>
      </c>
      <c r="J78" s="8">
        <f t="shared" si="10"/>
        <v>74.011452266037367</v>
      </c>
      <c r="K78" s="5">
        <f t="shared" si="11"/>
        <v>0.18702154110289432</v>
      </c>
    </row>
    <row r="79" spans="1:11" ht="15.75" customHeight="1">
      <c r="A79" s="4" t="str">
        <f t="shared" si="0"/>
        <v>Mar</v>
      </c>
      <c r="B79" s="4">
        <v>78</v>
      </c>
      <c r="C79" s="3">
        <v>21628</v>
      </c>
      <c r="D79" s="4">
        <v>41</v>
      </c>
      <c r="E79" s="15">
        <f>$O$2+($O$3*B79)</f>
        <v>39.976943806249899</v>
      </c>
      <c r="F79" s="8">
        <v>0.93591122769271573</v>
      </c>
      <c r="G79" s="15">
        <f>E79*F79</f>
        <v>37.414870557110049</v>
      </c>
      <c r="H79" s="8">
        <f t="shared" si="8"/>
        <v>3.5851294428899507</v>
      </c>
      <c r="I79" s="8">
        <f t="shared" si="9"/>
        <v>3.5851294428899507</v>
      </c>
      <c r="J79" s="8">
        <f t="shared" si="10"/>
        <v>12.853153122276408</v>
      </c>
      <c r="K79" s="5">
        <f t="shared" si="11"/>
        <v>8.7442181533901236E-2</v>
      </c>
    </row>
    <row r="80" spans="1:11" ht="15.75" customHeight="1">
      <c r="A80" s="4" t="str">
        <f t="shared" si="0"/>
        <v>Mar</v>
      </c>
      <c r="B80" s="4">
        <v>79</v>
      </c>
      <c r="C80" s="3">
        <v>21629</v>
      </c>
      <c r="D80" s="4">
        <v>36</v>
      </c>
      <c r="E80" s="15">
        <f>$O$2+($O$3*B80)</f>
        <v>39.996028359693312</v>
      </c>
      <c r="F80" s="8">
        <v>0.93591122769271573</v>
      </c>
      <c r="G80" s="15">
        <f>E80*F80</f>
        <v>37.432732004953245</v>
      </c>
      <c r="H80" s="8">
        <f t="shared" si="8"/>
        <v>-1.4327320049532446</v>
      </c>
      <c r="I80" s="8">
        <f t="shared" si="9"/>
        <v>1.4327320049532446</v>
      </c>
      <c r="J80" s="8">
        <f t="shared" si="10"/>
        <v>2.0527209980173442</v>
      </c>
      <c r="K80" s="5">
        <f t="shared" si="11"/>
        <v>3.9798111248701237E-2</v>
      </c>
    </row>
    <row r="81" spans="1:11" ht="15.75" customHeight="1">
      <c r="A81" s="4" t="str">
        <f t="shared" si="0"/>
        <v>Mar</v>
      </c>
      <c r="B81" s="4">
        <v>80</v>
      </c>
      <c r="C81" s="3">
        <v>21630</v>
      </c>
      <c r="D81" s="4">
        <v>45</v>
      </c>
      <c r="E81" s="15">
        <f>$O$2+($O$3*B81)</f>
        <v>40.015112913136726</v>
      </c>
      <c r="F81" s="8">
        <v>0.93591122769271573</v>
      </c>
      <c r="G81" s="15">
        <f>E81*F81</f>
        <v>37.450593452796433</v>
      </c>
      <c r="H81" s="8">
        <f t="shared" si="8"/>
        <v>7.5494065472035672</v>
      </c>
      <c r="I81" s="8">
        <f t="shared" si="9"/>
        <v>7.5494065472035672</v>
      </c>
      <c r="J81" s="8">
        <f t="shared" si="10"/>
        <v>56.993539214960087</v>
      </c>
      <c r="K81" s="5">
        <f t="shared" si="11"/>
        <v>0.16776458993785706</v>
      </c>
    </row>
    <row r="82" spans="1:11" ht="15.75" customHeight="1">
      <c r="A82" s="4" t="str">
        <f t="shared" si="0"/>
        <v>Mar</v>
      </c>
      <c r="B82" s="4">
        <v>81</v>
      </c>
      <c r="C82" s="3">
        <v>21631</v>
      </c>
      <c r="D82" s="4">
        <v>46</v>
      </c>
      <c r="E82" s="15">
        <f>$O$2+($O$3*B82)</f>
        <v>40.034197466580132</v>
      </c>
      <c r="F82" s="8">
        <v>0.93591122769271573</v>
      </c>
      <c r="G82" s="15">
        <f>E82*F82</f>
        <v>37.468454900639621</v>
      </c>
      <c r="H82" s="8">
        <f t="shared" si="8"/>
        <v>8.531545099360379</v>
      </c>
      <c r="I82" s="8">
        <f t="shared" si="9"/>
        <v>8.531545099360379</v>
      </c>
      <c r="J82" s="8">
        <f t="shared" si="10"/>
        <v>72.787261782420103</v>
      </c>
      <c r="K82" s="5">
        <f t="shared" si="11"/>
        <v>0.18546837172522562</v>
      </c>
    </row>
    <row r="83" spans="1:11" ht="15.75" customHeight="1">
      <c r="A83" s="4" t="str">
        <f t="shared" si="0"/>
        <v>Mar</v>
      </c>
      <c r="B83" s="4">
        <v>82</v>
      </c>
      <c r="C83" s="3">
        <v>21632</v>
      </c>
      <c r="D83" s="4">
        <v>43</v>
      </c>
      <c r="E83" s="15">
        <f>$O$2+($O$3*B83)</f>
        <v>40.053282020023545</v>
      </c>
      <c r="F83" s="8">
        <v>0.93591122769271573</v>
      </c>
      <c r="G83" s="15">
        <f>E83*F83</f>
        <v>37.486316348482816</v>
      </c>
      <c r="H83" s="8">
        <f t="shared" si="8"/>
        <v>5.5136836515171836</v>
      </c>
      <c r="I83" s="8">
        <f t="shared" si="9"/>
        <v>5.5136836515171836</v>
      </c>
      <c r="J83" s="8">
        <f t="shared" si="10"/>
        <v>30.400707409007865</v>
      </c>
      <c r="K83" s="5">
        <f t="shared" si="11"/>
        <v>0.12822520119807404</v>
      </c>
    </row>
    <row r="84" spans="1:11" ht="15.75" customHeight="1">
      <c r="A84" s="4" t="str">
        <f t="shared" si="0"/>
        <v>Mar</v>
      </c>
      <c r="B84" s="4">
        <v>83</v>
      </c>
      <c r="C84" s="3">
        <v>21633</v>
      </c>
      <c r="D84" s="4">
        <v>38</v>
      </c>
      <c r="E84" s="15">
        <f>$O$2+($O$3*B84)</f>
        <v>40.072366573466958</v>
      </c>
      <c r="F84" s="8">
        <v>0.93591122769271573</v>
      </c>
      <c r="G84" s="15">
        <f>E84*F84</f>
        <v>37.504177796326005</v>
      </c>
      <c r="H84" s="8">
        <f t="shared" si="8"/>
        <v>0.49582220367399543</v>
      </c>
      <c r="I84" s="8">
        <f t="shared" si="9"/>
        <v>0.49582220367399543</v>
      </c>
      <c r="J84" s="8">
        <f t="shared" si="10"/>
        <v>0.24583965765613702</v>
      </c>
      <c r="K84" s="5">
        <f t="shared" si="11"/>
        <v>1.3047952728263038E-2</v>
      </c>
    </row>
    <row r="85" spans="1:11" ht="15.75" customHeight="1">
      <c r="A85" s="4" t="str">
        <f t="shared" si="0"/>
        <v>Mar</v>
      </c>
      <c r="B85" s="4">
        <v>84</v>
      </c>
      <c r="C85" s="3">
        <v>21634</v>
      </c>
      <c r="D85" s="4">
        <v>34</v>
      </c>
      <c r="E85" s="15">
        <f>$O$2+($O$3*B85)</f>
        <v>40.091451126910371</v>
      </c>
      <c r="F85" s="8">
        <v>0.93591122769271573</v>
      </c>
      <c r="G85" s="15">
        <f>E85*F85</f>
        <v>37.5220392441692</v>
      </c>
      <c r="H85" s="8">
        <f t="shared" si="8"/>
        <v>-3.5220392441691999</v>
      </c>
      <c r="I85" s="8">
        <f t="shared" si="9"/>
        <v>3.5220392441691999</v>
      </c>
      <c r="J85" s="8">
        <f t="shared" si="10"/>
        <v>12.404760437467949</v>
      </c>
      <c r="K85" s="5">
        <f t="shared" si="11"/>
        <v>0.10358938953438823</v>
      </c>
    </row>
    <row r="86" spans="1:11" ht="15.75" customHeight="1">
      <c r="A86" s="4" t="str">
        <f t="shared" si="0"/>
        <v>Mar</v>
      </c>
      <c r="B86" s="4">
        <v>85</v>
      </c>
      <c r="C86" s="3">
        <v>21635</v>
      </c>
      <c r="D86" s="4">
        <v>35</v>
      </c>
      <c r="E86" s="15">
        <f>$O$2+($O$3*B86)</f>
        <v>40.110535680353784</v>
      </c>
      <c r="F86" s="8">
        <v>0.93591122769271573</v>
      </c>
      <c r="G86" s="15">
        <f>E86*F86</f>
        <v>37.539900692012388</v>
      </c>
      <c r="H86" s="8">
        <f t="shared" si="8"/>
        <v>-2.5399006920123881</v>
      </c>
      <c r="I86" s="8">
        <f t="shared" si="9"/>
        <v>2.5399006920123881</v>
      </c>
      <c r="J86" s="8">
        <f t="shared" si="10"/>
        <v>6.451095525285008</v>
      </c>
      <c r="K86" s="5">
        <f t="shared" si="11"/>
        <v>7.2568591200353944E-2</v>
      </c>
    </row>
    <row r="87" spans="1:11" ht="15.75" customHeight="1">
      <c r="A87" s="4" t="str">
        <f t="shared" si="0"/>
        <v>Mar</v>
      </c>
      <c r="B87" s="4">
        <v>86</v>
      </c>
      <c r="C87" s="3">
        <v>21636</v>
      </c>
      <c r="D87" s="4">
        <v>56</v>
      </c>
      <c r="E87" s="15">
        <f>$O$2+($O$3*B87)</f>
        <v>40.129620233797198</v>
      </c>
      <c r="F87" s="8">
        <v>0.93591122769271573</v>
      </c>
      <c r="G87" s="15">
        <f>E87*F87</f>
        <v>37.557762139855583</v>
      </c>
      <c r="H87" s="8">
        <f t="shared" si="8"/>
        <v>18.442237860144417</v>
      </c>
      <c r="I87" s="8">
        <f t="shared" si="9"/>
        <v>18.442237860144417</v>
      </c>
      <c r="J87" s="8">
        <f t="shared" si="10"/>
        <v>340.11613729014408</v>
      </c>
      <c r="K87" s="5">
        <f t="shared" si="11"/>
        <v>0.32932567607400742</v>
      </c>
    </row>
    <row r="88" spans="1:11" ht="15.75" customHeight="1">
      <c r="A88" s="4" t="str">
        <f t="shared" si="0"/>
        <v>Mar</v>
      </c>
      <c r="B88" s="4">
        <v>87</v>
      </c>
      <c r="C88" s="3">
        <v>21637</v>
      </c>
      <c r="D88" s="4">
        <v>36</v>
      </c>
      <c r="E88" s="15">
        <f>$O$2+($O$3*B88)</f>
        <v>40.148704787240611</v>
      </c>
      <c r="F88" s="8">
        <v>0.93591122769271573</v>
      </c>
      <c r="G88" s="15">
        <f>E88*F88</f>
        <v>37.575623587698772</v>
      </c>
      <c r="H88" s="8">
        <f t="shared" si="8"/>
        <v>-1.5756235876987716</v>
      </c>
      <c r="I88" s="8">
        <f t="shared" si="9"/>
        <v>1.5756235876987716</v>
      </c>
      <c r="J88" s="8">
        <f t="shared" si="10"/>
        <v>2.4825896901127487</v>
      </c>
      <c r="K88" s="5">
        <f t="shared" si="11"/>
        <v>4.3767321880521431E-2</v>
      </c>
    </row>
    <row r="89" spans="1:11" ht="15.75" customHeight="1">
      <c r="A89" s="4" t="str">
        <f t="shared" si="0"/>
        <v>Mar</v>
      </c>
      <c r="B89" s="4">
        <v>88</v>
      </c>
      <c r="C89" s="3">
        <v>21638</v>
      </c>
      <c r="D89" s="4">
        <v>32</v>
      </c>
      <c r="E89" s="15">
        <f>$O$2+($O$3*B89)</f>
        <v>40.167789340684024</v>
      </c>
      <c r="F89" s="8">
        <v>0.93591122769271573</v>
      </c>
      <c r="G89" s="15">
        <f>E89*F89</f>
        <v>37.593485035541967</v>
      </c>
      <c r="H89" s="8">
        <f t="shared" si="8"/>
        <v>-5.593485035541967</v>
      </c>
      <c r="I89" s="8">
        <f t="shared" si="9"/>
        <v>5.593485035541967</v>
      </c>
      <c r="J89" s="8">
        <f t="shared" si="10"/>
        <v>31.28707484283192</v>
      </c>
      <c r="K89" s="5">
        <f t="shared" si="11"/>
        <v>0.17479640736068647</v>
      </c>
    </row>
    <row r="90" spans="1:11" ht="15.75" customHeight="1">
      <c r="A90" s="4" t="str">
        <f t="shared" si="0"/>
        <v>Mar</v>
      </c>
      <c r="B90" s="4">
        <v>89</v>
      </c>
      <c r="C90" s="3">
        <v>21639</v>
      </c>
      <c r="D90" s="4">
        <v>50</v>
      </c>
      <c r="E90" s="15">
        <f>$O$2+($O$3*B90)</f>
        <v>40.186873894127437</v>
      </c>
      <c r="F90" s="8">
        <v>0.93591122769271573</v>
      </c>
      <c r="G90" s="15">
        <f>E90*F90</f>
        <v>37.611346483385155</v>
      </c>
      <c r="H90" s="8">
        <f t="shared" si="8"/>
        <v>12.388653516614845</v>
      </c>
      <c r="I90" s="8">
        <f t="shared" si="9"/>
        <v>12.388653516614845</v>
      </c>
      <c r="J90" s="8">
        <f t="shared" si="10"/>
        <v>153.47873595473337</v>
      </c>
      <c r="K90" s="5">
        <f t="shared" si="11"/>
        <v>0.2477730703322969</v>
      </c>
    </row>
    <row r="91" spans="1:11" ht="15.75" customHeight="1">
      <c r="A91" s="4" t="str">
        <f t="shared" si="0"/>
        <v>Mar</v>
      </c>
      <c r="B91" s="4">
        <v>90</v>
      </c>
      <c r="C91" s="3">
        <v>21640</v>
      </c>
      <c r="D91" s="4">
        <v>41</v>
      </c>
      <c r="E91" s="15">
        <f>$O$2+($O$3*B91)</f>
        <v>40.20595844757085</v>
      </c>
      <c r="F91" s="8">
        <v>0.93591122769271573</v>
      </c>
      <c r="G91" s="15">
        <f>E91*F91</f>
        <v>37.629207931228351</v>
      </c>
      <c r="H91" s="8">
        <f t="shared" si="8"/>
        <v>3.3707920687716495</v>
      </c>
      <c r="I91" s="8">
        <f t="shared" si="9"/>
        <v>3.3707920687716495</v>
      </c>
      <c r="J91" s="8">
        <f t="shared" si="10"/>
        <v>11.362239170893856</v>
      </c>
      <c r="K91" s="5">
        <f t="shared" si="11"/>
        <v>8.2214440701747549E-2</v>
      </c>
    </row>
    <row r="92" spans="1:11" ht="15.75" customHeight="1">
      <c r="A92" s="4" t="str">
        <f t="shared" si="0"/>
        <v>Apr</v>
      </c>
      <c r="B92" s="4">
        <v>91</v>
      </c>
      <c r="C92" s="3">
        <v>21641</v>
      </c>
      <c r="D92" s="4">
        <v>39</v>
      </c>
      <c r="E92" s="15">
        <f>$O$2+($O$3*B92)</f>
        <v>40.225043001014264</v>
      </c>
      <c r="F92" s="8">
        <f>VLOOKUP(A92,V8:Y19,4,FALSE)</f>
        <v>0.94884596140877553</v>
      </c>
      <c r="G92" s="15">
        <f>E92*F92</f>
        <v>38.167369599006719</v>
      </c>
      <c r="H92" s="8">
        <f t="shared" si="8"/>
        <v>0.83263040099328123</v>
      </c>
      <c r="I92" s="8">
        <f t="shared" si="9"/>
        <v>0.83263040099328123</v>
      </c>
      <c r="J92" s="8">
        <f t="shared" si="10"/>
        <v>0.69327338465823229</v>
      </c>
      <c r="K92" s="5">
        <f t="shared" si="11"/>
        <v>2.1349497461366187E-2</v>
      </c>
    </row>
    <row r="93" spans="1:11" ht="15.75" customHeight="1">
      <c r="A93" s="4" t="str">
        <f t="shared" si="0"/>
        <v>Apr</v>
      </c>
      <c r="B93" s="4">
        <v>92</v>
      </c>
      <c r="C93" s="3">
        <v>21642</v>
      </c>
      <c r="D93" s="4">
        <v>41</v>
      </c>
      <c r="E93" s="15">
        <f>$O$2+($O$3*B93)</f>
        <v>40.244127554457677</v>
      </c>
      <c r="F93" s="8">
        <v>0.94884596140877553</v>
      </c>
      <c r="G93" s="15">
        <f>E93*F93</f>
        <v>38.185477900466786</v>
      </c>
      <c r="H93" s="8">
        <f t="shared" si="8"/>
        <v>2.8145220995332139</v>
      </c>
      <c r="I93" s="8">
        <f t="shared" si="9"/>
        <v>2.8145220995332139</v>
      </c>
      <c r="J93" s="8">
        <f t="shared" si="10"/>
        <v>7.9215346487608498</v>
      </c>
      <c r="K93" s="5">
        <f t="shared" si="11"/>
        <v>6.8646880476419855E-2</v>
      </c>
    </row>
    <row r="94" spans="1:11" ht="15.75" customHeight="1">
      <c r="A94" s="4" t="str">
        <f t="shared" si="0"/>
        <v>Apr</v>
      </c>
      <c r="B94" s="4">
        <v>93</v>
      </c>
      <c r="C94" s="3">
        <v>21643</v>
      </c>
      <c r="D94" s="4">
        <v>47</v>
      </c>
      <c r="E94" s="15">
        <f>$O$2+($O$3*B94)</f>
        <v>40.263212107901083</v>
      </c>
      <c r="F94" s="8">
        <v>0.94884596140877553</v>
      </c>
      <c r="G94" s="15">
        <f>E94*F94</f>
        <v>38.203586201926854</v>
      </c>
      <c r="H94" s="8">
        <f t="shared" si="8"/>
        <v>8.7964137980731465</v>
      </c>
      <c r="I94" s="8">
        <f t="shared" si="9"/>
        <v>8.7964137980731465</v>
      </c>
      <c r="J94" s="8">
        <f t="shared" si="10"/>
        <v>77.376895706931634</v>
      </c>
      <c r="K94" s="5">
        <f t="shared" si="11"/>
        <v>0.18715774038453503</v>
      </c>
    </row>
    <row r="95" spans="1:11" ht="15.75" customHeight="1">
      <c r="A95" s="4" t="str">
        <f t="shared" si="0"/>
        <v>Apr</v>
      </c>
      <c r="B95" s="4">
        <v>94</v>
      </c>
      <c r="C95" s="3">
        <v>21644</v>
      </c>
      <c r="D95" s="4">
        <v>34</v>
      </c>
      <c r="E95" s="15">
        <f>$O$2+($O$3*B95)</f>
        <v>40.282296661344496</v>
      </c>
      <c r="F95" s="8">
        <v>0.94884596140877553</v>
      </c>
      <c r="G95" s="15">
        <f>E95*F95</f>
        <v>38.221694503386928</v>
      </c>
      <c r="H95" s="8">
        <f t="shared" si="8"/>
        <v>-4.221694503386928</v>
      </c>
      <c r="I95" s="8">
        <f t="shared" si="9"/>
        <v>4.221694503386928</v>
      </c>
      <c r="J95" s="8">
        <f t="shared" si="10"/>
        <v>17.822704479927399</v>
      </c>
      <c r="K95" s="5">
        <f t="shared" si="11"/>
        <v>0.12416748539373318</v>
      </c>
    </row>
    <row r="96" spans="1:11" ht="15.75" customHeight="1">
      <c r="A96" s="4" t="str">
        <f t="shared" si="0"/>
        <v>Apr</v>
      </c>
      <c r="B96" s="4">
        <v>95</v>
      </c>
      <c r="C96" s="3">
        <v>21645</v>
      </c>
      <c r="D96" s="4">
        <v>36</v>
      </c>
      <c r="E96" s="15">
        <f>$O$2+($O$3*B96)</f>
        <v>40.301381214787909</v>
      </c>
      <c r="F96" s="8">
        <v>0.94884596140877553</v>
      </c>
      <c r="G96" s="15">
        <f>E96*F96</f>
        <v>38.239802804847002</v>
      </c>
      <c r="H96" s="8">
        <f t="shared" si="8"/>
        <v>-2.2398028048470024</v>
      </c>
      <c r="I96" s="8">
        <f t="shared" si="9"/>
        <v>2.2398028048470024</v>
      </c>
      <c r="J96" s="8">
        <f t="shared" si="10"/>
        <v>5.0167166046004992</v>
      </c>
      <c r="K96" s="5">
        <f t="shared" si="11"/>
        <v>6.2216744579083404E-2</v>
      </c>
    </row>
    <row r="97" spans="1:11" ht="15.75" customHeight="1">
      <c r="A97" s="4" t="str">
        <f t="shared" si="0"/>
        <v>Apr</v>
      </c>
      <c r="B97" s="4">
        <v>96</v>
      </c>
      <c r="C97" s="3">
        <v>21646</v>
      </c>
      <c r="D97" s="4">
        <v>33</v>
      </c>
      <c r="E97" s="15">
        <f>$O$2+($O$3*B97)</f>
        <v>40.320465768231323</v>
      </c>
      <c r="F97" s="8">
        <v>0.94884596140877553</v>
      </c>
      <c r="G97" s="15">
        <f>E97*F97</f>
        <v>38.25791110630707</v>
      </c>
      <c r="H97" s="8">
        <f t="shared" si="8"/>
        <v>-5.2579111063070698</v>
      </c>
      <c r="I97" s="8">
        <f t="shared" si="9"/>
        <v>5.2579111063070698</v>
      </c>
      <c r="J97" s="8">
        <f t="shared" si="10"/>
        <v>27.645629201827234</v>
      </c>
      <c r="K97" s="5">
        <f t="shared" si="11"/>
        <v>0.15933063958506272</v>
      </c>
    </row>
    <row r="98" spans="1:11" ht="15.75" customHeight="1">
      <c r="A98" s="4" t="str">
        <f t="shared" si="0"/>
        <v>Apr</v>
      </c>
      <c r="B98" s="4">
        <v>97</v>
      </c>
      <c r="C98" s="3">
        <v>21647</v>
      </c>
      <c r="D98" s="4">
        <v>35</v>
      </c>
      <c r="E98" s="15">
        <f>$O$2+($O$3*B98)</f>
        <v>40.339550321674736</v>
      </c>
      <c r="F98" s="8">
        <v>0.94884596140877553</v>
      </c>
      <c r="G98" s="15">
        <f>E98*F98</f>
        <v>38.276019407767144</v>
      </c>
      <c r="H98" s="8">
        <f t="shared" si="8"/>
        <v>-3.2760194077671443</v>
      </c>
      <c r="I98" s="8">
        <f t="shared" si="9"/>
        <v>3.2760194077671443</v>
      </c>
      <c r="J98" s="8">
        <f t="shared" si="10"/>
        <v>10.732303160066991</v>
      </c>
      <c r="K98" s="5">
        <f t="shared" si="11"/>
        <v>9.3600554507632688E-2</v>
      </c>
    </row>
    <row r="99" spans="1:11" ht="15.75" customHeight="1">
      <c r="A99" s="4" t="str">
        <f t="shared" si="0"/>
        <v>Apr</v>
      </c>
      <c r="B99" s="4">
        <v>98</v>
      </c>
      <c r="C99" s="3">
        <v>21648</v>
      </c>
      <c r="D99" s="4">
        <v>38</v>
      </c>
      <c r="E99" s="15">
        <f>$O$2+($O$3*B99)</f>
        <v>40.358634875118149</v>
      </c>
      <c r="F99" s="8">
        <v>0.94884596140877553</v>
      </c>
      <c r="G99" s="15">
        <f>E99*F99</f>
        <v>38.294127709227219</v>
      </c>
      <c r="H99" s="8">
        <f t="shared" si="8"/>
        <v>-0.29412770922721876</v>
      </c>
      <c r="I99" s="8">
        <f t="shared" si="9"/>
        <v>0.29412770922721876</v>
      </c>
      <c r="J99" s="8">
        <f t="shared" si="10"/>
        <v>8.6511109335251343E-2</v>
      </c>
      <c r="K99" s="5">
        <f t="shared" si="11"/>
        <v>7.7402028744004937E-3</v>
      </c>
    </row>
    <row r="100" spans="1:11" ht="15.75" customHeight="1">
      <c r="A100" s="4" t="str">
        <f t="shared" si="0"/>
        <v>Apr</v>
      </c>
      <c r="B100" s="4">
        <v>99</v>
      </c>
      <c r="C100" s="3">
        <v>21649</v>
      </c>
      <c r="D100" s="4">
        <v>38</v>
      </c>
      <c r="E100" s="15">
        <f>$O$2+($O$3*B100)</f>
        <v>40.377719428561562</v>
      </c>
      <c r="F100" s="8">
        <v>0.94884596140877553</v>
      </c>
      <c r="G100" s="15">
        <f>E100*F100</f>
        <v>38.312236010687293</v>
      </c>
      <c r="H100" s="8">
        <f t="shared" si="8"/>
        <v>-0.31223601068729323</v>
      </c>
      <c r="I100" s="8">
        <f t="shared" si="9"/>
        <v>0.31223601068729323</v>
      </c>
      <c r="J100" s="8">
        <f t="shared" si="10"/>
        <v>9.749132636991549E-2</v>
      </c>
      <c r="K100" s="5">
        <f t="shared" si="11"/>
        <v>8.2167371233498217E-3</v>
      </c>
    </row>
    <row r="101" spans="1:11" ht="15.75" customHeight="1">
      <c r="A101" s="4" t="str">
        <f t="shared" si="0"/>
        <v>Apr</v>
      </c>
      <c r="B101" s="4">
        <v>100</v>
      </c>
      <c r="C101" s="3">
        <v>21650</v>
      </c>
      <c r="D101" s="4">
        <v>34</v>
      </c>
      <c r="E101" s="15">
        <f>$O$2+($O$3*B101)</f>
        <v>40.396803982004975</v>
      </c>
      <c r="F101" s="8">
        <v>0.94884596140877553</v>
      </c>
      <c r="G101" s="15">
        <f>E101*F101</f>
        <v>38.330344312147361</v>
      </c>
      <c r="H101" s="8">
        <f t="shared" si="8"/>
        <v>-4.3303443121473606</v>
      </c>
      <c r="I101" s="8">
        <f t="shared" si="9"/>
        <v>4.3303443121473606</v>
      </c>
      <c r="J101" s="8">
        <f t="shared" si="10"/>
        <v>18.751881861746998</v>
      </c>
      <c r="K101" s="5">
        <f t="shared" si="11"/>
        <v>0.12736306800433414</v>
      </c>
    </row>
    <row r="102" spans="1:11" ht="15.75" customHeight="1">
      <c r="A102" s="4" t="str">
        <f t="shared" si="0"/>
        <v>Apr</v>
      </c>
      <c r="B102" s="4">
        <v>101</v>
      </c>
      <c r="C102" s="3">
        <v>21651</v>
      </c>
      <c r="D102" s="4">
        <v>53</v>
      </c>
      <c r="E102" s="15">
        <f>$O$2+($O$3*B102)</f>
        <v>40.415888535448389</v>
      </c>
      <c r="F102" s="8">
        <v>0.94884596140877553</v>
      </c>
      <c r="G102" s="15">
        <f>E102*F102</f>
        <v>38.348452613607435</v>
      </c>
      <c r="H102" s="8">
        <f t="shared" si="8"/>
        <v>14.651547386392565</v>
      </c>
      <c r="I102" s="8">
        <f t="shared" si="9"/>
        <v>14.651547386392565</v>
      </c>
      <c r="J102" s="8">
        <f t="shared" si="10"/>
        <v>214.6678408157068</v>
      </c>
      <c r="K102" s="5">
        <f t="shared" si="11"/>
        <v>0.27644429030929368</v>
      </c>
    </row>
    <row r="103" spans="1:11" ht="15.75" customHeight="1">
      <c r="A103" s="4" t="str">
        <f t="shared" si="0"/>
        <v>Apr</v>
      </c>
      <c r="B103" s="4">
        <v>102</v>
      </c>
      <c r="C103" s="3">
        <v>21652</v>
      </c>
      <c r="D103" s="4">
        <v>34</v>
      </c>
      <c r="E103" s="15">
        <f>$O$2+($O$3*B103)</f>
        <v>40.434973088891802</v>
      </c>
      <c r="F103" s="8">
        <v>0.94884596140877553</v>
      </c>
      <c r="G103" s="15">
        <f>E103*F103</f>
        <v>38.36656091506751</v>
      </c>
      <c r="H103" s="8">
        <f t="shared" si="8"/>
        <v>-4.3665609150675095</v>
      </c>
      <c r="I103" s="8">
        <f t="shared" si="9"/>
        <v>4.3665609150675095</v>
      </c>
      <c r="J103" s="8">
        <f t="shared" si="10"/>
        <v>19.066854224995208</v>
      </c>
      <c r="K103" s="5">
        <f t="shared" si="11"/>
        <v>0.12842826220786793</v>
      </c>
    </row>
    <row r="104" spans="1:11" ht="15.75" customHeight="1">
      <c r="A104" s="4" t="str">
        <f t="shared" si="0"/>
        <v>Apr</v>
      </c>
      <c r="B104" s="4">
        <v>103</v>
      </c>
      <c r="C104" s="3">
        <v>21653</v>
      </c>
      <c r="D104" s="4">
        <v>34</v>
      </c>
      <c r="E104" s="15">
        <f>$O$2+($O$3*B104)</f>
        <v>40.454057642335215</v>
      </c>
      <c r="F104" s="8">
        <v>0.94884596140877553</v>
      </c>
      <c r="G104" s="15">
        <f>E104*F104</f>
        <v>38.384669216527577</v>
      </c>
      <c r="H104" s="8">
        <f t="shared" si="8"/>
        <v>-4.3846692165275769</v>
      </c>
      <c r="I104" s="8">
        <f t="shared" si="9"/>
        <v>4.3846692165275769</v>
      </c>
      <c r="J104" s="8">
        <f t="shared" si="10"/>
        <v>19.225324138364556</v>
      </c>
      <c r="K104" s="5">
        <f t="shared" si="11"/>
        <v>0.12896085930963461</v>
      </c>
    </row>
    <row r="105" spans="1:11" ht="15.75" customHeight="1">
      <c r="A105" s="4" t="str">
        <f t="shared" si="0"/>
        <v>Apr</v>
      </c>
      <c r="B105" s="4">
        <v>104</v>
      </c>
      <c r="C105" s="3">
        <v>21654</v>
      </c>
      <c r="D105" s="4">
        <v>38</v>
      </c>
      <c r="E105" s="15">
        <f>$O$2+($O$3*B105)</f>
        <v>40.473142195778628</v>
      </c>
      <c r="F105" s="8">
        <v>0.94884596140877553</v>
      </c>
      <c r="G105" s="15">
        <f>E105*F105</f>
        <v>38.402777517987651</v>
      </c>
      <c r="H105" s="8">
        <f t="shared" si="8"/>
        <v>-0.40277751798765138</v>
      </c>
      <c r="I105" s="8">
        <f t="shared" si="9"/>
        <v>0.40277751798765138</v>
      </c>
      <c r="J105" s="8">
        <f t="shared" si="10"/>
        <v>0.16222972899629284</v>
      </c>
      <c r="K105" s="5">
        <f t="shared" si="11"/>
        <v>1.0599408368096089E-2</v>
      </c>
    </row>
    <row r="106" spans="1:11" ht="15.75" customHeight="1">
      <c r="A106" s="4" t="str">
        <f t="shared" si="0"/>
        <v>Apr</v>
      </c>
      <c r="B106" s="4">
        <v>105</v>
      </c>
      <c r="C106" s="3">
        <v>21655</v>
      </c>
      <c r="D106" s="4">
        <v>35</v>
      </c>
      <c r="E106" s="15">
        <f>$O$2+($O$3*B106)</f>
        <v>40.492226749222041</v>
      </c>
      <c r="F106" s="8">
        <v>0.94884596140877553</v>
      </c>
      <c r="G106" s="15">
        <f>E106*F106</f>
        <v>38.420885819447726</v>
      </c>
      <c r="H106" s="8">
        <f t="shared" si="8"/>
        <v>-3.4208858194477259</v>
      </c>
      <c r="I106" s="8">
        <f t="shared" si="9"/>
        <v>3.4208858194477259</v>
      </c>
      <c r="J106" s="8">
        <f t="shared" si="10"/>
        <v>11.702459789698539</v>
      </c>
      <c r="K106" s="5">
        <f t="shared" si="11"/>
        <v>9.7739594841363589E-2</v>
      </c>
    </row>
    <row r="107" spans="1:11" ht="15.75" customHeight="1">
      <c r="A107" s="4" t="str">
        <f t="shared" si="0"/>
        <v>Apr</v>
      </c>
      <c r="B107" s="4">
        <v>106</v>
      </c>
      <c r="C107" s="3">
        <v>21656</v>
      </c>
      <c r="D107" s="4">
        <v>32</v>
      </c>
      <c r="E107" s="15">
        <f>$O$2+($O$3*B107)</f>
        <v>40.511311302665447</v>
      </c>
      <c r="F107" s="8">
        <v>0.94884596140877553</v>
      </c>
      <c r="G107" s="15">
        <f>E107*F107</f>
        <v>38.438994120907793</v>
      </c>
      <c r="H107" s="8">
        <f t="shared" si="8"/>
        <v>-6.4389941209077932</v>
      </c>
      <c r="I107" s="8">
        <f t="shared" si="9"/>
        <v>6.4389941209077932</v>
      </c>
      <c r="J107" s="8">
        <f t="shared" si="10"/>
        <v>41.460645289085122</v>
      </c>
      <c r="K107" s="5">
        <f t="shared" si="11"/>
        <v>0.20121856627836854</v>
      </c>
    </row>
    <row r="108" spans="1:11" ht="15.75" customHeight="1">
      <c r="A108" s="4" t="str">
        <f t="shared" si="0"/>
        <v>Apr</v>
      </c>
      <c r="B108" s="4">
        <v>107</v>
      </c>
      <c r="C108" s="3">
        <v>21657</v>
      </c>
      <c r="D108" s="4">
        <v>42</v>
      </c>
      <c r="E108" s="15">
        <f>$O$2+($O$3*B108)</f>
        <v>40.530395856108861</v>
      </c>
      <c r="F108" s="8">
        <v>0.94884596140877553</v>
      </c>
      <c r="G108" s="15">
        <f>E108*F108</f>
        <v>38.457102422367861</v>
      </c>
      <c r="H108" s="8">
        <f t="shared" si="8"/>
        <v>3.5428975776321394</v>
      </c>
      <c r="I108" s="8">
        <f t="shared" si="9"/>
        <v>3.5428975776321394</v>
      </c>
      <c r="J108" s="8">
        <f t="shared" si="10"/>
        <v>12.552123245591682</v>
      </c>
      <c r="K108" s="5">
        <f t="shared" si="11"/>
        <v>8.4354704229336649E-2</v>
      </c>
    </row>
    <row r="109" spans="1:11" ht="15.75" customHeight="1">
      <c r="A109" s="4" t="str">
        <f t="shared" si="0"/>
        <v>Apr</v>
      </c>
      <c r="B109" s="4">
        <v>108</v>
      </c>
      <c r="C109" s="3">
        <v>21658</v>
      </c>
      <c r="D109" s="4">
        <v>34</v>
      </c>
      <c r="E109" s="15">
        <f>$O$2+($O$3*B109)</f>
        <v>40.549480409552274</v>
      </c>
      <c r="F109" s="8">
        <v>0.94884596140877553</v>
      </c>
      <c r="G109" s="15">
        <f>E109*F109</f>
        <v>38.475210723827935</v>
      </c>
      <c r="H109" s="8">
        <f t="shared" si="8"/>
        <v>-4.4752107238279351</v>
      </c>
      <c r="I109" s="8">
        <f t="shared" si="9"/>
        <v>4.4752107238279351</v>
      </c>
      <c r="J109" s="8">
        <f t="shared" si="10"/>
        <v>20.027511022664552</v>
      </c>
      <c r="K109" s="5">
        <f t="shared" si="11"/>
        <v>0.13162384481846867</v>
      </c>
    </row>
    <row r="110" spans="1:11" ht="15.75" customHeight="1">
      <c r="A110" s="4" t="str">
        <f t="shared" si="0"/>
        <v>Apr</v>
      </c>
      <c r="B110" s="4">
        <v>109</v>
      </c>
      <c r="C110" s="3">
        <v>21659</v>
      </c>
      <c r="D110" s="4">
        <v>46</v>
      </c>
      <c r="E110" s="15">
        <f>$O$2+($O$3*B110)</f>
        <v>40.568564962995687</v>
      </c>
      <c r="F110" s="8">
        <v>0.94884596140877553</v>
      </c>
      <c r="G110" s="15">
        <f>E110*F110</f>
        <v>38.49331902528801</v>
      </c>
      <c r="H110" s="8">
        <f t="shared" si="8"/>
        <v>7.5066809747119905</v>
      </c>
      <c r="I110" s="8">
        <f t="shared" si="9"/>
        <v>7.5066809747119905</v>
      </c>
      <c r="J110" s="8">
        <f t="shared" si="10"/>
        <v>56.350259256102959</v>
      </c>
      <c r="K110" s="5">
        <f t="shared" si="11"/>
        <v>0.16318871684156502</v>
      </c>
    </row>
    <row r="111" spans="1:11" ht="15.75" customHeight="1">
      <c r="A111" s="4" t="str">
        <f t="shared" si="0"/>
        <v>Apr</v>
      </c>
      <c r="B111" s="4">
        <v>110</v>
      </c>
      <c r="C111" s="3">
        <v>21660</v>
      </c>
      <c r="D111" s="4">
        <v>30</v>
      </c>
      <c r="E111" s="15">
        <f>$O$2+($O$3*B111)</f>
        <v>40.5876495164391</v>
      </c>
      <c r="F111" s="8">
        <v>0.94884596140877553</v>
      </c>
      <c r="G111" s="15">
        <f>E111*F111</f>
        <v>38.511427326748084</v>
      </c>
      <c r="H111" s="8">
        <f t="shared" si="8"/>
        <v>-8.511427326748084</v>
      </c>
      <c r="I111" s="8">
        <f t="shared" si="9"/>
        <v>8.511427326748084</v>
      </c>
      <c r="J111" s="8">
        <f t="shared" si="10"/>
        <v>72.444395138514039</v>
      </c>
      <c r="K111" s="5">
        <f t="shared" si="11"/>
        <v>0.28371424422493613</v>
      </c>
    </row>
    <row r="112" spans="1:11" ht="15.75" customHeight="1">
      <c r="A112" s="4" t="str">
        <f t="shared" si="0"/>
        <v>Apr</v>
      </c>
      <c r="B112" s="4">
        <v>111</v>
      </c>
      <c r="C112" s="3">
        <v>21661</v>
      </c>
      <c r="D112" s="4">
        <v>46</v>
      </c>
      <c r="E112" s="15">
        <f>$O$2+($O$3*B112)</f>
        <v>40.606734069882513</v>
      </c>
      <c r="F112" s="8">
        <v>0.94884596140877553</v>
      </c>
      <c r="G112" s="15">
        <f>E112*F112</f>
        <v>38.529535628208151</v>
      </c>
      <c r="H112" s="8">
        <f t="shared" si="8"/>
        <v>7.4704643717918486</v>
      </c>
      <c r="I112" s="8">
        <f t="shared" si="9"/>
        <v>7.4704643717918486</v>
      </c>
      <c r="J112" s="8">
        <f t="shared" si="10"/>
        <v>55.807837930211377</v>
      </c>
      <c r="K112" s="5">
        <f t="shared" si="11"/>
        <v>0.1624013993867793</v>
      </c>
    </row>
    <row r="113" spans="1:11" ht="15.75" customHeight="1">
      <c r="A113" s="4" t="str">
        <f t="shared" si="0"/>
        <v>Apr</v>
      </c>
      <c r="B113" s="4">
        <v>112</v>
      </c>
      <c r="C113" s="3">
        <v>21662</v>
      </c>
      <c r="D113" s="4">
        <v>45</v>
      </c>
      <c r="E113" s="15">
        <f>$O$2+($O$3*B113)</f>
        <v>40.625818623325927</v>
      </c>
      <c r="F113" s="8">
        <v>0.94884596140877553</v>
      </c>
      <c r="G113" s="15">
        <f>E113*F113</f>
        <v>38.547643929668226</v>
      </c>
      <c r="H113" s="8">
        <f t="shared" si="8"/>
        <v>6.4523560703317742</v>
      </c>
      <c r="I113" s="8">
        <f t="shared" si="9"/>
        <v>6.4523560703317742</v>
      </c>
      <c r="J113" s="8">
        <f t="shared" si="10"/>
        <v>41.632898858347296</v>
      </c>
      <c r="K113" s="5">
        <f t="shared" si="11"/>
        <v>0.1433856904518172</v>
      </c>
    </row>
    <row r="114" spans="1:11" ht="15.75" customHeight="1">
      <c r="A114" s="4" t="str">
        <f t="shared" si="0"/>
        <v>Apr</v>
      </c>
      <c r="B114" s="4">
        <v>113</v>
      </c>
      <c r="C114" s="3">
        <v>21663</v>
      </c>
      <c r="D114" s="4">
        <v>54</v>
      </c>
      <c r="E114" s="15">
        <f>$O$2+($O$3*B114)</f>
        <v>40.64490317676934</v>
      </c>
      <c r="F114" s="8">
        <v>0.94884596140877553</v>
      </c>
      <c r="G114" s="15">
        <f>E114*F114</f>
        <v>38.5657522311283</v>
      </c>
      <c r="H114" s="8">
        <f t="shared" si="8"/>
        <v>15.4342477688717</v>
      </c>
      <c r="I114" s="8">
        <f t="shared" si="9"/>
        <v>15.4342477688717</v>
      </c>
      <c r="J114" s="8">
        <f t="shared" si="10"/>
        <v>238.21600419092104</v>
      </c>
      <c r="K114" s="5">
        <f t="shared" si="11"/>
        <v>0.28581940312725368</v>
      </c>
    </row>
    <row r="115" spans="1:11" ht="15.75" customHeight="1">
      <c r="A115" s="4" t="str">
        <f t="shared" si="0"/>
        <v>Apr</v>
      </c>
      <c r="B115" s="4">
        <v>114</v>
      </c>
      <c r="C115" s="3">
        <v>21664</v>
      </c>
      <c r="D115" s="4">
        <v>34</v>
      </c>
      <c r="E115" s="15">
        <f>$O$2+($O$3*B115)</f>
        <v>40.663987730212753</v>
      </c>
      <c r="F115" s="8">
        <v>0.94884596140877553</v>
      </c>
      <c r="G115" s="15">
        <f>E115*F115</f>
        <v>38.583860532588375</v>
      </c>
      <c r="H115" s="8">
        <f t="shared" si="8"/>
        <v>-4.5838605325883748</v>
      </c>
      <c r="I115" s="8">
        <f t="shared" si="9"/>
        <v>4.5838605325883748</v>
      </c>
      <c r="J115" s="8">
        <f t="shared" si="10"/>
        <v>21.011777382221378</v>
      </c>
      <c r="K115" s="5">
        <f t="shared" si="11"/>
        <v>0.13481942742906985</v>
      </c>
    </row>
    <row r="116" spans="1:11" ht="15.75" customHeight="1">
      <c r="A116" s="4" t="str">
        <f t="shared" si="0"/>
        <v>Apr</v>
      </c>
      <c r="B116" s="4">
        <v>115</v>
      </c>
      <c r="C116" s="3">
        <v>21665</v>
      </c>
      <c r="D116" s="4">
        <v>37</v>
      </c>
      <c r="E116" s="15">
        <f>$O$2+($O$3*B116)</f>
        <v>40.683072283656166</v>
      </c>
      <c r="F116" s="8">
        <v>0.94884596140877553</v>
      </c>
      <c r="G116" s="15">
        <f>E116*F116</f>
        <v>38.601968834048442</v>
      </c>
      <c r="H116" s="8">
        <f t="shared" si="8"/>
        <v>-1.6019688340484421</v>
      </c>
      <c r="I116" s="8">
        <f t="shared" si="9"/>
        <v>1.6019688340484421</v>
      </c>
      <c r="J116" s="8">
        <f t="shared" si="10"/>
        <v>2.5663041452625253</v>
      </c>
      <c r="K116" s="5">
        <f t="shared" si="11"/>
        <v>4.3296454974282222E-2</v>
      </c>
    </row>
    <row r="117" spans="1:11" ht="15.75" customHeight="1">
      <c r="A117" s="4" t="str">
        <f t="shared" si="0"/>
        <v>Apr</v>
      </c>
      <c r="B117" s="4">
        <v>116</v>
      </c>
      <c r="C117" s="3">
        <v>21666</v>
      </c>
      <c r="D117" s="4">
        <v>35</v>
      </c>
      <c r="E117" s="15">
        <f>$O$2+($O$3*B117)</f>
        <v>40.702156837099579</v>
      </c>
      <c r="F117" s="8">
        <v>0.94884596140877553</v>
      </c>
      <c r="G117" s="15">
        <f>E117*F117</f>
        <v>38.620077135508517</v>
      </c>
      <c r="H117" s="8">
        <f t="shared" si="8"/>
        <v>-3.6200771355085166</v>
      </c>
      <c r="I117" s="8">
        <f t="shared" si="9"/>
        <v>3.6200771355085166</v>
      </c>
      <c r="J117" s="8">
        <f t="shared" si="10"/>
        <v>13.104958467031548</v>
      </c>
      <c r="K117" s="5">
        <f t="shared" si="11"/>
        <v>0.10343077530024333</v>
      </c>
    </row>
    <row r="118" spans="1:11" ht="15.75" customHeight="1">
      <c r="A118" s="4" t="str">
        <f t="shared" si="0"/>
        <v>Apr</v>
      </c>
      <c r="B118" s="4">
        <v>117</v>
      </c>
      <c r="C118" s="3">
        <v>21667</v>
      </c>
      <c r="D118" s="4">
        <v>40</v>
      </c>
      <c r="E118" s="15">
        <f>$O$2+($O$3*B118)</f>
        <v>40.721241390542993</v>
      </c>
      <c r="F118" s="8">
        <v>0.94884596140877553</v>
      </c>
      <c r="G118" s="15">
        <f>E118*F118</f>
        <v>38.638185436968591</v>
      </c>
      <c r="H118" s="8">
        <f t="shared" si="8"/>
        <v>1.3618145630314089</v>
      </c>
      <c r="I118" s="8">
        <f t="shared" si="9"/>
        <v>1.3618145630314089</v>
      </c>
      <c r="J118" s="8">
        <f t="shared" si="10"/>
        <v>1.8545389040844271</v>
      </c>
      <c r="K118" s="5">
        <f t="shared" si="11"/>
        <v>3.404536407578522E-2</v>
      </c>
    </row>
    <row r="119" spans="1:11" ht="15.75" customHeight="1">
      <c r="A119" s="4" t="str">
        <f t="shared" si="0"/>
        <v>Apr</v>
      </c>
      <c r="B119" s="4">
        <v>118</v>
      </c>
      <c r="C119" s="3">
        <v>21668</v>
      </c>
      <c r="D119" s="4">
        <v>42</v>
      </c>
      <c r="E119" s="15">
        <f>$O$2+($O$3*B119)</f>
        <v>40.740325943986406</v>
      </c>
      <c r="F119" s="8">
        <v>0.94884596140877553</v>
      </c>
      <c r="G119" s="15">
        <f>E119*F119</f>
        <v>38.656293738428658</v>
      </c>
      <c r="H119" s="8">
        <f t="shared" si="8"/>
        <v>3.3437062615713415</v>
      </c>
      <c r="I119" s="8">
        <f t="shared" si="9"/>
        <v>3.3437062615713415</v>
      </c>
      <c r="J119" s="8">
        <f t="shared" si="10"/>
        <v>11.180371563671397</v>
      </c>
      <c r="K119" s="5">
        <f t="shared" si="11"/>
        <v>7.9612053846936703E-2</v>
      </c>
    </row>
    <row r="120" spans="1:11" ht="15.75" customHeight="1">
      <c r="A120" s="4" t="str">
        <f t="shared" si="0"/>
        <v>Apr</v>
      </c>
      <c r="B120" s="4">
        <v>119</v>
      </c>
      <c r="C120" s="3">
        <v>21669</v>
      </c>
      <c r="D120" s="4">
        <v>58</v>
      </c>
      <c r="E120" s="15">
        <f>$O$2+($O$3*B120)</f>
        <v>40.759410497429812</v>
      </c>
      <c r="F120" s="8">
        <v>0.94884596140877553</v>
      </c>
      <c r="G120" s="15">
        <f>E120*F120</f>
        <v>38.674402039888726</v>
      </c>
      <c r="H120" s="8">
        <f t="shared" si="8"/>
        <v>19.325597960111274</v>
      </c>
      <c r="I120" s="8">
        <f t="shared" si="9"/>
        <v>19.325597960111274</v>
      </c>
      <c r="J120" s="8">
        <f t="shared" si="10"/>
        <v>373.47873651585707</v>
      </c>
      <c r="K120" s="5">
        <f t="shared" si="11"/>
        <v>0.3331999648295047</v>
      </c>
    </row>
    <row r="121" spans="1:11" ht="15.75" customHeight="1">
      <c r="A121" s="4" t="str">
        <f t="shared" si="0"/>
        <v>Apr</v>
      </c>
      <c r="B121" s="4">
        <v>120</v>
      </c>
      <c r="C121" s="3">
        <v>21670</v>
      </c>
      <c r="D121" s="4">
        <v>51</v>
      </c>
      <c r="E121" s="15">
        <f>$O$2+($O$3*B121)</f>
        <v>40.778495050873225</v>
      </c>
      <c r="F121" s="8">
        <v>0.94884596140877553</v>
      </c>
      <c r="G121" s="15">
        <f>E121*F121</f>
        <v>38.6925103413488</v>
      </c>
      <c r="H121" s="8">
        <f t="shared" si="8"/>
        <v>12.3074896586512</v>
      </c>
      <c r="I121" s="8">
        <f t="shared" si="9"/>
        <v>12.3074896586512</v>
      </c>
      <c r="J121" s="8">
        <f t="shared" si="10"/>
        <v>151.47430169780623</v>
      </c>
      <c r="K121" s="5">
        <f t="shared" si="11"/>
        <v>0.2413233266402196</v>
      </c>
    </row>
    <row r="122" spans="1:11" ht="15.75" customHeight="1">
      <c r="A122" s="4" t="str">
        <f t="shared" si="0"/>
        <v>May</v>
      </c>
      <c r="B122" s="4">
        <v>121</v>
      </c>
      <c r="C122" s="3">
        <v>21671</v>
      </c>
      <c r="D122" s="4">
        <v>32</v>
      </c>
      <c r="E122" s="15">
        <f>$O$2+($O$3*B122)</f>
        <v>40.797579604316638</v>
      </c>
      <c r="F122" s="8">
        <f>VLOOKUP(A122,V7:Y19,4,FALSE)</f>
        <v>0.92822722746535358</v>
      </c>
      <c r="G122" s="15">
        <f>E122*F122</f>
        <v>37.869424203411889</v>
      </c>
      <c r="H122" s="8">
        <f t="shared" si="8"/>
        <v>-5.8694242034118886</v>
      </c>
      <c r="I122" s="8">
        <f t="shared" si="9"/>
        <v>5.8694242034118886</v>
      </c>
      <c r="J122" s="8">
        <f t="shared" si="10"/>
        <v>34.45014047959728</v>
      </c>
      <c r="K122" s="5">
        <f t="shared" si="11"/>
        <v>0.18341950635662152</v>
      </c>
    </row>
    <row r="123" spans="1:11" ht="15.75" customHeight="1">
      <c r="A123" s="4" t="str">
        <f t="shared" si="0"/>
        <v>May</v>
      </c>
      <c r="B123" s="4">
        <v>122</v>
      </c>
      <c r="C123" s="3">
        <v>21672</v>
      </c>
      <c r="D123" s="4">
        <v>35</v>
      </c>
      <c r="E123" s="15">
        <f>$O$2+($O$3*B123)</f>
        <v>40.816664157760052</v>
      </c>
      <c r="F123" s="8">
        <v>0.92822722746535358</v>
      </c>
      <c r="G123" s="15">
        <f>E123*F123</f>
        <v>37.887139005542082</v>
      </c>
      <c r="H123" s="8">
        <f t="shared" si="8"/>
        <v>-2.8871390055420818</v>
      </c>
      <c r="I123" s="8">
        <f t="shared" si="9"/>
        <v>2.8871390055420818</v>
      </c>
      <c r="J123" s="8">
        <f t="shared" si="10"/>
        <v>8.3355716373225217</v>
      </c>
      <c r="K123" s="5">
        <f t="shared" si="11"/>
        <v>8.2489685872630905E-2</v>
      </c>
    </row>
    <row r="124" spans="1:11" ht="15.75" customHeight="1">
      <c r="A124" s="4" t="str">
        <f t="shared" si="0"/>
        <v>May</v>
      </c>
      <c r="B124" s="4">
        <v>123</v>
      </c>
      <c r="C124" s="3">
        <v>21673</v>
      </c>
      <c r="D124" s="4">
        <v>38</v>
      </c>
      <c r="E124" s="15">
        <f>$O$2+($O$3*B124)</f>
        <v>40.835748711203465</v>
      </c>
      <c r="F124" s="8">
        <v>0.92822722746535358</v>
      </c>
      <c r="G124" s="15">
        <f>E124*F124</f>
        <v>37.904853807672275</v>
      </c>
      <c r="H124" s="8">
        <f t="shared" si="8"/>
        <v>9.5146192327725032E-2</v>
      </c>
      <c r="I124" s="8">
        <f t="shared" si="9"/>
        <v>9.5146192327725032E-2</v>
      </c>
      <c r="J124" s="8">
        <f t="shared" si="10"/>
        <v>9.0527979144644413E-3</v>
      </c>
      <c r="K124" s="5">
        <f t="shared" si="11"/>
        <v>2.5038471665190798E-3</v>
      </c>
    </row>
    <row r="125" spans="1:11" ht="15.75" customHeight="1">
      <c r="A125" s="4" t="str">
        <f t="shared" si="0"/>
        <v>May</v>
      </c>
      <c r="B125" s="4">
        <v>124</v>
      </c>
      <c r="C125" s="3">
        <v>21674</v>
      </c>
      <c r="D125" s="4">
        <v>33</v>
      </c>
      <c r="E125" s="15">
        <f>$O$2+($O$3*B125)</f>
        <v>40.854833264646878</v>
      </c>
      <c r="F125" s="8">
        <v>0.92822722746535358</v>
      </c>
      <c r="G125" s="15">
        <f>E125*F125</f>
        <v>37.922568609802468</v>
      </c>
      <c r="H125" s="8">
        <f t="shared" si="8"/>
        <v>-4.9225686098024681</v>
      </c>
      <c r="I125" s="8">
        <f t="shared" si="9"/>
        <v>4.9225686098024681</v>
      </c>
      <c r="J125" s="8">
        <f t="shared" si="10"/>
        <v>24.231681718212602</v>
      </c>
      <c r="K125" s="5">
        <f t="shared" si="11"/>
        <v>0.14916874575158995</v>
      </c>
    </row>
    <row r="126" spans="1:11" ht="15.75" customHeight="1">
      <c r="A126" s="4" t="str">
        <f t="shared" si="0"/>
        <v>May</v>
      </c>
      <c r="B126" s="4">
        <v>125</v>
      </c>
      <c r="C126" s="3">
        <v>21675</v>
      </c>
      <c r="D126" s="4">
        <v>39</v>
      </c>
      <c r="E126" s="15">
        <f>$O$2+($O$3*B126)</f>
        <v>40.873917818090291</v>
      </c>
      <c r="F126" s="8">
        <v>0.92822722746535358</v>
      </c>
      <c r="G126" s="15">
        <f>E126*F126</f>
        <v>37.940283411932668</v>
      </c>
      <c r="H126" s="8">
        <f t="shared" si="8"/>
        <v>1.0597165880673316</v>
      </c>
      <c r="I126" s="8">
        <f t="shared" si="9"/>
        <v>1.0597165880673316</v>
      </c>
      <c r="J126" s="8">
        <f t="shared" si="10"/>
        <v>1.1229992470250665</v>
      </c>
      <c r="K126" s="5">
        <f t="shared" si="11"/>
        <v>2.7172220206854655E-2</v>
      </c>
    </row>
    <row r="127" spans="1:11" ht="15.75" customHeight="1">
      <c r="A127" s="4" t="str">
        <f t="shared" si="0"/>
        <v>May</v>
      </c>
      <c r="B127" s="4">
        <v>126</v>
      </c>
      <c r="C127" s="3">
        <v>21676</v>
      </c>
      <c r="D127" s="4">
        <v>47</v>
      </c>
      <c r="E127" s="15">
        <f>$O$2+($O$3*B127)</f>
        <v>40.893002371533704</v>
      </c>
      <c r="F127" s="8">
        <v>0.92822722746535358</v>
      </c>
      <c r="G127" s="15">
        <f>E127*F127</f>
        <v>37.957998214062862</v>
      </c>
      <c r="H127" s="8">
        <f t="shared" si="8"/>
        <v>9.0420017859371384</v>
      </c>
      <c r="I127" s="8">
        <f t="shared" si="9"/>
        <v>9.0420017859371384</v>
      </c>
      <c r="J127" s="8">
        <f t="shared" si="10"/>
        <v>81.757796296890405</v>
      </c>
      <c r="K127" s="5">
        <f t="shared" si="11"/>
        <v>0.19238301672206679</v>
      </c>
    </row>
    <row r="128" spans="1:11" ht="15.75" customHeight="1">
      <c r="A128" s="4" t="str">
        <f t="shared" si="0"/>
        <v>May</v>
      </c>
      <c r="B128" s="4">
        <v>127</v>
      </c>
      <c r="C128" s="3">
        <v>21677</v>
      </c>
      <c r="D128" s="4">
        <v>38</v>
      </c>
      <c r="E128" s="15">
        <f>$O$2+($O$3*B128)</f>
        <v>40.912086924977118</v>
      </c>
      <c r="F128" s="8">
        <v>0.92822722746535358</v>
      </c>
      <c r="G128" s="15">
        <f>E128*F128</f>
        <v>37.975713016193055</v>
      </c>
      <c r="H128" s="8">
        <f t="shared" si="8"/>
        <v>2.4286983806945273E-2</v>
      </c>
      <c r="I128" s="8">
        <f t="shared" si="9"/>
        <v>2.4286983806945273E-2</v>
      </c>
      <c r="J128" s="8">
        <f t="shared" si="10"/>
        <v>5.8985758243882184E-4</v>
      </c>
      <c r="K128" s="5">
        <f t="shared" si="11"/>
        <v>6.3913115281434931E-4</v>
      </c>
    </row>
    <row r="129" spans="1:11" ht="15.75" customHeight="1">
      <c r="A129" s="4" t="str">
        <f t="shared" si="0"/>
        <v>May</v>
      </c>
      <c r="B129" s="4">
        <v>128</v>
      </c>
      <c r="C129" s="3">
        <v>21678</v>
      </c>
      <c r="D129" s="4">
        <v>52</v>
      </c>
      <c r="E129" s="15">
        <f>$O$2+($O$3*B129)</f>
        <v>40.931171478420531</v>
      </c>
      <c r="F129" s="8">
        <v>0.92822722746535358</v>
      </c>
      <c r="G129" s="15">
        <f>E129*F129</f>
        <v>37.993427818323248</v>
      </c>
      <c r="H129" s="8">
        <f t="shared" si="8"/>
        <v>14.006572181676752</v>
      </c>
      <c r="I129" s="8">
        <f t="shared" si="9"/>
        <v>14.006572181676752</v>
      </c>
      <c r="J129" s="8">
        <f t="shared" si="10"/>
        <v>196.18406428052106</v>
      </c>
      <c r="K129" s="5">
        <f t="shared" si="11"/>
        <v>0.26935715733993754</v>
      </c>
    </row>
    <row r="130" spans="1:11" ht="15.75" customHeight="1">
      <c r="A130" s="4" t="str">
        <f t="shared" si="0"/>
        <v>May</v>
      </c>
      <c r="B130" s="4">
        <v>129</v>
      </c>
      <c r="C130" s="3">
        <v>21679</v>
      </c>
      <c r="D130" s="4">
        <v>30</v>
      </c>
      <c r="E130" s="15">
        <f>$O$2+($O$3*B130)</f>
        <v>40.950256031863944</v>
      </c>
      <c r="F130" s="8">
        <v>0.92822722746535358</v>
      </c>
      <c r="G130" s="15">
        <f>E130*F130</f>
        <v>38.011142620453441</v>
      </c>
      <c r="H130" s="8">
        <f t="shared" si="8"/>
        <v>-8.0111426204534411</v>
      </c>
      <c r="I130" s="8">
        <f t="shared" si="9"/>
        <v>8.0111426204534411</v>
      </c>
      <c r="J130" s="8">
        <f t="shared" si="10"/>
        <v>64.178406085245626</v>
      </c>
      <c r="K130" s="5">
        <f t="shared" si="11"/>
        <v>0.26703808734844803</v>
      </c>
    </row>
    <row r="131" spans="1:11" ht="15.75" customHeight="1">
      <c r="A131" s="4" t="str">
        <f t="shared" si="0"/>
        <v>May</v>
      </c>
      <c r="B131" s="4">
        <v>130</v>
      </c>
      <c r="C131" s="3">
        <v>21680</v>
      </c>
      <c r="D131" s="4">
        <v>34</v>
      </c>
      <c r="E131" s="15">
        <f>$O$2+($O$3*B131)</f>
        <v>40.96934058530735</v>
      </c>
      <c r="F131" s="8">
        <v>0.92822722746535358</v>
      </c>
      <c r="G131" s="15">
        <f>E131*F131</f>
        <v>38.028857422583627</v>
      </c>
      <c r="H131" s="8">
        <f t="shared" ref="H131:H194" si="12">D131-G131</f>
        <v>-4.0288574225836271</v>
      </c>
      <c r="I131" s="8">
        <f t="shared" ref="I131:I194" si="13">ABS(H131)</f>
        <v>4.0288574225836271</v>
      </c>
      <c r="J131" s="8">
        <f t="shared" ref="J131:J194" si="14">I131^2</f>
        <v>16.231692131507188</v>
      </c>
      <c r="K131" s="5">
        <f t="shared" ref="K131:K194" si="15">I131/D131</f>
        <v>0.11849580654657726</v>
      </c>
    </row>
    <row r="132" spans="1:11" ht="15.75" customHeight="1">
      <c r="A132" s="4" t="str">
        <f t="shared" si="0"/>
        <v>May</v>
      </c>
      <c r="B132" s="4">
        <v>131</v>
      </c>
      <c r="C132" s="3">
        <v>21681</v>
      </c>
      <c r="D132" s="4">
        <v>40</v>
      </c>
      <c r="E132" s="15">
        <f>$O$2+($O$3*B132)</f>
        <v>40.988425138750763</v>
      </c>
      <c r="F132" s="8">
        <v>0.92822722746535358</v>
      </c>
      <c r="G132" s="15">
        <f>E132*F132</f>
        <v>38.04657222471382</v>
      </c>
      <c r="H132" s="8">
        <f t="shared" si="12"/>
        <v>1.9534277752861797</v>
      </c>
      <c r="I132" s="8">
        <f t="shared" si="13"/>
        <v>1.9534277752861797</v>
      </c>
      <c r="J132" s="8">
        <f t="shared" si="14"/>
        <v>3.8158800732595135</v>
      </c>
      <c r="K132" s="5">
        <f t="shared" si="15"/>
        <v>4.8835694382154494E-2</v>
      </c>
    </row>
    <row r="133" spans="1:11" ht="15.75" customHeight="1">
      <c r="A133" s="4" t="str">
        <f t="shared" si="0"/>
        <v>May</v>
      </c>
      <c r="B133" s="4">
        <v>132</v>
      </c>
      <c r="C133" s="3">
        <v>21682</v>
      </c>
      <c r="D133" s="4">
        <v>35</v>
      </c>
      <c r="E133" s="15">
        <f>$O$2+($O$3*B133)</f>
        <v>41.007509692194176</v>
      </c>
      <c r="F133" s="8">
        <v>0.92822722746535358</v>
      </c>
      <c r="G133" s="15">
        <f>E133*F133</f>
        <v>38.064287026844013</v>
      </c>
      <c r="H133" s="8">
        <f t="shared" si="12"/>
        <v>-3.0642870268440134</v>
      </c>
      <c r="I133" s="8">
        <f t="shared" si="13"/>
        <v>3.0642870268440134</v>
      </c>
      <c r="J133" s="8">
        <f t="shared" si="14"/>
        <v>9.3898549828845237</v>
      </c>
      <c r="K133" s="5">
        <f t="shared" si="15"/>
        <v>8.755105790982895E-2</v>
      </c>
    </row>
    <row r="134" spans="1:11" ht="15.75" customHeight="1">
      <c r="A134" s="4" t="str">
        <f t="shared" si="0"/>
        <v>May</v>
      </c>
      <c r="B134" s="4">
        <v>133</v>
      </c>
      <c r="C134" s="3">
        <v>21683</v>
      </c>
      <c r="D134" s="4">
        <v>42</v>
      </c>
      <c r="E134" s="15">
        <f>$O$2+($O$3*B134)</f>
        <v>41.02659424563759</v>
      </c>
      <c r="F134" s="8">
        <v>0.92822722746535358</v>
      </c>
      <c r="G134" s="15">
        <f>E134*F134</f>
        <v>38.082001828974207</v>
      </c>
      <c r="H134" s="8">
        <f t="shared" si="12"/>
        <v>3.9179981710257934</v>
      </c>
      <c r="I134" s="8">
        <f t="shared" si="13"/>
        <v>3.9179981710257934</v>
      </c>
      <c r="J134" s="8">
        <f t="shared" si="14"/>
        <v>15.350709668161462</v>
      </c>
      <c r="K134" s="5">
        <f t="shared" si="15"/>
        <v>9.3285670738709373E-2</v>
      </c>
    </row>
    <row r="135" spans="1:11" ht="15.75" customHeight="1">
      <c r="A135" s="4" t="str">
        <f t="shared" si="0"/>
        <v>May</v>
      </c>
      <c r="B135" s="4">
        <v>134</v>
      </c>
      <c r="C135" s="3">
        <v>21684</v>
      </c>
      <c r="D135" s="4">
        <v>41</v>
      </c>
      <c r="E135" s="15">
        <f>$O$2+($O$3*B135)</f>
        <v>41.045678799081003</v>
      </c>
      <c r="F135" s="8">
        <v>0.92822722746535358</v>
      </c>
      <c r="G135" s="15">
        <f>E135*F135</f>
        <v>38.0997166311044</v>
      </c>
      <c r="H135" s="8">
        <f t="shared" si="12"/>
        <v>2.9002833688956002</v>
      </c>
      <c r="I135" s="8">
        <f t="shared" si="13"/>
        <v>2.9002833688956002</v>
      </c>
      <c r="J135" s="8">
        <f t="shared" si="14"/>
        <v>8.4116436198924127</v>
      </c>
      <c r="K135" s="5">
        <f t="shared" si="15"/>
        <v>7.0738618753551225E-2</v>
      </c>
    </row>
    <row r="136" spans="1:11" ht="15.75" customHeight="1">
      <c r="A136" s="4" t="str">
        <f t="shared" si="0"/>
        <v>May</v>
      </c>
      <c r="B136" s="4">
        <v>135</v>
      </c>
      <c r="C136" s="3">
        <v>21685</v>
      </c>
      <c r="D136" s="4">
        <v>42</v>
      </c>
      <c r="E136" s="15">
        <f>$O$2+($O$3*B136)</f>
        <v>41.064763352524416</v>
      </c>
      <c r="F136" s="8">
        <v>0.92822722746535358</v>
      </c>
      <c r="G136" s="15">
        <f>E136*F136</f>
        <v>38.1174314332346</v>
      </c>
      <c r="H136" s="8">
        <f t="shared" si="12"/>
        <v>3.8825685667654</v>
      </c>
      <c r="I136" s="8">
        <f t="shared" si="13"/>
        <v>3.8825685667654</v>
      </c>
      <c r="J136" s="8">
        <f t="shared" si="14"/>
        <v>15.074338675634731</v>
      </c>
      <c r="K136" s="5">
        <f t="shared" si="15"/>
        <v>9.244210873250952E-2</v>
      </c>
    </row>
    <row r="137" spans="1:11" ht="15.75" customHeight="1">
      <c r="A137" s="4" t="str">
        <f t="shared" si="0"/>
        <v>May</v>
      </c>
      <c r="B137" s="4">
        <v>136</v>
      </c>
      <c r="C137" s="3">
        <v>21686</v>
      </c>
      <c r="D137" s="4">
        <v>38</v>
      </c>
      <c r="E137" s="15">
        <f>$O$2+($O$3*B137)</f>
        <v>41.083847905967829</v>
      </c>
      <c r="F137" s="8">
        <v>0.92822722746535358</v>
      </c>
      <c r="G137" s="15">
        <f>E137*F137</f>
        <v>38.135146235364793</v>
      </c>
      <c r="H137" s="8">
        <f t="shared" si="12"/>
        <v>-0.1351462353647932</v>
      </c>
      <c r="I137" s="8">
        <f t="shared" si="13"/>
        <v>0.1351462353647932</v>
      </c>
      <c r="J137" s="8">
        <f t="shared" si="14"/>
        <v>1.8264504933276079E-2</v>
      </c>
      <c r="K137" s="5">
        <f t="shared" si="15"/>
        <v>3.5564798780208739E-3</v>
      </c>
    </row>
    <row r="138" spans="1:11" ht="15.75" customHeight="1">
      <c r="A138" s="4" t="str">
        <f t="shared" si="0"/>
        <v>May</v>
      </c>
      <c r="B138" s="4">
        <v>137</v>
      </c>
      <c r="C138" s="3">
        <v>21687</v>
      </c>
      <c r="D138" s="4">
        <v>24</v>
      </c>
      <c r="E138" s="15">
        <f>$O$2+($O$3*B138)</f>
        <v>41.102932459411242</v>
      </c>
      <c r="F138" s="8">
        <v>0.92822722746535358</v>
      </c>
      <c r="G138" s="15">
        <f>E138*F138</f>
        <v>38.152861037494986</v>
      </c>
      <c r="H138" s="8">
        <f t="shared" si="12"/>
        <v>-14.152861037494986</v>
      </c>
      <c r="I138" s="8">
        <f t="shared" si="13"/>
        <v>14.152861037494986</v>
      </c>
      <c r="J138" s="8">
        <f t="shared" si="14"/>
        <v>200.30347554664365</v>
      </c>
      <c r="K138" s="5">
        <f t="shared" si="15"/>
        <v>0.58970254322895777</v>
      </c>
    </row>
    <row r="139" spans="1:11" ht="15.75" customHeight="1">
      <c r="A139" s="4" t="str">
        <f t="shared" si="0"/>
        <v>May</v>
      </c>
      <c r="B139" s="4">
        <v>138</v>
      </c>
      <c r="C139" s="3">
        <v>21688</v>
      </c>
      <c r="D139" s="4">
        <v>34</v>
      </c>
      <c r="E139" s="15">
        <f>$O$2+($O$3*B139)</f>
        <v>41.122017012854656</v>
      </c>
      <c r="F139" s="8">
        <v>0.92822722746535358</v>
      </c>
      <c r="G139" s="15">
        <f>E139*F139</f>
        <v>38.17057583962518</v>
      </c>
      <c r="H139" s="8">
        <f t="shared" si="12"/>
        <v>-4.1705758396251795</v>
      </c>
      <c r="I139" s="8">
        <f t="shared" si="13"/>
        <v>4.1705758396251795</v>
      </c>
      <c r="J139" s="8">
        <f t="shared" si="14"/>
        <v>17.39370283406527</v>
      </c>
      <c r="K139" s="5">
        <f t="shared" si="15"/>
        <v>0.12266399528309352</v>
      </c>
    </row>
    <row r="140" spans="1:11" ht="15.75" customHeight="1">
      <c r="A140" s="4" t="str">
        <f t="shared" si="0"/>
        <v>May</v>
      </c>
      <c r="B140" s="4">
        <v>139</v>
      </c>
      <c r="C140" s="3">
        <v>21689</v>
      </c>
      <c r="D140" s="4">
        <v>43</v>
      </c>
      <c r="E140" s="15">
        <f>$O$2+($O$3*B140)</f>
        <v>41.141101566298069</v>
      </c>
      <c r="F140" s="8">
        <v>0.92822722746535358</v>
      </c>
      <c r="G140" s="15">
        <f>E140*F140</f>
        <v>38.188290641755373</v>
      </c>
      <c r="H140" s="8">
        <f t="shared" si="12"/>
        <v>4.8117093582446273</v>
      </c>
      <c r="I140" s="8">
        <f t="shared" si="13"/>
        <v>4.8117093582446273</v>
      </c>
      <c r="J140" s="8">
        <f t="shared" si="14"/>
        <v>23.152546948218923</v>
      </c>
      <c r="K140" s="5">
        <f t="shared" si="15"/>
        <v>0.11190021763359598</v>
      </c>
    </row>
    <row r="141" spans="1:11" ht="15.75" customHeight="1">
      <c r="A141" s="4" t="str">
        <f t="shared" si="0"/>
        <v>May</v>
      </c>
      <c r="B141" s="4">
        <v>140</v>
      </c>
      <c r="C141" s="3">
        <v>21690</v>
      </c>
      <c r="D141" s="4">
        <v>36</v>
      </c>
      <c r="E141" s="15">
        <f>$O$2+($O$3*B141)</f>
        <v>41.160186119741482</v>
      </c>
      <c r="F141" s="8">
        <v>0.92822722746535358</v>
      </c>
      <c r="G141" s="15">
        <f>E141*F141</f>
        <v>38.206005443885566</v>
      </c>
      <c r="H141" s="8">
        <f t="shared" si="12"/>
        <v>-2.2060054438855659</v>
      </c>
      <c r="I141" s="8">
        <f t="shared" si="13"/>
        <v>2.2060054438855659</v>
      </c>
      <c r="J141" s="8">
        <f t="shared" si="14"/>
        <v>4.8664600184527522</v>
      </c>
      <c r="K141" s="5">
        <f t="shared" si="15"/>
        <v>6.1277928996821274E-2</v>
      </c>
    </row>
    <row r="142" spans="1:11" ht="15.75" customHeight="1">
      <c r="A142" s="4" t="str">
        <f t="shared" si="0"/>
        <v>May</v>
      </c>
      <c r="B142" s="4">
        <v>141</v>
      </c>
      <c r="C142" s="3">
        <v>21691</v>
      </c>
      <c r="D142" s="4">
        <v>55</v>
      </c>
      <c r="E142" s="15">
        <f>$O$2+($O$3*B142)</f>
        <v>41.179270673184895</v>
      </c>
      <c r="F142" s="8">
        <v>0.92822722746535358</v>
      </c>
      <c r="G142" s="15">
        <f>E142*F142</f>
        <v>38.223720246015759</v>
      </c>
      <c r="H142" s="8">
        <f t="shared" si="12"/>
        <v>16.776279753984241</v>
      </c>
      <c r="I142" s="8">
        <f t="shared" si="13"/>
        <v>16.776279753984241</v>
      </c>
      <c r="J142" s="8">
        <f t="shared" si="14"/>
        <v>281.44356238394153</v>
      </c>
      <c r="K142" s="5">
        <f t="shared" si="15"/>
        <v>0.30502326825425891</v>
      </c>
    </row>
    <row r="143" spans="1:11" ht="15.75" customHeight="1">
      <c r="A143" s="4" t="str">
        <f t="shared" si="0"/>
        <v>May</v>
      </c>
      <c r="B143" s="4">
        <v>142</v>
      </c>
      <c r="C143" s="3">
        <v>21692</v>
      </c>
      <c r="D143" s="4">
        <v>41</v>
      </c>
      <c r="E143" s="15">
        <f>$O$2+($O$3*B143)</f>
        <v>41.198355226628308</v>
      </c>
      <c r="F143" s="8">
        <v>0.92822722746535358</v>
      </c>
      <c r="G143" s="15">
        <f>E143*F143</f>
        <v>38.241435048145952</v>
      </c>
      <c r="H143" s="8">
        <f t="shared" si="12"/>
        <v>2.7585649518540478</v>
      </c>
      <c r="I143" s="8">
        <f t="shared" si="13"/>
        <v>2.7585649518540478</v>
      </c>
      <c r="J143" s="8">
        <f t="shared" si="14"/>
        <v>7.6096805935975249</v>
      </c>
      <c r="K143" s="5">
        <f t="shared" si="15"/>
        <v>6.7282071996440193E-2</v>
      </c>
    </row>
    <row r="144" spans="1:11" ht="15.75" customHeight="1">
      <c r="A144" s="4" t="str">
        <f t="shared" si="0"/>
        <v>May</v>
      </c>
      <c r="B144" s="4">
        <v>143</v>
      </c>
      <c r="C144" s="3">
        <v>21693</v>
      </c>
      <c r="D144" s="4">
        <v>45</v>
      </c>
      <c r="E144" s="15">
        <f>$O$2+($O$3*B144)</f>
        <v>41.217439780071714</v>
      </c>
      <c r="F144" s="8">
        <v>0.92822722746535358</v>
      </c>
      <c r="G144" s="15">
        <f>E144*F144</f>
        <v>38.259149850276138</v>
      </c>
      <c r="H144" s="8">
        <f t="shared" si="12"/>
        <v>6.7408501497238618</v>
      </c>
      <c r="I144" s="8">
        <f t="shared" si="13"/>
        <v>6.7408501497238618</v>
      </c>
      <c r="J144" s="8">
        <f t="shared" si="14"/>
        <v>45.439060741032208</v>
      </c>
      <c r="K144" s="5">
        <f t="shared" si="15"/>
        <v>0.1497966699938636</v>
      </c>
    </row>
    <row r="145" spans="1:11" ht="15.75" customHeight="1">
      <c r="A145" s="4" t="str">
        <f t="shared" si="0"/>
        <v>May</v>
      </c>
      <c r="B145" s="4">
        <v>144</v>
      </c>
      <c r="C145" s="3">
        <v>21694</v>
      </c>
      <c r="D145" s="4">
        <v>41</v>
      </c>
      <c r="E145" s="15">
        <f>$O$2+($O$3*B145)</f>
        <v>41.236524333515128</v>
      </c>
      <c r="F145" s="8">
        <v>0.92822722746535358</v>
      </c>
      <c r="G145" s="15">
        <f>E145*F145</f>
        <v>38.276864652406331</v>
      </c>
      <c r="H145" s="8">
        <f t="shared" si="12"/>
        <v>2.7231353475936686</v>
      </c>
      <c r="I145" s="8">
        <f t="shared" si="13"/>
        <v>2.7231353475936686</v>
      </c>
      <c r="J145" s="8">
        <f t="shared" si="14"/>
        <v>7.4154661213140907</v>
      </c>
      <c r="K145" s="5">
        <f t="shared" si="15"/>
        <v>6.6417935307162654E-2</v>
      </c>
    </row>
    <row r="146" spans="1:11" ht="15.75" customHeight="1">
      <c r="A146" s="4" t="str">
        <f t="shared" si="0"/>
        <v>May</v>
      </c>
      <c r="B146" s="4">
        <v>145</v>
      </c>
      <c r="C146" s="3">
        <v>21695</v>
      </c>
      <c r="D146" s="4">
        <v>37</v>
      </c>
      <c r="E146" s="15">
        <f>$O$2+($O$3*B146)</f>
        <v>41.255608886958541</v>
      </c>
      <c r="F146" s="8">
        <v>0.92822722746535358</v>
      </c>
      <c r="G146" s="15">
        <f>E146*F146</f>
        <v>38.294579454536525</v>
      </c>
      <c r="H146" s="8">
        <f t="shared" si="12"/>
        <v>-1.2945794545365246</v>
      </c>
      <c r="I146" s="8">
        <f t="shared" si="13"/>
        <v>1.2945794545365246</v>
      </c>
      <c r="J146" s="8">
        <f t="shared" si="14"/>
        <v>1.6759359641080855</v>
      </c>
      <c r="K146" s="5">
        <f t="shared" si="15"/>
        <v>3.4988633906392556E-2</v>
      </c>
    </row>
    <row r="147" spans="1:11" ht="15.75" customHeight="1">
      <c r="A147" s="4" t="str">
        <f t="shared" si="0"/>
        <v>May</v>
      </c>
      <c r="B147" s="4">
        <v>146</v>
      </c>
      <c r="C147" s="3">
        <v>21696</v>
      </c>
      <c r="D147" s="4">
        <v>43</v>
      </c>
      <c r="E147" s="15">
        <f>$O$2+($O$3*B147)</f>
        <v>41.274693440401954</v>
      </c>
      <c r="F147" s="8">
        <v>0.92822722746535358</v>
      </c>
      <c r="G147" s="15">
        <f>E147*F147</f>
        <v>38.312294256666725</v>
      </c>
      <c r="H147" s="8">
        <f t="shared" si="12"/>
        <v>4.6877057433332752</v>
      </c>
      <c r="I147" s="8">
        <f t="shared" si="13"/>
        <v>4.6877057433332752</v>
      </c>
      <c r="J147" s="8">
        <f t="shared" si="14"/>
        <v>21.974585136079774</v>
      </c>
      <c r="K147" s="5">
        <f t="shared" si="15"/>
        <v>0.10901641263565756</v>
      </c>
    </row>
    <row r="148" spans="1:11" ht="15.75" customHeight="1">
      <c r="A148" s="4" t="str">
        <f t="shared" si="0"/>
        <v>May</v>
      </c>
      <c r="B148" s="4">
        <v>147</v>
      </c>
      <c r="C148" s="3">
        <v>21697</v>
      </c>
      <c r="D148" s="4">
        <v>39</v>
      </c>
      <c r="E148" s="15">
        <f>$O$2+($O$3*B148)</f>
        <v>41.293777993845367</v>
      </c>
      <c r="F148" s="8">
        <v>0.92822722746535358</v>
      </c>
      <c r="G148" s="15">
        <f>E148*F148</f>
        <v>38.330009058796918</v>
      </c>
      <c r="H148" s="8">
        <f t="shared" si="12"/>
        <v>0.669990941203082</v>
      </c>
      <c r="I148" s="8">
        <f t="shared" si="13"/>
        <v>0.669990941203082</v>
      </c>
      <c r="J148" s="8">
        <f t="shared" si="14"/>
        <v>0.44888786129419167</v>
      </c>
      <c r="K148" s="5">
        <f t="shared" si="15"/>
        <v>1.7179254902643128E-2</v>
      </c>
    </row>
    <row r="149" spans="1:11" ht="15.75" customHeight="1">
      <c r="A149" s="4" t="str">
        <f t="shared" si="0"/>
        <v>May</v>
      </c>
      <c r="B149" s="4">
        <v>148</v>
      </c>
      <c r="C149" s="3">
        <v>21698</v>
      </c>
      <c r="D149" s="4">
        <v>33</v>
      </c>
      <c r="E149" s="15">
        <f>$O$2+($O$3*B149)</f>
        <v>41.31286254728878</v>
      </c>
      <c r="F149" s="8">
        <v>0.92822722746535358</v>
      </c>
      <c r="G149" s="15">
        <f>E149*F149</f>
        <v>38.347723860927111</v>
      </c>
      <c r="H149" s="8">
        <f t="shared" si="12"/>
        <v>-5.3477238609271112</v>
      </c>
      <c r="I149" s="8">
        <f t="shared" si="13"/>
        <v>5.3477238609271112</v>
      </c>
      <c r="J149" s="8">
        <f t="shared" si="14"/>
        <v>28.598150492729168</v>
      </c>
      <c r="K149" s="5">
        <f t="shared" si="15"/>
        <v>0.16205223820991246</v>
      </c>
    </row>
    <row r="150" spans="1:11" ht="15.75" customHeight="1">
      <c r="A150" s="4" t="str">
        <f t="shared" si="0"/>
        <v>May</v>
      </c>
      <c r="B150" s="4">
        <v>149</v>
      </c>
      <c r="C150" s="3">
        <v>21699</v>
      </c>
      <c r="D150" s="4">
        <v>43</v>
      </c>
      <c r="E150" s="15">
        <f>$O$2+($O$3*B150)</f>
        <v>41.331947100732194</v>
      </c>
      <c r="F150" s="8">
        <v>0.92822722746535358</v>
      </c>
      <c r="G150" s="15">
        <f>E150*F150</f>
        <v>38.365438663057304</v>
      </c>
      <c r="H150" s="8">
        <f t="shared" si="12"/>
        <v>4.6345613369426957</v>
      </c>
      <c r="I150" s="8">
        <f t="shared" si="13"/>
        <v>4.6345613369426957</v>
      </c>
      <c r="J150" s="8">
        <f t="shared" si="14"/>
        <v>21.479158785884067</v>
      </c>
      <c r="K150" s="5">
        <f t="shared" si="15"/>
        <v>0.10778049620796967</v>
      </c>
    </row>
    <row r="151" spans="1:11" ht="15.75" customHeight="1">
      <c r="A151" s="4" t="str">
        <f t="shared" si="0"/>
        <v>May</v>
      </c>
      <c r="B151" s="4">
        <v>150</v>
      </c>
      <c r="C151" s="3">
        <v>21700</v>
      </c>
      <c r="D151" s="4">
        <v>40</v>
      </c>
      <c r="E151" s="15">
        <f>$O$2+($O$3*B151)</f>
        <v>41.351031654175607</v>
      </c>
      <c r="F151" s="8">
        <v>0.92822722746535358</v>
      </c>
      <c r="G151" s="15">
        <f>E151*F151</f>
        <v>38.383153465187497</v>
      </c>
      <c r="H151" s="8">
        <f t="shared" si="12"/>
        <v>1.6168465348125025</v>
      </c>
      <c r="I151" s="8">
        <f t="shared" si="13"/>
        <v>1.6168465348125025</v>
      </c>
      <c r="J151" s="8">
        <f t="shared" si="14"/>
        <v>2.6141927171351971</v>
      </c>
      <c r="K151" s="5">
        <f t="shared" si="15"/>
        <v>4.0421163370312561E-2</v>
      </c>
    </row>
    <row r="152" spans="1:11" ht="15.75" customHeight="1">
      <c r="A152" s="4" t="str">
        <f t="shared" si="0"/>
        <v>May</v>
      </c>
      <c r="B152" s="4">
        <v>151</v>
      </c>
      <c r="C152" s="3">
        <v>21701</v>
      </c>
      <c r="D152" s="4">
        <v>38</v>
      </c>
      <c r="E152" s="15">
        <f>$O$2+($O$3*B152)</f>
        <v>41.37011620761902</v>
      </c>
      <c r="F152" s="8">
        <v>0.92822722746535358</v>
      </c>
      <c r="G152" s="15">
        <f>E152*F152</f>
        <v>38.400868267317691</v>
      </c>
      <c r="H152" s="8">
        <f t="shared" si="12"/>
        <v>-0.40086826731769065</v>
      </c>
      <c r="I152" s="8">
        <f t="shared" si="13"/>
        <v>0.40086826731769065</v>
      </c>
      <c r="J152" s="8">
        <f t="shared" si="14"/>
        <v>0.16069536774228749</v>
      </c>
      <c r="K152" s="5">
        <f t="shared" si="15"/>
        <v>1.0549164929412913E-2</v>
      </c>
    </row>
    <row r="153" spans="1:11" ht="15.75" customHeight="1">
      <c r="A153" s="4" t="str">
        <f t="shared" si="0"/>
        <v>Jun</v>
      </c>
      <c r="B153" s="4">
        <v>152</v>
      </c>
      <c r="C153" s="3">
        <v>21702</v>
      </c>
      <c r="D153" s="4">
        <v>45</v>
      </c>
      <c r="E153" s="15">
        <f>$O$2+($O$3*B153)</f>
        <v>41.389200761062433</v>
      </c>
      <c r="F153" s="8">
        <f>VLOOKUP(A153,V7:Y19,4,FALSE)</f>
        <v>0.96234418847484171</v>
      </c>
      <c r="G153" s="15">
        <f>E153*F153</f>
        <v>39.830656818026931</v>
      </c>
      <c r="H153" s="8">
        <f t="shared" si="12"/>
        <v>5.1693431819730691</v>
      </c>
      <c r="I153" s="8">
        <f t="shared" si="13"/>
        <v>5.1693431819730691</v>
      </c>
      <c r="J153" s="8">
        <f t="shared" si="14"/>
        <v>26.722108933011455</v>
      </c>
      <c r="K153" s="5">
        <f t="shared" si="15"/>
        <v>0.11487429293273486</v>
      </c>
    </row>
    <row r="154" spans="1:11" ht="15.75" customHeight="1">
      <c r="A154" s="4" t="str">
        <f t="shared" si="0"/>
        <v>Jun</v>
      </c>
      <c r="B154" s="4">
        <v>153</v>
      </c>
      <c r="C154" s="3">
        <v>21703</v>
      </c>
      <c r="D154" s="4">
        <v>46</v>
      </c>
      <c r="E154" s="15">
        <f>$O$2+($O$3*B154)</f>
        <v>41.408285314505846</v>
      </c>
      <c r="F154" s="8">
        <v>0.96234418847484171</v>
      </c>
      <c r="G154" s="15">
        <f>E154*F154</f>
        <v>39.849022727122836</v>
      </c>
      <c r="H154" s="8">
        <f t="shared" si="12"/>
        <v>6.1509772728771637</v>
      </c>
      <c r="I154" s="8">
        <f t="shared" si="13"/>
        <v>6.1509772728771637</v>
      </c>
      <c r="J154" s="8">
        <f t="shared" si="14"/>
        <v>37.834521411451391</v>
      </c>
      <c r="K154" s="5">
        <f t="shared" si="15"/>
        <v>0.13371689723646007</v>
      </c>
    </row>
    <row r="155" spans="1:11" ht="15.75" customHeight="1">
      <c r="A155" s="4" t="str">
        <f t="shared" si="0"/>
        <v>Jun</v>
      </c>
      <c r="B155" s="4">
        <v>154</v>
      </c>
      <c r="C155" s="3">
        <v>21704</v>
      </c>
      <c r="D155" s="4">
        <v>34</v>
      </c>
      <c r="E155" s="15">
        <f>$O$2+($O$3*B155)</f>
        <v>41.42736986794926</v>
      </c>
      <c r="F155" s="8">
        <v>0.96234418847484171</v>
      </c>
      <c r="G155" s="15">
        <f>E155*F155</f>
        <v>39.867388636218742</v>
      </c>
      <c r="H155" s="8">
        <f t="shared" si="12"/>
        <v>-5.8673886362187417</v>
      </c>
      <c r="I155" s="8">
        <f t="shared" si="13"/>
        <v>5.8673886362187417</v>
      </c>
      <c r="J155" s="8">
        <f t="shared" si="14"/>
        <v>34.426249408428824</v>
      </c>
      <c r="K155" s="5">
        <f t="shared" si="15"/>
        <v>0.17257025400643358</v>
      </c>
    </row>
    <row r="156" spans="1:11" ht="15.75" customHeight="1">
      <c r="A156" s="4" t="str">
        <f t="shared" si="0"/>
        <v>Jun</v>
      </c>
      <c r="B156" s="4">
        <v>155</v>
      </c>
      <c r="C156" s="3">
        <v>21705</v>
      </c>
      <c r="D156" s="4">
        <v>35</v>
      </c>
      <c r="E156" s="15">
        <f>$O$2+($O$3*B156)</f>
        <v>41.446454421392673</v>
      </c>
      <c r="F156" s="8">
        <v>0.96234418847484171</v>
      </c>
      <c r="G156" s="15">
        <f>E156*F156</f>
        <v>39.885754545314647</v>
      </c>
      <c r="H156" s="8">
        <f t="shared" si="12"/>
        <v>-4.8857545453146471</v>
      </c>
      <c r="I156" s="8">
        <f t="shared" si="13"/>
        <v>4.8857545453146471</v>
      </c>
      <c r="J156" s="8">
        <f t="shared" si="14"/>
        <v>23.870597477062734</v>
      </c>
      <c r="K156" s="5">
        <f t="shared" si="15"/>
        <v>0.13959298700898992</v>
      </c>
    </row>
    <row r="157" spans="1:11" ht="15.75" customHeight="1">
      <c r="A157" s="4" t="str">
        <f t="shared" si="0"/>
        <v>Jun</v>
      </c>
      <c r="B157" s="4">
        <v>156</v>
      </c>
      <c r="C157" s="3">
        <v>21706</v>
      </c>
      <c r="D157" s="4">
        <v>48</v>
      </c>
      <c r="E157" s="15">
        <f>$O$2+($O$3*B157)</f>
        <v>41.465538974836079</v>
      </c>
      <c r="F157" s="8">
        <v>0.96234418847484171</v>
      </c>
      <c r="G157" s="15">
        <f>E157*F157</f>
        <v>39.904120454410545</v>
      </c>
      <c r="H157" s="8">
        <f t="shared" si="12"/>
        <v>8.0958795455894546</v>
      </c>
      <c r="I157" s="8">
        <f t="shared" si="13"/>
        <v>8.0958795455894546</v>
      </c>
      <c r="J157" s="8">
        <f t="shared" si="14"/>
        <v>65.543265616693716</v>
      </c>
      <c r="K157" s="5">
        <f t="shared" si="15"/>
        <v>0.16866415719978031</v>
      </c>
    </row>
    <row r="158" spans="1:11" ht="15.75" customHeight="1">
      <c r="A158" s="4" t="str">
        <f t="shared" si="0"/>
        <v>Jun</v>
      </c>
      <c r="B158" s="4">
        <v>157</v>
      </c>
      <c r="C158" s="3">
        <v>21707</v>
      </c>
      <c r="D158" s="4">
        <v>51</v>
      </c>
      <c r="E158" s="15">
        <f>$O$2+($O$3*B158)</f>
        <v>41.484623528279492</v>
      </c>
      <c r="F158" s="8">
        <v>0.96234418847484171</v>
      </c>
      <c r="G158" s="15">
        <f>E158*F158</f>
        <v>39.922486363506451</v>
      </c>
      <c r="H158" s="8">
        <f t="shared" si="12"/>
        <v>11.077513636493549</v>
      </c>
      <c r="I158" s="8">
        <f t="shared" si="13"/>
        <v>11.077513636493549</v>
      </c>
      <c r="J158" s="8">
        <f t="shared" si="14"/>
        <v>122.71130836670054</v>
      </c>
      <c r="K158" s="5">
        <f t="shared" si="15"/>
        <v>0.21720614973516764</v>
      </c>
    </row>
    <row r="159" spans="1:11" ht="15.75" customHeight="1">
      <c r="A159" s="4" t="str">
        <f t="shared" si="0"/>
        <v>Jun</v>
      </c>
      <c r="B159" s="4">
        <v>158</v>
      </c>
      <c r="C159" s="3">
        <v>21708</v>
      </c>
      <c r="D159" s="4">
        <v>36</v>
      </c>
      <c r="E159" s="15">
        <f>$O$2+($O$3*B159)</f>
        <v>41.503708081722905</v>
      </c>
      <c r="F159" s="8">
        <v>0.96234418847484171</v>
      </c>
      <c r="G159" s="15">
        <f>E159*F159</f>
        <v>39.940852272602356</v>
      </c>
      <c r="H159" s="8">
        <f t="shared" si="12"/>
        <v>-3.9408522726023563</v>
      </c>
      <c r="I159" s="8">
        <f t="shared" si="13"/>
        <v>3.9408522726023563</v>
      </c>
      <c r="J159" s="8">
        <f t="shared" si="14"/>
        <v>15.530316634475156</v>
      </c>
      <c r="K159" s="5">
        <f t="shared" si="15"/>
        <v>0.10946811868339879</v>
      </c>
    </row>
    <row r="160" spans="1:11" ht="15.75" customHeight="1">
      <c r="A160" s="4" t="str">
        <f t="shared" si="0"/>
        <v>Jun</v>
      </c>
      <c r="B160" s="4">
        <v>159</v>
      </c>
      <c r="C160" s="3">
        <v>21709</v>
      </c>
      <c r="D160" s="4">
        <v>33</v>
      </c>
      <c r="E160" s="15">
        <f>$O$2+($O$3*B160)</f>
        <v>41.522792635166319</v>
      </c>
      <c r="F160" s="8">
        <v>0.96234418847484171</v>
      </c>
      <c r="G160" s="15">
        <f>E160*F160</f>
        <v>39.959218181698262</v>
      </c>
      <c r="H160" s="8">
        <f t="shared" si="12"/>
        <v>-6.9592181816982617</v>
      </c>
      <c r="I160" s="8">
        <f t="shared" si="13"/>
        <v>6.9592181816982617</v>
      </c>
      <c r="J160" s="8">
        <f t="shared" si="14"/>
        <v>48.430717700479661</v>
      </c>
      <c r="K160" s="5">
        <f t="shared" si="15"/>
        <v>0.21088539944540186</v>
      </c>
    </row>
    <row r="161" spans="1:11" ht="15.75" customHeight="1">
      <c r="A161" s="4" t="str">
        <f t="shared" si="0"/>
        <v>Jun</v>
      </c>
      <c r="B161" s="4">
        <v>160</v>
      </c>
      <c r="C161" s="3">
        <v>21710</v>
      </c>
      <c r="D161" s="4">
        <v>46</v>
      </c>
      <c r="E161" s="15">
        <f>$O$2+($O$3*B161)</f>
        <v>41.541877188609732</v>
      </c>
      <c r="F161" s="8">
        <v>0.96234418847484171</v>
      </c>
      <c r="G161" s="15">
        <f>E161*F161</f>
        <v>39.977584090794174</v>
      </c>
      <c r="H161" s="8">
        <f t="shared" si="12"/>
        <v>6.0224159092058258</v>
      </c>
      <c r="I161" s="8">
        <f t="shared" si="13"/>
        <v>6.0224159092058258</v>
      </c>
      <c r="J161" s="8">
        <f t="shared" si="14"/>
        <v>36.269493383455433</v>
      </c>
      <c r="K161" s="5">
        <f t="shared" si="15"/>
        <v>0.13092208498273533</v>
      </c>
    </row>
    <row r="162" spans="1:11" ht="15.75" customHeight="1">
      <c r="A162" s="4" t="str">
        <f t="shared" si="0"/>
        <v>Jun</v>
      </c>
      <c r="B162" s="4">
        <v>161</v>
      </c>
      <c r="C162" s="3">
        <v>21711</v>
      </c>
      <c r="D162" s="4">
        <v>42</v>
      </c>
      <c r="E162" s="15">
        <f>$O$2+($O$3*B162)</f>
        <v>41.560961742053145</v>
      </c>
      <c r="F162" s="8">
        <v>0.96234418847484171</v>
      </c>
      <c r="G162" s="15">
        <f>E162*F162</f>
        <v>39.99594999989008</v>
      </c>
      <c r="H162" s="8">
        <f t="shared" si="12"/>
        <v>2.0040500001099204</v>
      </c>
      <c r="I162" s="8">
        <f t="shared" si="13"/>
        <v>2.0040500001099204</v>
      </c>
      <c r="J162" s="8">
        <f t="shared" si="14"/>
        <v>4.0162164029405716</v>
      </c>
      <c r="K162" s="5">
        <f t="shared" si="15"/>
        <v>4.771547619309334E-2</v>
      </c>
    </row>
    <row r="163" spans="1:11" ht="15.75" customHeight="1">
      <c r="A163" s="4" t="str">
        <f t="shared" si="0"/>
        <v>Jun</v>
      </c>
      <c r="B163" s="4">
        <v>162</v>
      </c>
      <c r="C163" s="3">
        <v>21712</v>
      </c>
      <c r="D163" s="4">
        <v>48</v>
      </c>
      <c r="E163" s="15">
        <f>$O$2+($O$3*B163)</f>
        <v>41.580046295496558</v>
      </c>
      <c r="F163" s="8">
        <v>0.96234418847484171</v>
      </c>
      <c r="G163" s="15">
        <f>E163*F163</f>
        <v>40.014315908985985</v>
      </c>
      <c r="H163" s="8">
        <f t="shared" si="12"/>
        <v>7.985684091014015</v>
      </c>
      <c r="I163" s="8">
        <f t="shared" si="13"/>
        <v>7.985684091014015</v>
      </c>
      <c r="J163" s="8">
        <f t="shared" si="14"/>
        <v>63.771150401474337</v>
      </c>
      <c r="K163" s="5">
        <f t="shared" si="15"/>
        <v>0.16636841856279197</v>
      </c>
    </row>
    <row r="164" spans="1:11" ht="15.75" customHeight="1">
      <c r="A164" s="4" t="str">
        <f t="shared" si="0"/>
        <v>Jun</v>
      </c>
      <c r="B164" s="4">
        <v>163</v>
      </c>
      <c r="C164" s="3">
        <v>21713</v>
      </c>
      <c r="D164" s="4">
        <v>34</v>
      </c>
      <c r="E164" s="15">
        <f>$O$2+($O$3*B164)</f>
        <v>41.599130848939971</v>
      </c>
      <c r="F164" s="8">
        <v>0.96234418847484171</v>
      </c>
      <c r="G164" s="15">
        <f>E164*F164</f>
        <v>40.03268181808189</v>
      </c>
      <c r="H164" s="8">
        <f t="shared" si="12"/>
        <v>-6.0326818180818904</v>
      </c>
      <c r="I164" s="8">
        <f t="shared" si="13"/>
        <v>6.0326818180818904</v>
      </c>
      <c r="J164" s="8">
        <f t="shared" si="14"/>
        <v>36.393249918215822</v>
      </c>
      <c r="K164" s="5">
        <f t="shared" si="15"/>
        <v>0.17743181817887912</v>
      </c>
    </row>
    <row r="165" spans="1:11" ht="15.75" customHeight="1">
      <c r="A165" s="4" t="str">
        <f t="shared" si="0"/>
        <v>Jun</v>
      </c>
      <c r="B165" s="4">
        <v>164</v>
      </c>
      <c r="C165" s="3">
        <v>21714</v>
      </c>
      <c r="D165" s="4">
        <v>41</v>
      </c>
      <c r="E165" s="15">
        <f>$O$2+($O$3*B165)</f>
        <v>41.618215402383385</v>
      </c>
      <c r="F165" s="8">
        <v>0.96234418847484171</v>
      </c>
      <c r="G165" s="15">
        <f>E165*F165</f>
        <v>40.051047727177796</v>
      </c>
      <c r="H165" s="8">
        <f t="shared" si="12"/>
        <v>0.94895227282220418</v>
      </c>
      <c r="I165" s="8">
        <f t="shared" si="13"/>
        <v>0.94895227282220418</v>
      </c>
      <c r="J165" s="8">
        <f t="shared" si="14"/>
        <v>0.90051041609442706</v>
      </c>
      <c r="K165" s="5">
        <f t="shared" si="15"/>
        <v>2.314517738590742E-2</v>
      </c>
    </row>
    <row r="166" spans="1:11" ht="15.75" customHeight="1">
      <c r="A166" s="4" t="str">
        <f t="shared" si="0"/>
        <v>Jun</v>
      </c>
      <c r="B166" s="4">
        <v>165</v>
      </c>
      <c r="C166" s="3">
        <v>21715</v>
      </c>
      <c r="D166" s="4">
        <v>35</v>
      </c>
      <c r="E166" s="15">
        <f>$O$2+($O$3*B166)</f>
        <v>41.637299955826798</v>
      </c>
      <c r="F166" s="8">
        <v>0.96234418847484171</v>
      </c>
      <c r="G166" s="15">
        <f>E166*F166</f>
        <v>40.069413636273701</v>
      </c>
      <c r="H166" s="8">
        <f t="shared" si="12"/>
        <v>-5.0694136362737012</v>
      </c>
      <c r="I166" s="8">
        <f t="shared" si="13"/>
        <v>5.0694136362737012</v>
      </c>
      <c r="J166" s="8">
        <f t="shared" si="14"/>
        <v>25.698954615637749</v>
      </c>
      <c r="K166" s="5">
        <f t="shared" si="15"/>
        <v>0.14484038960782003</v>
      </c>
    </row>
    <row r="167" spans="1:11" ht="15.75" customHeight="1">
      <c r="A167" s="4" t="str">
        <f t="shared" si="0"/>
        <v>Jun</v>
      </c>
      <c r="B167" s="4">
        <v>166</v>
      </c>
      <c r="C167" s="3">
        <v>21716</v>
      </c>
      <c r="D167" s="4">
        <v>40</v>
      </c>
      <c r="E167" s="15">
        <f>$O$2+($O$3*B167)</f>
        <v>41.656384509270211</v>
      </c>
      <c r="F167" s="8">
        <v>0.96234418847484171</v>
      </c>
      <c r="G167" s="15">
        <f>E167*F167</f>
        <v>40.087779545369607</v>
      </c>
      <c r="H167" s="8">
        <f t="shared" si="12"/>
        <v>-8.7779545369606637E-2</v>
      </c>
      <c r="I167" s="8">
        <f t="shared" si="13"/>
        <v>8.7779545369606637E-2</v>
      </c>
      <c r="J167" s="8">
        <f t="shared" si="14"/>
        <v>7.7052485852948304E-3</v>
      </c>
      <c r="K167" s="5">
        <f t="shared" si="15"/>
        <v>2.1944886342401661E-3</v>
      </c>
    </row>
    <row r="168" spans="1:11" ht="15.75" customHeight="1">
      <c r="A168" s="4" t="str">
        <f t="shared" si="0"/>
        <v>Jun</v>
      </c>
      <c r="B168" s="4">
        <v>167</v>
      </c>
      <c r="C168" s="3">
        <v>21717</v>
      </c>
      <c r="D168" s="4">
        <v>34</v>
      </c>
      <c r="E168" s="15">
        <f>$O$2+($O$3*B168)</f>
        <v>41.675469062713624</v>
      </c>
      <c r="F168" s="8">
        <v>0.96234418847484171</v>
      </c>
      <c r="G168" s="15">
        <f>E168*F168</f>
        <v>40.106145454465512</v>
      </c>
      <c r="H168" s="8">
        <f t="shared" si="12"/>
        <v>-6.106145454465512</v>
      </c>
      <c r="I168" s="8">
        <f t="shared" si="13"/>
        <v>6.106145454465512</v>
      </c>
      <c r="J168" s="8">
        <f t="shared" si="14"/>
        <v>37.285012311089837</v>
      </c>
      <c r="K168" s="5">
        <f t="shared" si="15"/>
        <v>0.17959251336663271</v>
      </c>
    </row>
    <row r="169" spans="1:11" ht="15.75" customHeight="1">
      <c r="A169" s="4" t="str">
        <f t="shared" si="0"/>
        <v>Jun</v>
      </c>
      <c r="B169" s="4">
        <v>168</v>
      </c>
      <c r="C169" s="3">
        <v>21718</v>
      </c>
      <c r="D169" s="4">
        <v>30</v>
      </c>
      <c r="E169" s="15">
        <f>$O$2+($O$3*B169)</f>
        <v>41.69455361615703</v>
      </c>
      <c r="F169" s="8">
        <v>0.96234418847484171</v>
      </c>
      <c r="G169" s="15">
        <f>E169*F169</f>
        <v>40.124511363561417</v>
      </c>
      <c r="H169" s="8">
        <f t="shared" si="12"/>
        <v>-10.124511363561417</v>
      </c>
      <c r="I169" s="8">
        <f t="shared" si="13"/>
        <v>10.124511363561417</v>
      </c>
      <c r="J169" s="8">
        <f t="shared" si="14"/>
        <v>102.50573035088428</v>
      </c>
      <c r="K169" s="5">
        <f t="shared" si="15"/>
        <v>0.33748371211871392</v>
      </c>
    </row>
    <row r="170" spans="1:11" ht="15.75" customHeight="1">
      <c r="A170" s="4" t="str">
        <f t="shared" si="0"/>
        <v>Jun</v>
      </c>
      <c r="B170" s="4">
        <v>169</v>
      </c>
      <c r="C170" s="3">
        <v>21719</v>
      </c>
      <c r="D170" s="4">
        <v>36</v>
      </c>
      <c r="E170" s="15">
        <f>$O$2+($O$3*B170)</f>
        <v>41.713638169600443</v>
      </c>
      <c r="F170" s="8">
        <v>0.96234418847484171</v>
      </c>
      <c r="G170" s="15">
        <f>E170*F170</f>
        <v>40.142877272657323</v>
      </c>
      <c r="H170" s="8">
        <f t="shared" si="12"/>
        <v>-4.1428772726573229</v>
      </c>
      <c r="I170" s="8">
        <f t="shared" si="13"/>
        <v>4.1428772726573229</v>
      </c>
      <c r="J170" s="8">
        <f t="shared" si="14"/>
        <v>17.163432096300578</v>
      </c>
      <c r="K170" s="5">
        <f t="shared" si="15"/>
        <v>0.11507992424048119</v>
      </c>
    </row>
    <row r="171" spans="1:11" ht="15.75" customHeight="1">
      <c r="A171" s="4" t="str">
        <f t="shared" si="0"/>
        <v>Jun</v>
      </c>
      <c r="B171" s="4">
        <v>170</v>
      </c>
      <c r="C171" s="3">
        <v>21720</v>
      </c>
      <c r="D171" s="4">
        <v>40</v>
      </c>
      <c r="E171" s="15">
        <f>$O$2+($O$3*B171)</f>
        <v>41.732722723043857</v>
      </c>
      <c r="F171" s="8">
        <v>0.96234418847484171</v>
      </c>
      <c r="G171" s="15">
        <f>E171*F171</f>
        <v>40.161243181753228</v>
      </c>
      <c r="H171" s="8">
        <f t="shared" si="12"/>
        <v>-0.16124318175322827</v>
      </c>
      <c r="I171" s="8">
        <f t="shared" si="13"/>
        <v>0.16124318175322827</v>
      </c>
      <c r="J171" s="8">
        <f t="shared" si="14"/>
        <v>2.5999363661904605E-2</v>
      </c>
      <c r="K171" s="5">
        <f t="shared" si="15"/>
        <v>4.0310795438307069E-3</v>
      </c>
    </row>
    <row r="172" spans="1:11" ht="15.75" customHeight="1">
      <c r="A172" s="4" t="str">
        <f t="shared" si="0"/>
        <v>Jun</v>
      </c>
      <c r="B172" s="4">
        <v>171</v>
      </c>
      <c r="C172" s="3">
        <v>21721</v>
      </c>
      <c r="D172" s="4">
        <v>39</v>
      </c>
      <c r="E172" s="15">
        <f>$O$2+($O$3*B172)</f>
        <v>41.75180727648727</v>
      </c>
      <c r="F172" s="8">
        <v>0.96234418847484171</v>
      </c>
      <c r="G172" s="15">
        <f>E172*F172</f>
        <v>40.179609090849134</v>
      </c>
      <c r="H172" s="8">
        <f t="shared" si="12"/>
        <v>-1.1796090908491337</v>
      </c>
      <c r="I172" s="8">
        <f t="shared" si="13"/>
        <v>1.1796090908491337</v>
      </c>
      <c r="J172" s="8">
        <f t="shared" si="14"/>
        <v>1.3914776072139197</v>
      </c>
      <c r="K172" s="5">
        <f t="shared" si="15"/>
        <v>3.0246386944849581E-2</v>
      </c>
    </row>
    <row r="173" spans="1:11" ht="15.75" customHeight="1">
      <c r="A173" s="4" t="str">
        <f t="shared" si="0"/>
        <v>Jun</v>
      </c>
      <c r="B173" s="4">
        <v>172</v>
      </c>
      <c r="C173" s="3">
        <v>21722</v>
      </c>
      <c r="D173" s="4">
        <v>45</v>
      </c>
      <c r="E173" s="15">
        <f>$O$2+($O$3*B173)</f>
        <v>41.770891829930683</v>
      </c>
      <c r="F173" s="8">
        <v>0.96234418847484171</v>
      </c>
      <c r="G173" s="15">
        <f>E173*F173</f>
        <v>40.197974999945039</v>
      </c>
      <c r="H173" s="8">
        <f t="shared" si="12"/>
        <v>4.8020250000549609</v>
      </c>
      <c r="I173" s="8">
        <f t="shared" si="13"/>
        <v>4.8020250000549609</v>
      </c>
      <c r="J173" s="8">
        <f t="shared" si="14"/>
        <v>23.059444101152849</v>
      </c>
      <c r="K173" s="5">
        <f t="shared" si="15"/>
        <v>0.10671166666788802</v>
      </c>
    </row>
    <row r="174" spans="1:11" ht="15.75" customHeight="1">
      <c r="A174" s="4" t="str">
        <f t="shared" si="0"/>
        <v>Jun</v>
      </c>
      <c r="B174" s="4">
        <v>173</v>
      </c>
      <c r="C174" s="3">
        <v>21723</v>
      </c>
      <c r="D174" s="4">
        <v>38</v>
      </c>
      <c r="E174" s="15">
        <f>$O$2+($O$3*B174)</f>
        <v>41.789976383374096</v>
      </c>
      <c r="F174" s="8">
        <v>0.96234418847484171</v>
      </c>
      <c r="G174" s="15">
        <f>E174*F174</f>
        <v>40.216340909040944</v>
      </c>
      <c r="H174" s="8">
        <f t="shared" si="12"/>
        <v>-2.2163409090409445</v>
      </c>
      <c r="I174" s="8">
        <f t="shared" si="13"/>
        <v>2.2163409090409445</v>
      </c>
      <c r="J174" s="8">
        <f t="shared" si="14"/>
        <v>4.9121670250884399</v>
      </c>
      <c r="K174" s="5">
        <f t="shared" si="15"/>
        <v>5.832476076423538E-2</v>
      </c>
    </row>
    <row r="175" spans="1:11" ht="15.75" customHeight="1">
      <c r="A175" s="4" t="str">
        <f t="shared" si="0"/>
        <v>Jun</v>
      </c>
      <c r="B175" s="4">
        <v>174</v>
      </c>
      <c r="C175" s="3">
        <v>21724</v>
      </c>
      <c r="D175" s="4">
        <v>47</v>
      </c>
      <c r="E175" s="15">
        <f>$O$2+($O$3*B175)</f>
        <v>41.809060936817509</v>
      </c>
      <c r="F175" s="8">
        <v>0.96234418847484171</v>
      </c>
      <c r="G175" s="15">
        <f>E175*F175</f>
        <v>40.23470681813685</v>
      </c>
      <c r="H175" s="8">
        <f t="shared" si="12"/>
        <v>6.7652931818631501</v>
      </c>
      <c r="I175" s="8">
        <f t="shared" si="13"/>
        <v>6.7652931818631501</v>
      </c>
      <c r="J175" s="8">
        <f t="shared" si="14"/>
        <v>45.769191836564026</v>
      </c>
      <c r="K175" s="5">
        <f t="shared" si="15"/>
        <v>0.14394240812474787</v>
      </c>
    </row>
    <row r="176" spans="1:11" ht="15.75" customHeight="1">
      <c r="A176" s="4" t="str">
        <f t="shared" si="0"/>
        <v>Jun</v>
      </c>
      <c r="B176" s="4">
        <v>175</v>
      </c>
      <c r="C176" s="3">
        <v>21725</v>
      </c>
      <c r="D176" s="4">
        <v>33</v>
      </c>
      <c r="E176" s="15">
        <f>$O$2+($O$3*B176)</f>
        <v>41.828145490260923</v>
      </c>
      <c r="F176" s="8">
        <v>0.96234418847484171</v>
      </c>
      <c r="G176" s="15">
        <f>E176*F176</f>
        <v>40.253072727232755</v>
      </c>
      <c r="H176" s="8">
        <f t="shared" si="12"/>
        <v>-7.2530727272327553</v>
      </c>
      <c r="I176" s="8">
        <f t="shared" si="13"/>
        <v>7.2530727272327553</v>
      </c>
      <c r="J176" s="8">
        <f t="shared" si="14"/>
        <v>52.607063986527599</v>
      </c>
      <c r="K176" s="5">
        <f t="shared" si="15"/>
        <v>0.21979008264341682</v>
      </c>
    </row>
    <row r="177" spans="1:11" ht="15.75" customHeight="1">
      <c r="A177" s="4" t="str">
        <f t="shared" si="0"/>
        <v>Jun</v>
      </c>
      <c r="B177" s="4">
        <v>176</v>
      </c>
      <c r="C177" s="3">
        <v>21726</v>
      </c>
      <c r="D177" s="4">
        <v>30</v>
      </c>
      <c r="E177" s="15">
        <f>$O$2+($O$3*B177)</f>
        <v>41.847230043704336</v>
      </c>
      <c r="F177" s="8">
        <v>0.96234418847484171</v>
      </c>
      <c r="G177" s="15">
        <f>E177*F177</f>
        <v>40.271438636328661</v>
      </c>
      <c r="H177" s="8">
        <f t="shared" si="12"/>
        <v>-10.271438636328661</v>
      </c>
      <c r="I177" s="8">
        <f t="shared" si="13"/>
        <v>10.271438636328661</v>
      </c>
      <c r="J177" s="8">
        <f t="shared" si="14"/>
        <v>105.50245165986517</v>
      </c>
      <c r="K177" s="5">
        <f t="shared" si="15"/>
        <v>0.34238128787762201</v>
      </c>
    </row>
    <row r="178" spans="1:11" ht="15.75" customHeight="1">
      <c r="A178" s="4" t="str">
        <f t="shared" si="0"/>
        <v>Jun</v>
      </c>
      <c r="B178" s="4">
        <v>177</v>
      </c>
      <c r="C178" s="3">
        <v>21727</v>
      </c>
      <c r="D178" s="4">
        <v>42</v>
      </c>
      <c r="E178" s="15">
        <f>$O$2+($O$3*B178)</f>
        <v>41.866314597147749</v>
      </c>
      <c r="F178" s="8">
        <v>0.96234418847484171</v>
      </c>
      <c r="G178" s="15">
        <f>E178*F178</f>
        <v>40.289804545424573</v>
      </c>
      <c r="H178" s="8">
        <f t="shared" si="12"/>
        <v>1.7101954545754268</v>
      </c>
      <c r="I178" s="8">
        <f t="shared" si="13"/>
        <v>1.7101954545754268</v>
      </c>
      <c r="J178" s="8">
        <f t="shared" si="14"/>
        <v>2.9247684928504505</v>
      </c>
      <c r="K178" s="5">
        <f t="shared" si="15"/>
        <v>4.0718939394653021E-2</v>
      </c>
    </row>
    <row r="179" spans="1:11" ht="15.75" customHeight="1">
      <c r="A179" s="4" t="str">
        <f t="shared" si="0"/>
        <v>Jun</v>
      </c>
      <c r="B179" s="4">
        <v>178</v>
      </c>
      <c r="C179" s="3">
        <v>21728</v>
      </c>
      <c r="D179" s="4">
        <v>43</v>
      </c>
      <c r="E179" s="15">
        <f>$O$2+($O$3*B179)</f>
        <v>41.885399150591162</v>
      </c>
      <c r="F179" s="8">
        <v>0.96234418847484171</v>
      </c>
      <c r="G179" s="15">
        <f>E179*F179</f>
        <v>40.308170454520479</v>
      </c>
      <c r="H179" s="8">
        <f t="shared" si="12"/>
        <v>2.6918295454795214</v>
      </c>
      <c r="I179" s="8">
        <f t="shared" si="13"/>
        <v>2.6918295454795214</v>
      </c>
      <c r="J179" s="8">
        <f t="shared" si="14"/>
        <v>7.2459463019164865</v>
      </c>
      <c r="K179" s="5">
        <f t="shared" si="15"/>
        <v>6.2600687104174921E-2</v>
      </c>
    </row>
    <row r="180" spans="1:11" ht="15.75" customHeight="1">
      <c r="A180" s="4" t="str">
        <f t="shared" si="0"/>
        <v>Jun</v>
      </c>
      <c r="B180" s="4">
        <v>179</v>
      </c>
      <c r="C180" s="3">
        <v>21729</v>
      </c>
      <c r="D180" s="4">
        <v>41</v>
      </c>
      <c r="E180" s="15">
        <f>$O$2+($O$3*B180)</f>
        <v>41.904483704034575</v>
      </c>
      <c r="F180" s="8">
        <v>0.96234418847484171</v>
      </c>
      <c r="G180" s="15">
        <f>E180*F180</f>
        <v>40.326536363616384</v>
      </c>
      <c r="H180" s="8">
        <f t="shared" si="12"/>
        <v>0.67346363638361595</v>
      </c>
      <c r="I180" s="8">
        <f t="shared" si="13"/>
        <v>0.67346363638361595</v>
      </c>
      <c r="J180" s="8">
        <f t="shared" si="14"/>
        <v>0.4535532695310433</v>
      </c>
      <c r="K180" s="5">
        <f t="shared" si="15"/>
        <v>1.64259423508199E-2</v>
      </c>
    </row>
    <row r="181" spans="1:11" ht="15.75" customHeight="1">
      <c r="A181" s="4" t="str">
        <f t="shared" si="0"/>
        <v>Jun</v>
      </c>
      <c r="B181" s="4">
        <v>180</v>
      </c>
      <c r="C181" s="3">
        <v>21730</v>
      </c>
      <c r="D181" s="4">
        <v>41</v>
      </c>
      <c r="E181" s="15">
        <f>$O$2+($O$3*B181)</f>
        <v>41.923568257477982</v>
      </c>
      <c r="F181" s="8">
        <v>0.96234418847484171</v>
      </c>
      <c r="G181" s="15">
        <f>E181*F181</f>
        <v>40.344902272712282</v>
      </c>
      <c r="H181" s="8">
        <f t="shared" si="12"/>
        <v>0.65509772728771765</v>
      </c>
      <c r="I181" s="8">
        <f t="shared" si="13"/>
        <v>0.65509772728771765</v>
      </c>
      <c r="J181" s="8">
        <f t="shared" si="14"/>
        <v>0.42915303229753288</v>
      </c>
      <c r="K181" s="5">
        <f t="shared" si="15"/>
        <v>1.5977993348480917E-2</v>
      </c>
    </row>
    <row r="182" spans="1:11" ht="15.75" customHeight="1">
      <c r="A182" s="4" t="str">
        <f t="shared" si="0"/>
        <v>Jun</v>
      </c>
      <c r="B182" s="4">
        <v>181</v>
      </c>
      <c r="C182" s="3">
        <v>21731</v>
      </c>
      <c r="D182" s="4">
        <v>59</v>
      </c>
      <c r="E182" s="15">
        <f>$O$2+($O$3*B182)</f>
        <v>41.942652810921395</v>
      </c>
      <c r="F182" s="8">
        <v>0.96234418847484171</v>
      </c>
      <c r="G182" s="15">
        <f>E182*F182</f>
        <v>40.363268181808188</v>
      </c>
      <c r="H182" s="8">
        <f t="shared" si="12"/>
        <v>18.636731818191812</v>
      </c>
      <c r="I182" s="8">
        <f t="shared" si="13"/>
        <v>18.636731818191812</v>
      </c>
      <c r="J182" s="8">
        <f t="shared" si="14"/>
        <v>347.32777286320311</v>
      </c>
      <c r="K182" s="5">
        <f t="shared" si="15"/>
        <v>0.31587681047782734</v>
      </c>
    </row>
    <row r="183" spans="1:11" ht="15.75" customHeight="1">
      <c r="A183" s="4" t="str">
        <f t="shared" si="0"/>
        <v>Jul</v>
      </c>
      <c r="B183" s="4">
        <v>182</v>
      </c>
      <c r="C183" s="3">
        <v>21732</v>
      </c>
      <c r="D183" s="4">
        <v>43</v>
      </c>
      <c r="E183" s="15">
        <f>$O$2+($O$3*B183)</f>
        <v>41.961737364364808</v>
      </c>
      <c r="F183" s="8">
        <f>VLOOKUP(A183,V7:Y19,4,FALSE)</f>
        <v>0.99892002955708581</v>
      </c>
      <c r="G183" s="15">
        <f>E183*F183</f>
        <v>41.916419928277968</v>
      </c>
      <c r="H183" s="8">
        <f t="shared" si="12"/>
        <v>1.0835800717220323</v>
      </c>
      <c r="I183" s="8">
        <f t="shared" si="13"/>
        <v>1.0835800717220323</v>
      </c>
      <c r="J183" s="8">
        <f t="shared" si="14"/>
        <v>1.1741457718331247</v>
      </c>
      <c r="K183" s="5">
        <f t="shared" si="15"/>
        <v>2.5199536551675169E-2</v>
      </c>
    </row>
    <row r="184" spans="1:11" ht="15.75" customHeight="1">
      <c r="A184" s="4" t="str">
        <f t="shared" si="0"/>
        <v>Jul</v>
      </c>
      <c r="B184" s="4">
        <v>183</v>
      </c>
      <c r="C184" s="3">
        <v>21733</v>
      </c>
      <c r="D184" s="4">
        <v>45</v>
      </c>
      <c r="E184" s="15">
        <f>$O$2+($O$3*B184)</f>
        <v>41.980821917808221</v>
      </c>
      <c r="F184" s="8">
        <v>0.99892002955708581</v>
      </c>
      <c r="G184" s="15">
        <f>E184*F184</f>
        <v>41.935483870967744</v>
      </c>
      <c r="H184" s="8">
        <f t="shared" si="12"/>
        <v>3.0645161290322562</v>
      </c>
      <c r="I184" s="8">
        <f t="shared" si="13"/>
        <v>3.0645161290322562</v>
      </c>
      <c r="J184" s="8">
        <f t="shared" si="14"/>
        <v>9.391259105098845</v>
      </c>
      <c r="K184" s="5">
        <f t="shared" si="15"/>
        <v>6.8100358422939031E-2</v>
      </c>
    </row>
    <row r="185" spans="1:11" ht="15.75" customHeight="1">
      <c r="A185" s="4" t="str">
        <f t="shared" si="0"/>
        <v>Jul</v>
      </c>
      <c r="B185" s="4">
        <v>184</v>
      </c>
      <c r="C185" s="3">
        <v>21734</v>
      </c>
      <c r="D185" s="4">
        <v>38</v>
      </c>
      <c r="E185" s="15">
        <f>$O$2+($O$3*B185)</f>
        <v>41.999906471251634</v>
      </c>
      <c r="F185" s="8">
        <v>0.99892002955708581</v>
      </c>
      <c r="G185" s="15">
        <f>E185*F185</f>
        <v>41.95454781365752</v>
      </c>
      <c r="H185" s="8">
        <f t="shared" si="12"/>
        <v>-3.9545478136575198</v>
      </c>
      <c r="I185" s="8">
        <f t="shared" si="13"/>
        <v>3.9545478136575198</v>
      </c>
      <c r="J185" s="8">
        <f t="shared" si="14"/>
        <v>15.63844841050347</v>
      </c>
      <c r="K185" s="5">
        <f t="shared" si="15"/>
        <v>0.10406704772782947</v>
      </c>
    </row>
    <row r="186" spans="1:11" ht="15.75" customHeight="1">
      <c r="A186" s="4" t="str">
        <f t="shared" si="0"/>
        <v>Jul</v>
      </c>
      <c r="B186" s="4">
        <v>185</v>
      </c>
      <c r="C186" s="3">
        <v>21735</v>
      </c>
      <c r="D186" s="4">
        <v>37</v>
      </c>
      <c r="E186" s="15">
        <f>$O$2+($O$3*B186)</f>
        <v>42.018991024695048</v>
      </c>
      <c r="F186" s="8">
        <v>0.99892002955708581</v>
      </c>
      <c r="G186" s="15">
        <f>E186*F186</f>
        <v>41.973611756347303</v>
      </c>
      <c r="H186" s="8">
        <f t="shared" si="12"/>
        <v>-4.973611756347303</v>
      </c>
      <c r="I186" s="8">
        <f t="shared" si="13"/>
        <v>4.973611756347303</v>
      </c>
      <c r="J186" s="8">
        <f t="shared" si="14"/>
        <v>24.736813902876104</v>
      </c>
      <c r="K186" s="5">
        <f t="shared" si="15"/>
        <v>0.13442193936073793</v>
      </c>
    </row>
    <row r="187" spans="1:11" ht="15.75" customHeight="1">
      <c r="A187" s="4" t="str">
        <f t="shared" si="0"/>
        <v>Jul</v>
      </c>
      <c r="B187" s="4">
        <v>186</v>
      </c>
      <c r="C187" s="3">
        <v>21736</v>
      </c>
      <c r="D187" s="4">
        <v>45</v>
      </c>
      <c r="E187" s="15">
        <f>$O$2+($O$3*B187)</f>
        <v>42.038075578138461</v>
      </c>
      <c r="F187" s="8">
        <v>0.99892002955708581</v>
      </c>
      <c r="G187" s="15">
        <f>E187*F187</f>
        <v>41.992675699037079</v>
      </c>
      <c r="H187" s="8">
        <f t="shared" si="12"/>
        <v>3.0073243009629209</v>
      </c>
      <c r="I187" s="8">
        <f t="shared" si="13"/>
        <v>3.0073243009629209</v>
      </c>
      <c r="J187" s="8">
        <f t="shared" si="14"/>
        <v>9.0439994511621205</v>
      </c>
      <c r="K187" s="5">
        <f t="shared" si="15"/>
        <v>6.6829428910287134E-2</v>
      </c>
    </row>
    <row r="188" spans="1:11" ht="15.75" customHeight="1">
      <c r="A188" s="4" t="str">
        <f t="shared" si="0"/>
        <v>Jul</v>
      </c>
      <c r="B188" s="4">
        <v>187</v>
      </c>
      <c r="C188" s="3">
        <v>21737</v>
      </c>
      <c r="D188" s="4">
        <v>42</v>
      </c>
      <c r="E188" s="15">
        <f>$O$2+($O$3*B188)</f>
        <v>42.057160131581874</v>
      </c>
      <c r="F188" s="8">
        <v>0.99892002955708581</v>
      </c>
      <c r="G188" s="15">
        <f>E188*F188</f>
        <v>42.011739641726855</v>
      </c>
      <c r="H188" s="8">
        <f t="shared" si="12"/>
        <v>-1.1739641726855155E-2</v>
      </c>
      <c r="I188" s="8">
        <f t="shared" si="13"/>
        <v>1.1739641726855155E-2</v>
      </c>
      <c r="J188" s="8">
        <f t="shared" si="14"/>
        <v>1.3781918787491868E-4</v>
      </c>
      <c r="K188" s="5">
        <f t="shared" si="15"/>
        <v>2.79515279210837E-4</v>
      </c>
    </row>
    <row r="189" spans="1:11" ht="15.75" customHeight="1">
      <c r="A189" s="4" t="str">
        <f t="shared" si="0"/>
        <v>Jul</v>
      </c>
      <c r="B189" s="4">
        <v>188</v>
      </c>
      <c r="C189" s="3">
        <v>21738</v>
      </c>
      <c r="D189" s="4">
        <v>57</v>
      </c>
      <c r="E189" s="15">
        <f>$O$2+($O$3*B189)</f>
        <v>42.076244685025287</v>
      </c>
      <c r="F189" s="8">
        <v>0.99892002955708581</v>
      </c>
      <c r="G189" s="15">
        <f>E189*F189</f>
        <v>42.030803584416631</v>
      </c>
      <c r="H189" s="8">
        <f t="shared" si="12"/>
        <v>14.969196415583369</v>
      </c>
      <c r="I189" s="8">
        <f t="shared" si="13"/>
        <v>14.969196415583369</v>
      </c>
      <c r="J189" s="8">
        <f t="shared" si="14"/>
        <v>224.07684132831398</v>
      </c>
      <c r="K189" s="5">
        <f t="shared" si="15"/>
        <v>0.26261748097514681</v>
      </c>
    </row>
    <row r="190" spans="1:11" ht="15.75" customHeight="1">
      <c r="A190" s="4" t="str">
        <f t="shared" si="0"/>
        <v>Jul</v>
      </c>
      <c r="B190" s="4">
        <v>189</v>
      </c>
      <c r="C190" s="3">
        <v>21739</v>
      </c>
      <c r="D190" s="4">
        <v>46</v>
      </c>
      <c r="E190" s="15">
        <f>$O$2+($O$3*B190)</f>
        <v>42.0953292384687</v>
      </c>
      <c r="F190" s="8">
        <v>0.99892002955708581</v>
      </c>
      <c r="G190" s="15">
        <f>E190*F190</f>
        <v>42.049867527106414</v>
      </c>
      <c r="H190" s="8">
        <f t="shared" si="12"/>
        <v>3.9501324728935856</v>
      </c>
      <c r="I190" s="8">
        <f t="shared" si="13"/>
        <v>3.9501324728935856</v>
      </c>
      <c r="J190" s="8">
        <f t="shared" si="14"/>
        <v>15.603546553408394</v>
      </c>
      <c r="K190" s="5">
        <f t="shared" si="15"/>
        <v>8.5872445062904035E-2</v>
      </c>
    </row>
    <row r="191" spans="1:11" ht="15.75" customHeight="1">
      <c r="A191" s="4" t="str">
        <f t="shared" si="0"/>
        <v>Jul</v>
      </c>
      <c r="B191" s="4">
        <v>190</v>
      </c>
      <c r="C191" s="3">
        <v>21740</v>
      </c>
      <c r="D191" s="4">
        <v>51</v>
      </c>
      <c r="E191" s="15">
        <f>$O$2+($O$3*B191)</f>
        <v>42.114413791912114</v>
      </c>
      <c r="F191" s="8">
        <v>0.99892002955708581</v>
      </c>
      <c r="G191" s="15">
        <f>E191*F191</f>
        <v>42.06893146979619</v>
      </c>
      <c r="H191" s="8">
        <f t="shared" si="12"/>
        <v>8.9310685302038095</v>
      </c>
      <c r="I191" s="8">
        <f t="shared" si="13"/>
        <v>8.9310685302038095</v>
      </c>
      <c r="J191" s="8">
        <f t="shared" si="14"/>
        <v>79.76398509119683</v>
      </c>
      <c r="K191" s="5">
        <f t="shared" si="15"/>
        <v>0.17511899078831</v>
      </c>
    </row>
    <row r="192" spans="1:11" ht="15.75" customHeight="1">
      <c r="A192" s="4" t="str">
        <f t="shared" si="0"/>
        <v>Jul</v>
      </c>
      <c r="B192" s="4">
        <v>191</v>
      </c>
      <c r="C192" s="3">
        <v>21741</v>
      </c>
      <c r="D192" s="4">
        <v>41</v>
      </c>
      <c r="E192" s="15">
        <f>$O$2+($O$3*B192)</f>
        <v>42.133498345355527</v>
      </c>
      <c r="F192" s="8">
        <v>0.99892002955708581</v>
      </c>
      <c r="G192" s="15">
        <f>E192*F192</f>
        <v>42.087995412485967</v>
      </c>
      <c r="H192" s="8">
        <f t="shared" si="12"/>
        <v>-1.0879954124859665</v>
      </c>
      <c r="I192" s="8">
        <f t="shared" si="13"/>
        <v>1.0879954124859665</v>
      </c>
      <c r="J192" s="8">
        <f t="shared" si="14"/>
        <v>1.1837340175905084</v>
      </c>
      <c r="K192" s="5">
        <f t="shared" si="15"/>
        <v>2.6536473475267476E-2</v>
      </c>
    </row>
    <row r="193" spans="1:11" ht="15.75" customHeight="1">
      <c r="A193" s="4" t="str">
        <f t="shared" si="0"/>
        <v>Jul</v>
      </c>
      <c r="B193" s="4">
        <v>192</v>
      </c>
      <c r="C193" s="3">
        <v>21742</v>
      </c>
      <c r="D193" s="4">
        <v>47</v>
      </c>
      <c r="E193" s="15">
        <f>$O$2+($O$3*B193)</f>
        <v>42.15258289879894</v>
      </c>
      <c r="F193" s="8">
        <v>0.99892002955708581</v>
      </c>
      <c r="G193" s="15">
        <f>E193*F193</f>
        <v>42.10705935517575</v>
      </c>
      <c r="H193" s="8">
        <f t="shared" si="12"/>
        <v>4.8929406448242503</v>
      </c>
      <c r="I193" s="8">
        <f t="shared" si="13"/>
        <v>4.8929406448242503</v>
      </c>
      <c r="J193" s="8">
        <f t="shared" si="14"/>
        <v>23.940868153773149</v>
      </c>
      <c r="K193" s="5">
        <f t="shared" si="15"/>
        <v>0.10410512010264363</v>
      </c>
    </row>
    <row r="194" spans="1:11" ht="15.75" customHeight="1">
      <c r="A194" s="4" t="str">
        <f t="shared" si="0"/>
        <v>Jul</v>
      </c>
      <c r="B194" s="4">
        <v>193</v>
      </c>
      <c r="C194" s="3">
        <v>21743</v>
      </c>
      <c r="D194" s="4">
        <v>26</v>
      </c>
      <c r="E194" s="15">
        <f>$O$2+($O$3*B194)</f>
        <v>42.171667452242346</v>
      </c>
      <c r="F194" s="8">
        <v>0.99892002955708581</v>
      </c>
      <c r="G194" s="15">
        <f>E194*F194</f>
        <v>42.126123297865519</v>
      </c>
      <c r="H194" s="8">
        <f t="shared" si="12"/>
        <v>-16.126123297865519</v>
      </c>
      <c r="I194" s="8">
        <f t="shared" si="13"/>
        <v>16.126123297865519</v>
      </c>
      <c r="J194" s="8">
        <f t="shared" si="14"/>
        <v>260.05185261796106</v>
      </c>
      <c r="K194" s="5">
        <f t="shared" si="15"/>
        <v>0.62023551145636613</v>
      </c>
    </row>
    <row r="195" spans="1:11" ht="15.75" customHeight="1">
      <c r="A195" s="4" t="str">
        <f t="shared" si="0"/>
        <v>Jul</v>
      </c>
      <c r="B195" s="4">
        <v>194</v>
      </c>
      <c r="C195" s="3">
        <v>21744</v>
      </c>
      <c r="D195" s="4">
        <v>35</v>
      </c>
      <c r="E195" s="15">
        <f>$O$2+($O$3*B195)</f>
        <v>42.190752005685759</v>
      </c>
      <c r="F195" s="8">
        <v>0.99892002955708581</v>
      </c>
      <c r="G195" s="15">
        <f>E195*F195</f>
        <v>42.145187240555295</v>
      </c>
      <c r="H195" s="8">
        <f t="shared" ref="H195:H258" si="16">D195-G195</f>
        <v>-7.1451872405552947</v>
      </c>
      <c r="I195" s="8">
        <f t="shared" ref="I195:I258" si="17">ABS(H195)</f>
        <v>7.1451872405552947</v>
      </c>
      <c r="J195" s="8">
        <f t="shared" ref="J195:J258" si="18">I195^2</f>
        <v>51.053700702594185</v>
      </c>
      <c r="K195" s="5">
        <f t="shared" ref="K195:K258" si="19">I195/D195</f>
        <v>0.20414820687300841</v>
      </c>
    </row>
    <row r="196" spans="1:11" ht="15.75" customHeight="1">
      <c r="A196" s="4" t="str">
        <f t="shared" si="0"/>
        <v>Jul</v>
      </c>
      <c r="B196" s="4">
        <v>195</v>
      </c>
      <c r="C196" s="3">
        <v>21745</v>
      </c>
      <c r="D196" s="4">
        <v>44</v>
      </c>
      <c r="E196" s="15">
        <f>$O$2+($O$3*B196)</f>
        <v>42.209836559129172</v>
      </c>
      <c r="F196" s="8">
        <v>0.99892002955708581</v>
      </c>
      <c r="G196" s="15">
        <f>E196*F196</f>
        <v>42.164251183245071</v>
      </c>
      <c r="H196" s="8">
        <f t="shared" si="16"/>
        <v>1.8357488167549292</v>
      </c>
      <c r="I196" s="8">
        <f t="shared" si="17"/>
        <v>1.8357488167549292</v>
      </c>
      <c r="J196" s="8">
        <f t="shared" si="18"/>
        <v>3.3699737182171225</v>
      </c>
      <c r="K196" s="5">
        <f t="shared" si="19"/>
        <v>4.1721564017157479E-2</v>
      </c>
    </row>
    <row r="197" spans="1:11" ht="15.75" customHeight="1">
      <c r="A197" s="4" t="str">
        <f t="shared" si="0"/>
        <v>Jul</v>
      </c>
      <c r="B197" s="4">
        <v>196</v>
      </c>
      <c r="C197" s="3">
        <v>21746</v>
      </c>
      <c r="D197" s="4">
        <v>41</v>
      </c>
      <c r="E197" s="15">
        <f>$O$2+($O$3*B197)</f>
        <v>42.228921112572586</v>
      </c>
      <c r="F197" s="8">
        <v>0.99892002955708581</v>
      </c>
      <c r="G197" s="15">
        <f>E197*F197</f>
        <v>42.183315125934854</v>
      </c>
      <c r="H197" s="8">
        <f t="shared" si="16"/>
        <v>-1.183315125934854</v>
      </c>
      <c r="I197" s="8">
        <f t="shared" si="17"/>
        <v>1.183315125934854</v>
      </c>
      <c r="J197" s="8">
        <f t="shared" si="18"/>
        <v>1.4002346872662195</v>
      </c>
      <c r="K197" s="5">
        <f t="shared" si="19"/>
        <v>2.886134453499644E-2</v>
      </c>
    </row>
    <row r="198" spans="1:11" ht="15.75" customHeight="1">
      <c r="A198" s="4" t="str">
        <f t="shared" si="0"/>
        <v>Jul</v>
      </c>
      <c r="B198" s="4">
        <v>197</v>
      </c>
      <c r="C198" s="3">
        <v>21747</v>
      </c>
      <c r="D198" s="4">
        <v>42</v>
      </c>
      <c r="E198" s="15">
        <f>$O$2+($O$3*B198)</f>
        <v>42.248005666015999</v>
      </c>
      <c r="F198" s="8">
        <v>0.99892002955708581</v>
      </c>
      <c r="G198" s="15">
        <f>E198*F198</f>
        <v>42.20237906862463</v>
      </c>
      <c r="H198" s="8">
        <f t="shared" si="16"/>
        <v>-0.20237906862463007</v>
      </c>
      <c r="I198" s="8">
        <f t="shared" si="17"/>
        <v>0.20237906862463007</v>
      </c>
      <c r="J198" s="8">
        <f t="shared" si="18"/>
        <v>4.0957287417372729E-2</v>
      </c>
      <c r="K198" s="5">
        <f t="shared" si="19"/>
        <v>4.8185492529673824E-3</v>
      </c>
    </row>
    <row r="199" spans="1:11" ht="15.75" customHeight="1">
      <c r="A199" s="4" t="str">
        <f t="shared" si="0"/>
        <v>Jul</v>
      </c>
      <c r="B199" s="4">
        <v>198</v>
      </c>
      <c r="C199" s="3">
        <v>21748</v>
      </c>
      <c r="D199" s="4">
        <v>36</v>
      </c>
      <c r="E199" s="15">
        <f>$O$2+($O$3*B199)</f>
        <v>42.267090219459412</v>
      </c>
      <c r="F199" s="8">
        <v>0.99892002955708581</v>
      </c>
      <c r="G199" s="15">
        <f>E199*F199</f>
        <v>42.221443011314406</v>
      </c>
      <c r="H199" s="8">
        <f t="shared" si="16"/>
        <v>-6.2214430113144061</v>
      </c>
      <c r="I199" s="8">
        <f t="shared" si="17"/>
        <v>6.2214430113144061</v>
      </c>
      <c r="J199" s="8">
        <f t="shared" si="18"/>
        <v>38.706353143032864</v>
      </c>
      <c r="K199" s="5">
        <f t="shared" si="19"/>
        <v>0.17281786142540018</v>
      </c>
    </row>
    <row r="200" spans="1:11" ht="15.75" customHeight="1">
      <c r="A200" s="4" t="str">
        <f t="shared" si="0"/>
        <v>Jul</v>
      </c>
      <c r="B200" s="4">
        <v>199</v>
      </c>
      <c r="C200" s="3">
        <v>21749</v>
      </c>
      <c r="D200" s="4">
        <v>45</v>
      </c>
      <c r="E200" s="15">
        <f>$O$2+($O$3*B200)</f>
        <v>42.286174772902825</v>
      </c>
      <c r="F200" s="8">
        <v>0.99892002955708581</v>
      </c>
      <c r="G200" s="15">
        <f>E200*F200</f>
        <v>42.240506954004189</v>
      </c>
      <c r="H200" s="8">
        <f t="shared" si="16"/>
        <v>2.7594930459958107</v>
      </c>
      <c r="I200" s="8">
        <f t="shared" si="17"/>
        <v>2.7594930459958107</v>
      </c>
      <c r="J200" s="8">
        <f t="shared" si="18"/>
        <v>7.6148018708992371</v>
      </c>
      <c r="K200" s="5">
        <f t="shared" si="19"/>
        <v>6.1322067688795792E-2</v>
      </c>
    </row>
    <row r="201" spans="1:11" ht="15.75" customHeight="1">
      <c r="A201" s="4" t="str">
        <f t="shared" si="0"/>
        <v>Jul</v>
      </c>
      <c r="B201" s="4">
        <v>200</v>
      </c>
      <c r="C201" s="3">
        <v>21750</v>
      </c>
      <c r="D201" s="4">
        <v>45</v>
      </c>
      <c r="E201" s="15">
        <f>$O$2+($O$3*B201)</f>
        <v>42.305259326346238</v>
      </c>
      <c r="F201" s="8">
        <v>0.99892002955708581</v>
      </c>
      <c r="G201" s="15">
        <f>E201*F201</f>
        <v>42.259570896693965</v>
      </c>
      <c r="H201" s="8">
        <f t="shared" si="16"/>
        <v>2.7404291033060346</v>
      </c>
      <c r="I201" s="8">
        <f t="shared" si="17"/>
        <v>2.7404291033060346</v>
      </c>
      <c r="J201" s="8">
        <f t="shared" si="18"/>
        <v>7.5099516702467168</v>
      </c>
      <c r="K201" s="5">
        <f t="shared" si="19"/>
        <v>6.089842451791188E-2</v>
      </c>
    </row>
    <row r="202" spans="1:11" ht="15.75" customHeight="1">
      <c r="A202" s="4" t="str">
        <f t="shared" si="0"/>
        <v>Jul</v>
      </c>
      <c r="B202" s="4">
        <v>201</v>
      </c>
      <c r="C202" s="3">
        <v>21751</v>
      </c>
      <c r="D202" s="4">
        <v>45</v>
      </c>
      <c r="E202" s="15">
        <f>$O$2+($O$3*B202)</f>
        <v>42.324343879789652</v>
      </c>
      <c r="F202" s="8">
        <v>0.99892002955708581</v>
      </c>
      <c r="G202" s="15">
        <f>E202*F202</f>
        <v>42.278634839383741</v>
      </c>
      <c r="H202" s="8">
        <f t="shared" si="16"/>
        <v>2.7213651606162585</v>
      </c>
      <c r="I202" s="8">
        <f t="shared" si="17"/>
        <v>2.7213651606162585</v>
      </c>
      <c r="J202" s="8">
        <f t="shared" si="18"/>
        <v>7.4058283374159544</v>
      </c>
      <c r="K202" s="5">
        <f t="shared" si="19"/>
        <v>6.0474781347027967E-2</v>
      </c>
    </row>
    <row r="203" spans="1:11" ht="15.75" customHeight="1">
      <c r="A203" s="4" t="str">
        <f t="shared" si="0"/>
        <v>Jul</v>
      </c>
      <c r="B203" s="4">
        <v>202</v>
      </c>
      <c r="C203" s="3">
        <v>21752</v>
      </c>
      <c r="D203" s="4">
        <v>47</v>
      </c>
      <c r="E203" s="15">
        <f>$O$2+($O$3*B203)</f>
        <v>42.343428433233065</v>
      </c>
      <c r="F203" s="8">
        <v>0.99892002955708581</v>
      </c>
      <c r="G203" s="15">
        <f>E203*F203</f>
        <v>42.297698782073518</v>
      </c>
      <c r="H203" s="8">
        <f t="shared" si="16"/>
        <v>4.7023012179264825</v>
      </c>
      <c r="I203" s="8">
        <f t="shared" si="17"/>
        <v>4.7023012179264825</v>
      </c>
      <c r="J203" s="8">
        <f t="shared" si="18"/>
        <v>22.111636744112879</v>
      </c>
      <c r="K203" s="5">
        <f t="shared" si="19"/>
        <v>0.10004896208354218</v>
      </c>
    </row>
    <row r="204" spans="1:11" ht="15.75" customHeight="1">
      <c r="A204" s="4" t="str">
        <f t="shared" si="0"/>
        <v>Jul</v>
      </c>
      <c r="B204" s="4">
        <v>203</v>
      </c>
      <c r="C204" s="3">
        <v>21753</v>
      </c>
      <c r="D204" s="4">
        <v>38</v>
      </c>
      <c r="E204" s="15">
        <f>$O$2+($O$3*B204)</f>
        <v>42.362512986676478</v>
      </c>
      <c r="F204" s="8">
        <v>0.99892002955708581</v>
      </c>
      <c r="G204" s="15">
        <f>E204*F204</f>
        <v>42.316762724763301</v>
      </c>
      <c r="H204" s="8">
        <f t="shared" si="16"/>
        <v>-4.3167627247633007</v>
      </c>
      <c r="I204" s="8">
        <f t="shared" si="17"/>
        <v>4.3167627247633007</v>
      </c>
      <c r="J204" s="8">
        <f t="shared" si="18"/>
        <v>18.634440421905875</v>
      </c>
      <c r="K204" s="5">
        <f t="shared" si="19"/>
        <v>0.11359901907271844</v>
      </c>
    </row>
    <row r="205" spans="1:11" ht="15.75" customHeight="1">
      <c r="A205" s="4" t="str">
        <f t="shared" si="0"/>
        <v>Jul</v>
      </c>
      <c r="B205" s="4">
        <v>204</v>
      </c>
      <c r="C205" s="3">
        <v>21754</v>
      </c>
      <c r="D205" s="4">
        <v>42</v>
      </c>
      <c r="E205" s="15">
        <f>$O$2+($O$3*B205)</f>
        <v>42.381597540119891</v>
      </c>
      <c r="F205" s="8">
        <v>0.99892002955708581</v>
      </c>
      <c r="G205" s="15">
        <f>E205*F205</f>
        <v>42.335826667453077</v>
      </c>
      <c r="H205" s="8">
        <f t="shared" si="16"/>
        <v>-0.33582666745307677</v>
      </c>
      <c r="I205" s="8">
        <f t="shared" si="17"/>
        <v>0.33582666745307677</v>
      </c>
      <c r="J205" s="8">
        <f t="shared" si="18"/>
        <v>0.11277955057263941</v>
      </c>
      <c r="K205" s="5">
        <f t="shared" si="19"/>
        <v>7.9958730345970654E-3</v>
      </c>
    </row>
    <row r="206" spans="1:11" ht="15.75" customHeight="1">
      <c r="A206" s="4" t="str">
        <f t="shared" si="0"/>
        <v>Jul</v>
      </c>
      <c r="B206" s="4">
        <v>205</v>
      </c>
      <c r="C206" s="3">
        <v>21755</v>
      </c>
      <c r="D206" s="4">
        <v>35</v>
      </c>
      <c r="E206" s="15">
        <f>$O$2+($O$3*B206)</f>
        <v>42.400682093563304</v>
      </c>
      <c r="F206" s="8">
        <v>0.99892002955708581</v>
      </c>
      <c r="G206" s="15">
        <f>E206*F206</f>
        <v>42.354890610142853</v>
      </c>
      <c r="H206" s="8">
        <f t="shared" si="16"/>
        <v>-7.3548906101428528</v>
      </c>
      <c r="I206" s="8">
        <f t="shared" si="17"/>
        <v>7.3548906101428528</v>
      </c>
      <c r="J206" s="8">
        <f t="shared" si="18"/>
        <v>54.094415887167507</v>
      </c>
      <c r="K206" s="5">
        <f t="shared" si="19"/>
        <v>0.21013973171836722</v>
      </c>
    </row>
    <row r="207" spans="1:11" ht="15.75" customHeight="1">
      <c r="A207" s="4" t="str">
        <f t="shared" si="0"/>
        <v>Jul</v>
      </c>
      <c r="B207" s="4">
        <v>206</v>
      </c>
      <c r="C207" s="3">
        <v>21756</v>
      </c>
      <c r="D207" s="4">
        <v>36</v>
      </c>
      <c r="E207" s="15">
        <f>$O$2+($O$3*B207)</f>
        <v>42.419766647006711</v>
      </c>
      <c r="F207" s="8">
        <v>0.99892002955708581</v>
      </c>
      <c r="G207" s="15">
        <f>E207*F207</f>
        <v>42.373954552832629</v>
      </c>
      <c r="H207" s="8">
        <f t="shared" si="16"/>
        <v>-6.3739545528326289</v>
      </c>
      <c r="I207" s="8">
        <f t="shared" si="17"/>
        <v>6.3739545528326289</v>
      </c>
      <c r="J207" s="8">
        <f t="shared" si="18"/>
        <v>40.627296641575796</v>
      </c>
      <c r="K207" s="5">
        <f t="shared" si="19"/>
        <v>0.1770542931342397</v>
      </c>
    </row>
    <row r="208" spans="1:11" ht="15.75" customHeight="1">
      <c r="A208" s="4" t="str">
        <f t="shared" si="0"/>
        <v>Jul</v>
      </c>
      <c r="B208" s="4">
        <v>207</v>
      </c>
      <c r="C208" s="3">
        <v>21757</v>
      </c>
      <c r="D208" s="4">
        <v>39</v>
      </c>
      <c r="E208" s="15">
        <f>$O$2+($O$3*B208)</f>
        <v>42.438851200450124</v>
      </c>
      <c r="F208" s="8">
        <v>0.99892002955708581</v>
      </c>
      <c r="G208" s="15">
        <f>E208*F208</f>
        <v>42.393018495522405</v>
      </c>
      <c r="H208" s="8">
        <f t="shared" si="16"/>
        <v>-3.393018495522405</v>
      </c>
      <c r="I208" s="8">
        <f t="shared" si="17"/>
        <v>3.393018495522405</v>
      </c>
      <c r="J208" s="8">
        <f t="shared" si="18"/>
        <v>11.512574510957124</v>
      </c>
      <c r="K208" s="5">
        <f t="shared" si="19"/>
        <v>8.7000474244164225E-2</v>
      </c>
    </row>
    <row r="209" spans="1:11" ht="15.75" customHeight="1">
      <c r="A209" s="4" t="str">
        <f t="shared" si="0"/>
        <v>Jul</v>
      </c>
      <c r="B209" s="4">
        <v>208</v>
      </c>
      <c r="C209" s="3">
        <v>21758</v>
      </c>
      <c r="D209" s="4">
        <v>45</v>
      </c>
      <c r="E209" s="15">
        <f>$O$2+($O$3*B209)</f>
        <v>42.457935753893537</v>
      </c>
      <c r="F209" s="8">
        <v>0.99892002955708581</v>
      </c>
      <c r="G209" s="15">
        <f>E209*F209</f>
        <v>42.412082438212181</v>
      </c>
      <c r="H209" s="8">
        <f t="shared" si="16"/>
        <v>2.587917561787819</v>
      </c>
      <c r="I209" s="8">
        <f t="shared" si="17"/>
        <v>2.587917561787819</v>
      </c>
      <c r="J209" s="8">
        <f t="shared" si="18"/>
        <v>6.6973173066098095</v>
      </c>
      <c r="K209" s="5">
        <f t="shared" si="19"/>
        <v>5.750927915084042E-2</v>
      </c>
    </row>
    <row r="210" spans="1:11" ht="15.75" customHeight="1">
      <c r="A210" s="4" t="str">
        <f t="shared" si="0"/>
        <v>Jul</v>
      </c>
      <c r="B210" s="4">
        <v>209</v>
      </c>
      <c r="C210" s="3">
        <v>21759</v>
      </c>
      <c r="D210" s="4">
        <v>43</v>
      </c>
      <c r="E210" s="15">
        <f>$O$2+($O$3*B210)</f>
        <v>42.47702030733695</v>
      </c>
      <c r="F210" s="8">
        <v>0.99892002955708581</v>
      </c>
      <c r="G210" s="15">
        <f>E210*F210</f>
        <v>42.431146380901957</v>
      </c>
      <c r="H210" s="8">
        <f t="shared" si="16"/>
        <v>0.56885361909804288</v>
      </c>
      <c r="I210" s="8">
        <f t="shared" si="17"/>
        <v>0.56885361909804288</v>
      </c>
      <c r="J210" s="8">
        <f t="shared" si="18"/>
        <v>0.32359443996094128</v>
      </c>
      <c r="K210" s="5">
        <f t="shared" si="19"/>
        <v>1.3229153932512625E-2</v>
      </c>
    </row>
    <row r="211" spans="1:11" ht="15.75" customHeight="1">
      <c r="A211" s="4" t="str">
        <f t="shared" si="0"/>
        <v>Jul</v>
      </c>
      <c r="B211" s="4">
        <v>210</v>
      </c>
      <c r="C211" s="3">
        <v>21760</v>
      </c>
      <c r="D211" s="4">
        <v>47</v>
      </c>
      <c r="E211" s="15">
        <f>$O$2+($O$3*B211)</f>
        <v>42.496104860780363</v>
      </c>
      <c r="F211" s="8">
        <v>0.99892002955708581</v>
      </c>
      <c r="G211" s="15">
        <f>E211*F211</f>
        <v>42.45021032359174</v>
      </c>
      <c r="H211" s="8">
        <f t="shared" si="16"/>
        <v>4.5497896764082597</v>
      </c>
      <c r="I211" s="8">
        <f t="shared" si="17"/>
        <v>4.5497896764082597</v>
      </c>
      <c r="J211" s="8">
        <f t="shared" si="18"/>
        <v>20.700586099551177</v>
      </c>
      <c r="K211" s="5">
        <f t="shared" si="19"/>
        <v>9.6804035668260846E-2</v>
      </c>
    </row>
    <row r="212" spans="1:11" ht="15.75" customHeight="1">
      <c r="A212" s="4" t="str">
        <f t="shared" si="0"/>
        <v>Jul</v>
      </c>
      <c r="B212" s="4">
        <v>211</v>
      </c>
      <c r="C212" s="3">
        <v>21761</v>
      </c>
      <c r="D212" s="4">
        <v>36</v>
      </c>
      <c r="E212" s="15">
        <f>$O$2+($O$3*B212)</f>
        <v>42.515189414223777</v>
      </c>
      <c r="F212" s="8">
        <v>0.99892002955708581</v>
      </c>
      <c r="G212" s="15">
        <f>E212*F212</f>
        <v>42.469274266281516</v>
      </c>
      <c r="H212" s="8">
        <f t="shared" si="16"/>
        <v>-6.4692742662815164</v>
      </c>
      <c r="I212" s="8">
        <f t="shared" si="17"/>
        <v>6.4692742662815164</v>
      </c>
      <c r="J212" s="8">
        <f t="shared" si="18"/>
        <v>41.851509532372255</v>
      </c>
      <c r="K212" s="5">
        <f t="shared" si="19"/>
        <v>0.17970206295226435</v>
      </c>
    </row>
    <row r="213" spans="1:11" ht="15.75" customHeight="1">
      <c r="A213" s="4" t="str">
        <f t="shared" si="0"/>
        <v>Jul</v>
      </c>
      <c r="B213" s="4">
        <v>212</v>
      </c>
      <c r="C213" s="3">
        <v>21762</v>
      </c>
      <c r="D213" s="4">
        <v>41</v>
      </c>
      <c r="E213" s="15">
        <f>$O$2+($O$3*B213)</f>
        <v>42.53427396766719</v>
      </c>
      <c r="F213" s="8">
        <v>0.99892002955708581</v>
      </c>
      <c r="G213" s="15">
        <f>E213*F213</f>
        <v>42.488338208971292</v>
      </c>
      <c r="H213" s="8">
        <f t="shared" si="16"/>
        <v>-1.4883382089712924</v>
      </c>
      <c r="I213" s="8">
        <f t="shared" si="17"/>
        <v>1.4883382089712924</v>
      </c>
      <c r="J213" s="8">
        <f t="shared" si="18"/>
        <v>2.2151506242838743</v>
      </c>
      <c r="K213" s="5">
        <f t="shared" si="19"/>
        <v>3.6300931926129085E-2</v>
      </c>
    </row>
    <row r="214" spans="1:11" ht="15.75" customHeight="1">
      <c r="A214" s="4" t="str">
        <f t="shared" si="0"/>
        <v>Aug</v>
      </c>
      <c r="B214" s="4">
        <v>213</v>
      </c>
      <c r="C214" s="3">
        <v>21763</v>
      </c>
      <c r="D214" s="4">
        <v>50</v>
      </c>
      <c r="E214" s="15">
        <f>$O$2+($O$3*B214)</f>
        <v>42.553358521110603</v>
      </c>
      <c r="F214" s="8">
        <f>VLOOKUP(A214,V7:Y19,4,FALSE)</f>
        <v>1.0381084307166328</v>
      </c>
      <c r="G214" s="15">
        <f>E214*F214</f>
        <v>44.175000236072385</v>
      </c>
      <c r="H214" s="8">
        <f t="shared" si="16"/>
        <v>5.8249997639276145</v>
      </c>
      <c r="I214" s="8">
        <f t="shared" si="17"/>
        <v>5.8249997639276145</v>
      </c>
      <c r="J214" s="8">
        <f t="shared" si="18"/>
        <v>33.930622249756766</v>
      </c>
      <c r="K214" s="5">
        <f t="shared" si="19"/>
        <v>0.11649999527855229</v>
      </c>
    </row>
    <row r="215" spans="1:11" ht="15.75" customHeight="1">
      <c r="A215" s="4" t="str">
        <f t="shared" si="0"/>
        <v>Aug</v>
      </c>
      <c r="B215" s="4">
        <v>214</v>
      </c>
      <c r="C215" s="3">
        <v>21764</v>
      </c>
      <c r="D215" s="4">
        <v>39</v>
      </c>
      <c r="E215" s="15">
        <f>$O$2+($O$3*B215)</f>
        <v>42.572443074554016</v>
      </c>
      <c r="F215" s="8">
        <v>1.0381084307166328</v>
      </c>
      <c r="G215" s="15">
        <f>E215*F215</f>
        <v>44.194812071898454</v>
      </c>
      <c r="H215" s="8">
        <f t="shared" si="16"/>
        <v>-5.1948120718984541</v>
      </c>
      <c r="I215" s="8">
        <f t="shared" si="17"/>
        <v>5.1948120718984541</v>
      </c>
      <c r="J215" s="8">
        <f t="shared" si="18"/>
        <v>26.986072462341909</v>
      </c>
      <c r="K215" s="5">
        <f t="shared" si="19"/>
        <v>0.13320030953585779</v>
      </c>
    </row>
    <row r="216" spans="1:11" ht="15.75" customHeight="1">
      <c r="A216" s="4" t="str">
        <f t="shared" si="0"/>
        <v>Aug</v>
      </c>
      <c r="B216" s="4">
        <v>215</v>
      </c>
      <c r="C216" s="3">
        <v>21765</v>
      </c>
      <c r="D216" s="4">
        <v>41</v>
      </c>
      <c r="E216" s="15">
        <f>$O$2+($O$3*B216)</f>
        <v>42.591527627997429</v>
      </c>
      <c r="F216" s="8">
        <v>1.0381084307166328</v>
      </c>
      <c r="G216" s="15">
        <f>E216*F216</f>
        <v>44.214623907724523</v>
      </c>
      <c r="H216" s="8">
        <f t="shared" si="16"/>
        <v>-3.2146239077245227</v>
      </c>
      <c r="I216" s="8">
        <f t="shared" si="17"/>
        <v>3.2146239077245227</v>
      </c>
      <c r="J216" s="8">
        <f t="shared" si="18"/>
        <v>10.333806868114081</v>
      </c>
      <c r="K216" s="5">
        <f t="shared" si="19"/>
        <v>7.8405461164012744E-2</v>
      </c>
    </row>
    <row r="217" spans="1:11" ht="15.75" customHeight="1">
      <c r="A217" s="4" t="str">
        <f t="shared" si="0"/>
        <v>Aug</v>
      </c>
      <c r="B217" s="4">
        <v>216</v>
      </c>
      <c r="C217" s="3">
        <v>21766</v>
      </c>
      <c r="D217" s="4">
        <v>46</v>
      </c>
      <c r="E217" s="15">
        <f>$O$2+($O$3*B217)</f>
        <v>42.610612181440843</v>
      </c>
      <c r="F217" s="8">
        <v>1.0381084307166328</v>
      </c>
      <c r="G217" s="15">
        <f>E217*F217</f>
        <v>44.234435743550591</v>
      </c>
      <c r="H217" s="8">
        <f t="shared" si="16"/>
        <v>1.7655642564494087</v>
      </c>
      <c r="I217" s="8">
        <f t="shared" si="17"/>
        <v>1.7655642564494087</v>
      </c>
      <c r="J217" s="8">
        <f t="shared" si="18"/>
        <v>3.1172171436517537</v>
      </c>
      <c r="K217" s="5">
        <f t="shared" si="19"/>
        <v>3.8381831661943665E-2</v>
      </c>
    </row>
    <row r="218" spans="1:11" ht="15.75" customHeight="1">
      <c r="A218" s="4" t="str">
        <f t="shared" si="0"/>
        <v>Aug</v>
      </c>
      <c r="B218" s="4">
        <v>217</v>
      </c>
      <c r="C218" s="3">
        <v>21767</v>
      </c>
      <c r="D218" s="4">
        <v>64</v>
      </c>
      <c r="E218" s="15">
        <f>$O$2+($O$3*B218)</f>
        <v>42.629696734884249</v>
      </c>
      <c r="F218" s="8">
        <v>1.0381084307166328</v>
      </c>
      <c r="G218" s="15">
        <f>E218*F218</f>
        <v>44.254247579376653</v>
      </c>
      <c r="H218" s="8">
        <f t="shared" si="16"/>
        <v>19.745752420623347</v>
      </c>
      <c r="I218" s="8">
        <f t="shared" si="17"/>
        <v>19.745752420623347</v>
      </c>
      <c r="J218" s="8">
        <f t="shared" si="18"/>
        <v>389.89473865655276</v>
      </c>
      <c r="K218" s="5">
        <f t="shared" si="19"/>
        <v>0.3085273815722398</v>
      </c>
    </row>
    <row r="219" spans="1:11" ht="15.75" customHeight="1">
      <c r="A219" s="4" t="str">
        <f t="shared" si="0"/>
        <v>Aug</v>
      </c>
      <c r="B219" s="4">
        <v>218</v>
      </c>
      <c r="C219" s="3">
        <v>21768</v>
      </c>
      <c r="D219" s="4">
        <v>45</v>
      </c>
      <c r="E219" s="15">
        <f>$O$2+($O$3*B219)</f>
        <v>42.648781288327662</v>
      </c>
      <c r="F219" s="8">
        <v>1.0381084307166328</v>
      </c>
      <c r="G219" s="15">
        <f>E219*F219</f>
        <v>44.274059415202721</v>
      </c>
      <c r="H219" s="8">
        <f t="shared" si="16"/>
        <v>0.72594058479727863</v>
      </c>
      <c r="I219" s="8">
        <f t="shared" si="17"/>
        <v>0.72594058479727863</v>
      </c>
      <c r="J219" s="8">
        <f t="shared" si="18"/>
        <v>0.52698973265581484</v>
      </c>
      <c r="K219" s="5">
        <f t="shared" si="19"/>
        <v>1.613201299549508E-2</v>
      </c>
    </row>
    <row r="220" spans="1:11" ht="15.75" customHeight="1">
      <c r="A220" s="4" t="str">
        <f t="shared" si="0"/>
        <v>Aug</v>
      </c>
      <c r="B220" s="4">
        <v>219</v>
      </c>
      <c r="C220" s="3">
        <v>21769</v>
      </c>
      <c r="D220" s="4">
        <v>34</v>
      </c>
      <c r="E220" s="15">
        <f>$O$2+($O$3*B220)</f>
        <v>42.667865841771075</v>
      </c>
      <c r="F220" s="8">
        <v>1.0381084307166328</v>
      </c>
      <c r="G220" s="15">
        <f>E220*F220</f>
        <v>44.29387125102879</v>
      </c>
      <c r="H220" s="8">
        <f t="shared" si="16"/>
        <v>-10.29387125102879</v>
      </c>
      <c r="I220" s="8">
        <f t="shared" si="17"/>
        <v>10.29387125102879</v>
      </c>
      <c r="J220" s="8">
        <f t="shared" si="18"/>
        <v>105.96378533275703</v>
      </c>
      <c r="K220" s="5">
        <f t="shared" si="19"/>
        <v>0.30276091914790559</v>
      </c>
    </row>
    <row r="221" spans="1:11" ht="15.75" customHeight="1">
      <c r="A221" s="4" t="str">
        <f t="shared" si="0"/>
        <v>Aug</v>
      </c>
      <c r="B221" s="4">
        <v>220</v>
      </c>
      <c r="C221" s="3">
        <v>21770</v>
      </c>
      <c r="D221" s="4">
        <v>38</v>
      </c>
      <c r="E221" s="15">
        <f>$O$2+($O$3*B221)</f>
        <v>42.686950395214488</v>
      </c>
      <c r="F221" s="8">
        <v>1.0381084307166328</v>
      </c>
      <c r="G221" s="15">
        <f>E221*F221</f>
        <v>44.313683086854866</v>
      </c>
      <c r="H221" s="8">
        <f t="shared" si="16"/>
        <v>-6.3136830868548657</v>
      </c>
      <c r="I221" s="8">
        <f t="shared" si="17"/>
        <v>6.3136830868548657</v>
      </c>
      <c r="J221" s="8">
        <f t="shared" si="18"/>
        <v>39.862594121237187</v>
      </c>
      <c r="K221" s="5">
        <f t="shared" si="19"/>
        <v>0.16614955491723329</v>
      </c>
    </row>
    <row r="222" spans="1:11" ht="15.75" customHeight="1">
      <c r="A222" s="4" t="str">
        <f t="shared" si="0"/>
        <v>Aug</v>
      </c>
      <c r="B222" s="4">
        <v>221</v>
      </c>
      <c r="C222" s="3">
        <v>21771</v>
      </c>
      <c r="D222" s="4">
        <v>44</v>
      </c>
      <c r="E222" s="15">
        <f>$O$2+($O$3*B222)</f>
        <v>42.706034948657901</v>
      </c>
      <c r="F222" s="8">
        <v>1.0381084307166328</v>
      </c>
      <c r="G222" s="15">
        <f>E222*F222</f>
        <v>44.333494922680934</v>
      </c>
      <c r="H222" s="8">
        <f t="shared" si="16"/>
        <v>-0.33349492268093428</v>
      </c>
      <c r="I222" s="8">
        <f t="shared" si="17"/>
        <v>0.33349492268093428</v>
      </c>
      <c r="J222" s="8">
        <f t="shared" si="18"/>
        <v>0.11121886345396233</v>
      </c>
      <c r="K222" s="5">
        <f t="shared" si="19"/>
        <v>7.5794300609303249E-3</v>
      </c>
    </row>
    <row r="223" spans="1:11" ht="15.75" customHeight="1">
      <c r="A223" s="4" t="str">
        <f t="shared" si="0"/>
        <v>Aug</v>
      </c>
      <c r="B223" s="4">
        <v>222</v>
      </c>
      <c r="C223" s="3">
        <v>21772</v>
      </c>
      <c r="D223" s="4">
        <v>48</v>
      </c>
      <c r="E223" s="15">
        <f>$O$2+($O$3*B223)</f>
        <v>42.725119502101315</v>
      </c>
      <c r="F223" s="8">
        <v>1.0381084307166328</v>
      </c>
      <c r="G223" s="15">
        <f>E223*F223</f>
        <v>44.353306758507003</v>
      </c>
      <c r="H223" s="8">
        <f t="shared" si="16"/>
        <v>3.6466932414929971</v>
      </c>
      <c r="I223" s="8">
        <f t="shared" si="17"/>
        <v>3.6466932414929971</v>
      </c>
      <c r="J223" s="8">
        <f t="shared" si="18"/>
        <v>13.298371597550702</v>
      </c>
      <c r="K223" s="5">
        <f t="shared" si="19"/>
        <v>7.5972775864437445E-2</v>
      </c>
    </row>
    <row r="224" spans="1:11" ht="15.75" customHeight="1">
      <c r="A224" s="4" t="str">
        <f t="shared" si="0"/>
        <v>Aug</v>
      </c>
      <c r="B224" s="4">
        <v>223</v>
      </c>
      <c r="C224" s="3">
        <v>21773</v>
      </c>
      <c r="D224" s="4">
        <v>46</v>
      </c>
      <c r="E224" s="15">
        <f>$O$2+($O$3*B224)</f>
        <v>42.744204055544728</v>
      </c>
      <c r="F224" s="8">
        <v>1.0381084307166328</v>
      </c>
      <c r="G224" s="15">
        <f>E224*F224</f>
        <v>44.373118594333071</v>
      </c>
      <c r="H224" s="8">
        <f t="shared" si="16"/>
        <v>1.6268814056669285</v>
      </c>
      <c r="I224" s="8">
        <f t="shared" si="17"/>
        <v>1.6268814056669285</v>
      </c>
      <c r="J224" s="8">
        <f t="shared" si="18"/>
        <v>2.6467431081048014</v>
      </c>
      <c r="K224" s="5">
        <f t="shared" si="19"/>
        <v>3.5366987079715841E-2</v>
      </c>
    </row>
    <row r="225" spans="1:11" ht="15.75" customHeight="1">
      <c r="A225" s="4" t="str">
        <f t="shared" si="0"/>
        <v>Aug</v>
      </c>
      <c r="B225" s="4">
        <v>224</v>
      </c>
      <c r="C225" s="3">
        <v>21774</v>
      </c>
      <c r="D225" s="4">
        <v>44</v>
      </c>
      <c r="E225" s="15">
        <f>$O$2+($O$3*B225)</f>
        <v>42.763288608988141</v>
      </c>
      <c r="F225" s="8">
        <v>1.0381084307166328</v>
      </c>
      <c r="G225" s="15">
        <f>E225*F225</f>
        <v>44.39293043015914</v>
      </c>
      <c r="H225" s="8">
        <f t="shared" si="16"/>
        <v>-0.39293043015914009</v>
      </c>
      <c r="I225" s="8">
        <f t="shared" si="17"/>
        <v>0.39293043015914009</v>
      </c>
      <c r="J225" s="8">
        <f t="shared" si="18"/>
        <v>0.15439432294504687</v>
      </c>
      <c r="K225" s="5">
        <f t="shared" si="19"/>
        <v>8.9302370490713656E-3</v>
      </c>
    </row>
    <row r="226" spans="1:11" ht="15.75" customHeight="1">
      <c r="A226" s="4" t="str">
        <f t="shared" si="0"/>
        <v>Aug</v>
      </c>
      <c r="B226" s="4">
        <v>225</v>
      </c>
      <c r="C226" s="3">
        <v>21775</v>
      </c>
      <c r="D226" s="4">
        <v>37</v>
      </c>
      <c r="E226" s="15">
        <f>$O$2+($O$3*B226)</f>
        <v>42.782373162431554</v>
      </c>
      <c r="F226" s="8">
        <v>1.0381084307166328</v>
      </c>
      <c r="G226" s="15">
        <f>E226*F226</f>
        <v>44.412742265985209</v>
      </c>
      <c r="H226" s="8">
        <f t="shared" si="16"/>
        <v>-7.4127422659852087</v>
      </c>
      <c r="I226" s="8">
        <f t="shared" si="17"/>
        <v>7.4127422659852087</v>
      </c>
      <c r="J226" s="8">
        <f t="shared" si="18"/>
        <v>54.948747901923525</v>
      </c>
      <c r="K226" s="5">
        <f t="shared" si="19"/>
        <v>0.2003443855671678</v>
      </c>
    </row>
    <row r="227" spans="1:11" ht="15.75" customHeight="1">
      <c r="A227" s="4" t="str">
        <f t="shared" si="0"/>
        <v>Aug</v>
      </c>
      <c r="B227" s="4">
        <v>226</v>
      </c>
      <c r="C227" s="3">
        <v>21776</v>
      </c>
      <c r="D227" s="4">
        <v>39</v>
      </c>
      <c r="E227" s="15">
        <f>$O$2+($O$3*B227)</f>
        <v>42.801457715874967</v>
      </c>
      <c r="F227" s="8">
        <v>1.0381084307166328</v>
      </c>
      <c r="G227" s="15">
        <f>E227*F227</f>
        <v>44.432554101811277</v>
      </c>
      <c r="H227" s="8">
        <f t="shared" si="16"/>
        <v>-5.4325541018112773</v>
      </c>
      <c r="I227" s="8">
        <f t="shared" si="17"/>
        <v>5.4325541018112773</v>
      </c>
      <c r="J227" s="8">
        <f t="shared" si="18"/>
        <v>29.512644069106535</v>
      </c>
      <c r="K227" s="5">
        <f t="shared" si="19"/>
        <v>0.13929625902080198</v>
      </c>
    </row>
    <row r="228" spans="1:11" ht="15.75" customHeight="1">
      <c r="A228" s="4" t="str">
        <f t="shared" si="0"/>
        <v>Aug</v>
      </c>
      <c r="B228" s="4">
        <v>227</v>
      </c>
      <c r="C228" s="3">
        <v>21777</v>
      </c>
      <c r="D228" s="4">
        <v>44</v>
      </c>
      <c r="E228" s="15">
        <f>$O$2+($O$3*B228)</f>
        <v>42.820542269318381</v>
      </c>
      <c r="F228" s="8">
        <v>1.0381084307166328</v>
      </c>
      <c r="G228" s="15">
        <f>E228*F228</f>
        <v>44.452365937637346</v>
      </c>
      <c r="H228" s="8">
        <f t="shared" si="16"/>
        <v>-0.45236593763734589</v>
      </c>
      <c r="I228" s="8">
        <f t="shared" si="17"/>
        <v>0.45236593763734589</v>
      </c>
      <c r="J228" s="8">
        <f t="shared" si="18"/>
        <v>0.20463494153451511</v>
      </c>
      <c r="K228" s="5">
        <f t="shared" si="19"/>
        <v>1.0281044037212406E-2</v>
      </c>
    </row>
    <row r="229" spans="1:11" ht="15.75" customHeight="1">
      <c r="A229" s="4" t="str">
        <f t="shared" si="0"/>
        <v>Aug</v>
      </c>
      <c r="B229" s="4">
        <v>228</v>
      </c>
      <c r="C229" s="3">
        <v>21778</v>
      </c>
      <c r="D229" s="4">
        <v>45</v>
      </c>
      <c r="E229" s="15">
        <f>$O$2+($O$3*B229)</f>
        <v>42.839626822761794</v>
      </c>
      <c r="F229" s="8">
        <v>1.0381084307166328</v>
      </c>
      <c r="G229" s="15">
        <f>E229*F229</f>
        <v>44.472177773463414</v>
      </c>
      <c r="H229" s="8">
        <f t="shared" si="16"/>
        <v>0.5278222265365855</v>
      </c>
      <c r="I229" s="8">
        <f t="shared" si="17"/>
        <v>0.5278222265365855</v>
      </c>
      <c r="J229" s="8">
        <f t="shared" si="18"/>
        <v>0.27859630282603859</v>
      </c>
      <c r="K229" s="5">
        <f t="shared" si="19"/>
        <v>1.1729382811924122E-2</v>
      </c>
    </row>
    <row r="230" spans="1:11" ht="15.75" customHeight="1">
      <c r="A230" s="4" t="str">
        <f t="shared" si="0"/>
        <v>Aug</v>
      </c>
      <c r="B230" s="4">
        <v>229</v>
      </c>
      <c r="C230" s="3">
        <v>21779</v>
      </c>
      <c r="D230" s="4">
        <v>33</v>
      </c>
      <c r="E230" s="15">
        <f>$O$2+($O$3*B230)</f>
        <v>42.858711376205207</v>
      </c>
      <c r="F230" s="8">
        <v>1.0381084307166328</v>
      </c>
      <c r="G230" s="15">
        <f>E230*F230</f>
        <v>44.491989609289483</v>
      </c>
      <c r="H230" s="8">
        <f t="shared" si="16"/>
        <v>-11.491989609289483</v>
      </c>
      <c r="I230" s="8">
        <f t="shared" si="17"/>
        <v>11.491989609289483</v>
      </c>
      <c r="J230" s="8">
        <f t="shared" si="18"/>
        <v>132.06582518001744</v>
      </c>
      <c r="K230" s="5">
        <f t="shared" si="19"/>
        <v>0.34824210937240857</v>
      </c>
    </row>
    <row r="231" spans="1:11" ht="15.75" customHeight="1">
      <c r="A231" s="4" t="str">
        <f t="shared" si="0"/>
        <v>Aug</v>
      </c>
      <c r="B231" s="4">
        <v>230</v>
      </c>
      <c r="C231" s="3">
        <v>21780</v>
      </c>
      <c r="D231" s="4">
        <v>44</v>
      </c>
      <c r="E231" s="15">
        <f>$O$2+($O$3*B231)</f>
        <v>42.877795929648613</v>
      </c>
      <c r="F231" s="8">
        <v>1.0381084307166328</v>
      </c>
      <c r="G231" s="15">
        <f>E231*F231</f>
        <v>44.511801445115552</v>
      </c>
      <c r="H231" s="8">
        <f t="shared" si="16"/>
        <v>-0.5118014451155517</v>
      </c>
      <c r="I231" s="8">
        <f t="shared" si="17"/>
        <v>0.5118014451155517</v>
      </c>
      <c r="J231" s="8">
        <f t="shared" si="18"/>
        <v>0.26194071922236706</v>
      </c>
      <c r="K231" s="5">
        <f t="shared" si="19"/>
        <v>1.1631851025353447E-2</v>
      </c>
    </row>
    <row r="232" spans="1:11" ht="15.75" customHeight="1">
      <c r="A232" s="4" t="str">
        <f t="shared" si="0"/>
        <v>Aug</v>
      </c>
      <c r="B232" s="4">
        <v>231</v>
      </c>
      <c r="C232" s="3">
        <v>21781</v>
      </c>
      <c r="D232" s="4">
        <v>38</v>
      </c>
      <c r="E232" s="15">
        <f>$O$2+($O$3*B232)</f>
        <v>42.896880483092026</v>
      </c>
      <c r="F232" s="8">
        <v>1.0381084307166328</v>
      </c>
      <c r="G232" s="15">
        <f>E232*F232</f>
        <v>44.53161328094162</v>
      </c>
      <c r="H232" s="8">
        <f t="shared" si="16"/>
        <v>-6.5316132809416203</v>
      </c>
      <c r="I232" s="8">
        <f t="shared" si="17"/>
        <v>6.5316132809416203</v>
      </c>
      <c r="J232" s="8">
        <f t="shared" si="18"/>
        <v>42.661972051772956</v>
      </c>
      <c r="K232" s="5">
        <f t="shared" si="19"/>
        <v>0.17188456002477948</v>
      </c>
    </row>
    <row r="233" spans="1:11" ht="15.75" customHeight="1">
      <c r="A233" s="4" t="str">
        <f t="shared" si="0"/>
        <v>Aug</v>
      </c>
      <c r="B233" s="4">
        <v>232</v>
      </c>
      <c r="C233" s="3">
        <v>21782</v>
      </c>
      <c r="D233" s="4">
        <v>46</v>
      </c>
      <c r="E233" s="15">
        <f>$O$2+($O$3*B233)</f>
        <v>42.915965036535439</v>
      </c>
      <c r="F233" s="8">
        <v>1.0381084307166328</v>
      </c>
      <c r="G233" s="15">
        <f>E233*F233</f>
        <v>44.551425116767689</v>
      </c>
      <c r="H233" s="8">
        <f t="shared" si="16"/>
        <v>1.4485748832323111</v>
      </c>
      <c r="I233" s="8">
        <f t="shared" si="17"/>
        <v>1.4485748832323111</v>
      </c>
      <c r="J233" s="8">
        <f t="shared" si="18"/>
        <v>2.0983691923315035</v>
      </c>
      <c r="K233" s="5">
        <f t="shared" si="19"/>
        <v>3.1490758331137195E-2</v>
      </c>
    </row>
    <row r="234" spans="1:11" ht="15.75" customHeight="1">
      <c r="A234" s="4" t="str">
        <f t="shared" si="0"/>
        <v>Aug</v>
      </c>
      <c r="B234" s="4">
        <v>233</v>
      </c>
      <c r="C234" s="3">
        <v>21783</v>
      </c>
      <c r="D234" s="4">
        <v>46</v>
      </c>
      <c r="E234" s="15">
        <f>$O$2+($O$3*B234)</f>
        <v>42.935049589978853</v>
      </c>
      <c r="F234" s="8">
        <v>1.0381084307166328</v>
      </c>
      <c r="G234" s="15">
        <f>E234*F234</f>
        <v>44.571236952593758</v>
      </c>
      <c r="H234" s="8">
        <f t="shared" si="16"/>
        <v>1.4287630474062425</v>
      </c>
      <c r="I234" s="8">
        <f t="shared" si="17"/>
        <v>1.4287630474062425</v>
      </c>
      <c r="J234" s="8">
        <f t="shared" si="18"/>
        <v>2.0413638456335725</v>
      </c>
      <c r="K234" s="5">
        <f t="shared" si="19"/>
        <v>3.1060066247961794E-2</v>
      </c>
    </row>
    <row r="235" spans="1:11" ht="15.75" customHeight="1">
      <c r="A235" s="4" t="str">
        <f t="shared" si="0"/>
        <v>Aug</v>
      </c>
      <c r="B235" s="4">
        <v>234</v>
      </c>
      <c r="C235" s="3">
        <v>21784</v>
      </c>
      <c r="D235" s="4">
        <v>40</v>
      </c>
      <c r="E235" s="15">
        <f>$O$2+($O$3*B235)</f>
        <v>42.954134143422266</v>
      </c>
      <c r="F235" s="8">
        <v>1.0381084307166328</v>
      </c>
      <c r="G235" s="15">
        <f>E235*F235</f>
        <v>44.591048788419826</v>
      </c>
      <c r="H235" s="8">
        <f t="shared" si="16"/>
        <v>-4.5910487884198261</v>
      </c>
      <c r="I235" s="8">
        <f t="shared" si="17"/>
        <v>4.5910487884198261</v>
      </c>
      <c r="J235" s="8">
        <f t="shared" si="18"/>
        <v>21.077728977651152</v>
      </c>
      <c r="K235" s="5">
        <f t="shared" si="19"/>
        <v>0.11477621971049565</v>
      </c>
    </row>
    <row r="236" spans="1:11" ht="15.75" customHeight="1">
      <c r="A236" s="4" t="str">
        <f t="shared" si="0"/>
        <v>Aug</v>
      </c>
      <c r="B236" s="4">
        <v>235</v>
      </c>
      <c r="C236" s="3">
        <v>21785</v>
      </c>
      <c r="D236" s="4">
        <v>39</v>
      </c>
      <c r="E236" s="15">
        <f>$O$2+($O$3*B236)</f>
        <v>42.973218696865679</v>
      </c>
      <c r="F236" s="8">
        <v>1.0381084307166328</v>
      </c>
      <c r="G236" s="15">
        <f>E236*F236</f>
        <v>44.610860624245895</v>
      </c>
      <c r="H236" s="8">
        <f t="shared" si="16"/>
        <v>-5.6108606242458947</v>
      </c>
      <c r="I236" s="8">
        <f t="shared" si="17"/>
        <v>5.6108606242458947</v>
      </c>
      <c r="J236" s="8">
        <f t="shared" si="18"/>
        <v>31.48175694471303</v>
      </c>
      <c r="K236" s="5">
        <f t="shared" si="19"/>
        <v>0.14386822113451012</v>
      </c>
    </row>
    <row r="237" spans="1:11" ht="15.75" customHeight="1">
      <c r="A237" s="4" t="str">
        <f t="shared" si="0"/>
        <v>Aug</v>
      </c>
      <c r="B237" s="4">
        <v>236</v>
      </c>
      <c r="C237" s="3">
        <v>21786</v>
      </c>
      <c r="D237" s="4">
        <v>44</v>
      </c>
      <c r="E237" s="15">
        <f>$O$2+($O$3*B237)</f>
        <v>42.992303250309092</v>
      </c>
      <c r="F237" s="8">
        <v>1.0381084307166328</v>
      </c>
      <c r="G237" s="15">
        <f>E237*F237</f>
        <v>44.630672460071963</v>
      </c>
      <c r="H237" s="8">
        <f t="shared" si="16"/>
        <v>-0.63067246007196331</v>
      </c>
      <c r="I237" s="8">
        <f t="shared" si="17"/>
        <v>0.63067246007196331</v>
      </c>
      <c r="J237" s="8">
        <f t="shared" si="18"/>
        <v>0.39774775189322215</v>
      </c>
      <c r="K237" s="5">
        <f t="shared" si="19"/>
        <v>1.433346500163553E-2</v>
      </c>
    </row>
    <row r="238" spans="1:11" ht="15.75" customHeight="1">
      <c r="A238" s="4" t="str">
        <f t="shared" si="0"/>
        <v>Aug</v>
      </c>
      <c r="B238" s="4">
        <v>237</v>
      </c>
      <c r="C238" s="3">
        <v>21787</v>
      </c>
      <c r="D238" s="4">
        <v>48</v>
      </c>
      <c r="E238" s="15">
        <f>$O$2+($O$3*B238)</f>
        <v>43.011387803752505</v>
      </c>
      <c r="F238" s="8">
        <v>1.0381084307166328</v>
      </c>
      <c r="G238" s="15">
        <f>E238*F238</f>
        <v>44.650484295898032</v>
      </c>
      <c r="H238" s="8">
        <f t="shared" si="16"/>
        <v>3.3495157041019681</v>
      </c>
      <c r="I238" s="8">
        <f t="shared" si="17"/>
        <v>3.3495157041019681</v>
      </c>
      <c r="J238" s="8">
        <f t="shared" si="18"/>
        <v>11.219255452025703</v>
      </c>
      <c r="K238" s="5">
        <f t="shared" si="19"/>
        <v>6.9781577168791006E-2</v>
      </c>
    </row>
    <row r="239" spans="1:11" ht="15.75" customHeight="1">
      <c r="A239" s="4" t="str">
        <f t="shared" si="0"/>
        <v>Aug</v>
      </c>
      <c r="B239" s="4">
        <v>238</v>
      </c>
      <c r="C239" s="3">
        <v>21788</v>
      </c>
      <c r="D239" s="4">
        <v>50</v>
      </c>
      <c r="E239" s="15">
        <f>$O$2+($O$3*B239)</f>
        <v>43.030472357195919</v>
      </c>
      <c r="F239" s="8">
        <v>1.0381084307166328</v>
      </c>
      <c r="G239" s="15">
        <f>E239*F239</f>
        <v>44.670296131724101</v>
      </c>
      <c r="H239" s="8">
        <f t="shared" si="16"/>
        <v>5.3297038682758995</v>
      </c>
      <c r="I239" s="8">
        <f t="shared" si="17"/>
        <v>5.3297038682758995</v>
      </c>
      <c r="J239" s="8">
        <f t="shared" si="18"/>
        <v>28.405743323515086</v>
      </c>
      <c r="K239" s="5">
        <f t="shared" si="19"/>
        <v>0.10659407736551799</v>
      </c>
    </row>
    <row r="240" spans="1:11" ht="15.75" customHeight="1">
      <c r="A240" s="4" t="str">
        <f t="shared" si="0"/>
        <v>Aug</v>
      </c>
      <c r="B240" s="4">
        <v>239</v>
      </c>
      <c r="C240" s="3">
        <v>21789</v>
      </c>
      <c r="D240" s="4">
        <v>41</v>
      </c>
      <c r="E240" s="15">
        <f>$O$2+($O$3*B240)</f>
        <v>43.049556910639332</v>
      </c>
      <c r="F240" s="8">
        <v>1.0381084307166328</v>
      </c>
      <c r="G240" s="15">
        <f>E240*F240</f>
        <v>44.690107967550176</v>
      </c>
      <c r="H240" s="8">
        <f t="shared" si="16"/>
        <v>-3.6901079675501762</v>
      </c>
      <c r="I240" s="8">
        <f t="shared" si="17"/>
        <v>3.6901079675501762</v>
      </c>
      <c r="J240" s="8">
        <f t="shared" si="18"/>
        <v>13.616896812177293</v>
      </c>
      <c r="K240" s="5">
        <f t="shared" si="19"/>
        <v>9.0002633354882344E-2</v>
      </c>
    </row>
    <row r="241" spans="1:11" ht="15.75" customHeight="1">
      <c r="A241" s="4" t="str">
        <f t="shared" si="0"/>
        <v>Aug</v>
      </c>
      <c r="B241" s="4">
        <v>240</v>
      </c>
      <c r="C241" s="3">
        <v>21790</v>
      </c>
      <c r="D241" s="4">
        <v>42</v>
      </c>
      <c r="E241" s="15">
        <f>$O$2+($O$3*B241)</f>
        <v>43.068641464082745</v>
      </c>
      <c r="F241" s="8">
        <v>1.0381084307166328</v>
      </c>
      <c r="G241" s="15">
        <f>E241*F241</f>
        <v>44.709919803376245</v>
      </c>
      <c r="H241" s="8">
        <f t="shared" si="16"/>
        <v>-2.7099198033762448</v>
      </c>
      <c r="I241" s="8">
        <f t="shared" si="17"/>
        <v>2.7099198033762448</v>
      </c>
      <c r="J241" s="8">
        <f t="shared" si="18"/>
        <v>7.3436653407307455</v>
      </c>
      <c r="K241" s="5">
        <f t="shared" si="19"/>
        <v>6.4521900080386788E-2</v>
      </c>
    </row>
    <row r="242" spans="1:11" ht="15.75" customHeight="1">
      <c r="A242" s="4" t="str">
        <f t="shared" si="0"/>
        <v>Aug</v>
      </c>
      <c r="B242" s="4">
        <v>241</v>
      </c>
      <c r="C242" s="3">
        <v>21791</v>
      </c>
      <c r="D242" s="4">
        <v>51</v>
      </c>
      <c r="E242" s="15">
        <f>$O$2+($O$3*B242)</f>
        <v>43.087726017526158</v>
      </c>
      <c r="F242" s="8">
        <v>1.0381084307166328</v>
      </c>
      <c r="G242" s="15">
        <f>E242*F242</f>
        <v>44.729731639202313</v>
      </c>
      <c r="H242" s="8">
        <f t="shared" si="16"/>
        <v>6.2702683607976866</v>
      </c>
      <c r="I242" s="8">
        <f t="shared" si="17"/>
        <v>6.2702683607976866</v>
      </c>
      <c r="J242" s="8">
        <f t="shared" si="18"/>
        <v>39.316265316420505</v>
      </c>
      <c r="K242" s="5">
        <f t="shared" si="19"/>
        <v>0.12294643844701346</v>
      </c>
    </row>
    <row r="243" spans="1:11" ht="15.75" customHeight="1">
      <c r="A243" s="4" t="str">
        <f t="shared" si="0"/>
        <v>Aug</v>
      </c>
      <c r="B243" s="4">
        <v>242</v>
      </c>
      <c r="C243" s="3">
        <v>21792</v>
      </c>
      <c r="D243" s="4">
        <v>41</v>
      </c>
      <c r="E243" s="15">
        <f>$O$2+($O$3*B243)</f>
        <v>43.106810570969571</v>
      </c>
      <c r="F243" s="8">
        <v>1.0381084307166328</v>
      </c>
      <c r="G243" s="15">
        <f>E243*F243</f>
        <v>44.749543475028382</v>
      </c>
      <c r="H243" s="8">
        <f t="shared" si="16"/>
        <v>-3.749543475028382</v>
      </c>
      <c r="I243" s="8">
        <f t="shared" si="17"/>
        <v>3.749543475028382</v>
      </c>
      <c r="J243" s="8">
        <f t="shared" si="18"/>
        <v>14.059076271127916</v>
      </c>
      <c r="K243" s="5">
        <f t="shared" si="19"/>
        <v>9.1452279878741022E-2</v>
      </c>
    </row>
    <row r="244" spans="1:11" ht="15.75" customHeight="1">
      <c r="A244" s="4" t="str">
        <f t="shared" si="0"/>
        <v>Aug</v>
      </c>
      <c r="B244" s="4">
        <v>243</v>
      </c>
      <c r="C244" s="3">
        <v>21793</v>
      </c>
      <c r="D244" s="4">
        <v>44</v>
      </c>
      <c r="E244" s="15">
        <f>$O$2+($O$3*B244)</f>
        <v>43.125895124412978</v>
      </c>
      <c r="F244" s="8">
        <v>1.0381084307166328</v>
      </c>
      <c r="G244" s="15">
        <f>E244*F244</f>
        <v>44.769355310854444</v>
      </c>
      <c r="H244" s="8">
        <f t="shared" si="16"/>
        <v>-0.76935531085444353</v>
      </c>
      <c r="I244" s="8">
        <f t="shared" si="17"/>
        <v>0.76935531085444353</v>
      </c>
      <c r="J244" s="8">
        <f t="shared" si="18"/>
        <v>0.59190759433993745</v>
      </c>
      <c r="K244" s="5">
        <f t="shared" si="19"/>
        <v>1.7485347973964626E-2</v>
      </c>
    </row>
    <row r="245" spans="1:11" ht="15.75" customHeight="1">
      <c r="A245" s="4" t="str">
        <f t="shared" si="0"/>
        <v>Sep</v>
      </c>
      <c r="B245" s="4">
        <v>244</v>
      </c>
      <c r="C245" s="3">
        <v>21794</v>
      </c>
      <c r="D245" s="4">
        <v>38</v>
      </c>
      <c r="E245" s="15">
        <f>$O$2+($O$3*B245)</f>
        <v>43.144979677856391</v>
      </c>
      <c r="F245" s="8">
        <f>VLOOKUP(A245,V8:Y19,4,FALSE)</f>
        <v>1.1481433139724597</v>
      </c>
      <c r="G245" s="15">
        <f>E245*F245</f>
        <v>49.536619948608461</v>
      </c>
      <c r="H245" s="8">
        <f t="shared" si="16"/>
        <v>-11.536619948608461</v>
      </c>
      <c r="I245" s="8">
        <f t="shared" si="17"/>
        <v>11.536619948608461</v>
      </c>
      <c r="J245" s="8">
        <f t="shared" si="18"/>
        <v>133.09359983863069</v>
      </c>
      <c r="K245" s="5">
        <f t="shared" si="19"/>
        <v>0.30359526180548579</v>
      </c>
    </row>
    <row r="246" spans="1:11" ht="15.75" customHeight="1">
      <c r="A246" s="4" t="str">
        <f t="shared" si="0"/>
        <v>Sep</v>
      </c>
      <c r="B246" s="4">
        <v>245</v>
      </c>
      <c r="C246" s="3">
        <v>21795</v>
      </c>
      <c r="D246" s="4">
        <v>68</v>
      </c>
      <c r="E246" s="15">
        <f>$O$2+($O$3*B246)</f>
        <v>43.164064231299804</v>
      </c>
      <c r="F246" s="8">
        <v>1.1481433139724597</v>
      </c>
      <c r="G246" s="15">
        <f>E246*F246</f>
        <v>49.558531751044669</v>
      </c>
      <c r="H246" s="8">
        <f t="shared" si="16"/>
        <v>18.441468248955331</v>
      </c>
      <c r="I246" s="8">
        <f t="shared" si="17"/>
        <v>18.441468248955331</v>
      </c>
      <c r="J246" s="8">
        <f t="shared" si="18"/>
        <v>340.08775117722763</v>
      </c>
      <c r="K246" s="5">
        <f t="shared" si="19"/>
        <v>0.27119806248463724</v>
      </c>
    </row>
    <row r="247" spans="1:11" ht="15.75" customHeight="1">
      <c r="A247" s="4" t="str">
        <f t="shared" si="0"/>
        <v>Sep</v>
      </c>
      <c r="B247" s="4">
        <v>246</v>
      </c>
      <c r="C247" s="3">
        <v>21796</v>
      </c>
      <c r="D247" s="4">
        <v>40</v>
      </c>
      <c r="E247" s="15">
        <f>$O$2+($O$3*B247)</f>
        <v>43.183148784743217</v>
      </c>
      <c r="F247" s="8">
        <v>1.1481433139724597</v>
      </c>
      <c r="G247" s="15">
        <f>E247*F247</f>
        <v>49.580443553480876</v>
      </c>
      <c r="H247" s="8">
        <f t="shared" si="16"/>
        <v>-9.5804435534808761</v>
      </c>
      <c r="I247" s="8">
        <f t="shared" si="17"/>
        <v>9.5804435534808761</v>
      </c>
      <c r="J247" s="8">
        <f t="shared" si="18"/>
        <v>91.784898681433276</v>
      </c>
      <c r="K247" s="5">
        <f t="shared" si="19"/>
        <v>0.23951108883702191</v>
      </c>
    </row>
    <row r="248" spans="1:11" ht="15.75" customHeight="1">
      <c r="A248" s="4" t="str">
        <f t="shared" si="0"/>
        <v>Sep</v>
      </c>
      <c r="B248" s="4">
        <v>247</v>
      </c>
      <c r="C248" s="3">
        <v>21797</v>
      </c>
      <c r="D248" s="4">
        <v>42</v>
      </c>
      <c r="E248" s="15">
        <f>$O$2+($O$3*B248)</f>
        <v>43.20223333818663</v>
      </c>
      <c r="F248" s="8">
        <v>1.1481433139724597</v>
      </c>
      <c r="G248" s="15">
        <f>E248*F248</f>
        <v>49.602355355917076</v>
      </c>
      <c r="H248" s="8">
        <f t="shared" si="16"/>
        <v>-7.6023553559170765</v>
      </c>
      <c r="I248" s="8">
        <f t="shared" si="17"/>
        <v>7.6023553559170765</v>
      </c>
      <c r="J248" s="8">
        <f t="shared" si="18"/>
        <v>57.795806957641055</v>
      </c>
      <c r="K248" s="5">
        <f t="shared" si="19"/>
        <v>0.18100846085516847</v>
      </c>
    </row>
    <row r="249" spans="1:11" ht="15.75" customHeight="1">
      <c r="A249" s="4" t="str">
        <f t="shared" si="0"/>
        <v>Sep</v>
      </c>
      <c r="B249" s="4">
        <v>248</v>
      </c>
      <c r="C249" s="3">
        <v>21798</v>
      </c>
      <c r="D249" s="4">
        <v>51</v>
      </c>
      <c r="E249" s="15">
        <f>$O$2+($O$3*B249)</f>
        <v>43.221317891630044</v>
      </c>
      <c r="F249" s="8">
        <v>1.1481433139724597</v>
      </c>
      <c r="G249" s="15">
        <f>E249*F249</f>
        <v>49.624267158353284</v>
      </c>
      <c r="H249" s="8">
        <f t="shared" si="16"/>
        <v>1.3757328416467161</v>
      </c>
      <c r="I249" s="8">
        <f t="shared" si="17"/>
        <v>1.3757328416467161</v>
      </c>
      <c r="J249" s="8">
        <f t="shared" si="18"/>
        <v>1.8926408515853483</v>
      </c>
      <c r="K249" s="5">
        <f t="shared" si="19"/>
        <v>2.6975153757778748E-2</v>
      </c>
    </row>
    <row r="250" spans="1:11" ht="15.75" customHeight="1">
      <c r="A250" s="4" t="str">
        <f t="shared" si="0"/>
        <v>Sep</v>
      </c>
      <c r="B250" s="4">
        <v>249</v>
      </c>
      <c r="C250" s="3">
        <v>21799</v>
      </c>
      <c r="D250" s="4">
        <v>44</v>
      </c>
      <c r="E250" s="15">
        <f>$O$2+($O$3*B250)</f>
        <v>43.240402445073457</v>
      </c>
      <c r="F250" s="8">
        <v>1.1481433139724597</v>
      </c>
      <c r="G250" s="15">
        <f>E250*F250</f>
        <v>49.646178960789491</v>
      </c>
      <c r="H250" s="8">
        <f t="shared" si="16"/>
        <v>-5.6461789607894914</v>
      </c>
      <c r="I250" s="8">
        <f t="shared" si="17"/>
        <v>5.6461789607894914</v>
      </c>
      <c r="J250" s="8">
        <f t="shared" si="18"/>
        <v>31.879336857261901</v>
      </c>
      <c r="K250" s="5">
        <f t="shared" si="19"/>
        <v>0.12832224910885207</v>
      </c>
    </row>
    <row r="251" spans="1:11" ht="15.75" customHeight="1">
      <c r="A251" s="4" t="str">
        <f t="shared" si="0"/>
        <v>Sep</v>
      </c>
      <c r="B251" s="4">
        <v>250</v>
      </c>
      <c r="C251" s="3">
        <v>21800</v>
      </c>
      <c r="D251" s="4">
        <v>45</v>
      </c>
      <c r="E251" s="15">
        <f>$O$2+($O$3*B251)</f>
        <v>43.25948699851687</v>
      </c>
      <c r="F251" s="8">
        <v>1.1481433139724597</v>
      </c>
      <c r="G251" s="15">
        <f>E251*F251</f>
        <v>49.668090763225692</v>
      </c>
      <c r="H251" s="8">
        <f t="shared" si="16"/>
        <v>-4.6680907632256918</v>
      </c>
      <c r="I251" s="8">
        <f t="shared" si="17"/>
        <v>4.6680907632256918</v>
      </c>
      <c r="J251" s="8">
        <f t="shared" si="18"/>
        <v>21.791071373713024</v>
      </c>
      <c r="K251" s="5">
        <f t="shared" si="19"/>
        <v>0.10373535029390427</v>
      </c>
    </row>
    <row r="252" spans="1:11" ht="15.75" customHeight="1">
      <c r="A252" s="4" t="str">
        <f t="shared" si="0"/>
        <v>Sep</v>
      </c>
      <c r="B252" s="4">
        <v>251</v>
      </c>
      <c r="C252" s="3">
        <v>21801</v>
      </c>
      <c r="D252" s="4">
        <v>36</v>
      </c>
      <c r="E252" s="15">
        <f>$O$2+($O$3*B252)</f>
        <v>43.278571551960283</v>
      </c>
      <c r="F252" s="8">
        <v>1.1481433139724597</v>
      </c>
      <c r="G252" s="15">
        <f>E252*F252</f>
        <v>49.690002565661899</v>
      </c>
      <c r="H252" s="8">
        <f t="shared" si="16"/>
        <v>-13.690002565661899</v>
      </c>
      <c r="I252" s="8">
        <f t="shared" si="17"/>
        <v>13.690002565661899</v>
      </c>
      <c r="J252" s="8">
        <f t="shared" si="18"/>
        <v>187.4161702478294</v>
      </c>
      <c r="K252" s="5">
        <f t="shared" si="19"/>
        <v>0.38027784904616385</v>
      </c>
    </row>
    <row r="253" spans="1:11" ht="15.75" customHeight="1">
      <c r="A253" s="4" t="str">
        <f t="shared" si="0"/>
        <v>Sep</v>
      </c>
      <c r="B253" s="4">
        <v>252</v>
      </c>
      <c r="C253" s="3">
        <v>21802</v>
      </c>
      <c r="D253" s="4">
        <v>57</v>
      </c>
      <c r="E253" s="15">
        <f>$O$2+($O$3*B253)</f>
        <v>43.297656105403696</v>
      </c>
      <c r="F253" s="8">
        <v>1.1481433139724597</v>
      </c>
      <c r="G253" s="15">
        <f>E253*F253</f>
        <v>49.711914368098107</v>
      </c>
      <c r="H253" s="8">
        <f t="shared" si="16"/>
        <v>7.2880856319018932</v>
      </c>
      <c r="I253" s="8">
        <f t="shared" si="17"/>
        <v>7.2880856319018932</v>
      </c>
      <c r="J253" s="8">
        <f t="shared" si="18"/>
        <v>53.116192177934821</v>
      </c>
      <c r="K253" s="5">
        <f t="shared" si="19"/>
        <v>0.12786115143687532</v>
      </c>
    </row>
    <row r="254" spans="1:11" ht="15.75" customHeight="1">
      <c r="A254" s="4" t="str">
        <f t="shared" si="0"/>
        <v>Sep</v>
      </c>
      <c r="B254" s="4">
        <v>253</v>
      </c>
      <c r="C254" s="3">
        <v>21803</v>
      </c>
      <c r="D254" s="4">
        <v>44</v>
      </c>
      <c r="E254" s="15">
        <f>$O$2+($O$3*B254)</f>
        <v>43.31674065884711</v>
      </c>
      <c r="F254" s="8">
        <v>1.1481433139724597</v>
      </c>
      <c r="G254" s="15">
        <f>E254*F254</f>
        <v>49.733826170534307</v>
      </c>
      <c r="H254" s="8">
        <f t="shared" si="16"/>
        <v>-5.7338261705343072</v>
      </c>
      <c r="I254" s="8">
        <f t="shared" si="17"/>
        <v>5.7338261705343072</v>
      </c>
      <c r="J254" s="8">
        <f t="shared" si="18"/>
        <v>32.876762553904115</v>
      </c>
      <c r="K254" s="5">
        <f t="shared" si="19"/>
        <v>0.13031423114850699</v>
      </c>
    </row>
    <row r="255" spans="1:11" ht="15.75" customHeight="1">
      <c r="A255" s="4" t="str">
        <f t="shared" si="0"/>
        <v>Sep</v>
      </c>
      <c r="B255" s="4">
        <v>254</v>
      </c>
      <c r="C255" s="3">
        <v>21804</v>
      </c>
      <c r="D255" s="4">
        <v>42</v>
      </c>
      <c r="E255" s="15">
        <f>$O$2+($O$3*B255)</f>
        <v>43.335825212290516</v>
      </c>
      <c r="F255" s="8">
        <v>1.1481433139724597</v>
      </c>
      <c r="G255" s="15">
        <f>E255*F255</f>
        <v>49.755737972970508</v>
      </c>
      <c r="H255" s="8">
        <f t="shared" si="16"/>
        <v>-7.7557379729705076</v>
      </c>
      <c r="I255" s="8">
        <f t="shared" si="17"/>
        <v>7.7557379729705076</v>
      </c>
      <c r="J255" s="8">
        <f t="shared" si="18"/>
        <v>60.151471505376676</v>
      </c>
      <c r="K255" s="5">
        <f t="shared" si="19"/>
        <v>0.18466042792786924</v>
      </c>
    </row>
    <row r="256" spans="1:11" ht="15.75" customHeight="1">
      <c r="A256" s="4" t="str">
        <f t="shared" si="0"/>
        <v>Sep</v>
      </c>
      <c r="B256" s="4">
        <v>255</v>
      </c>
      <c r="C256" s="3">
        <v>21805</v>
      </c>
      <c r="D256" s="4">
        <v>53</v>
      </c>
      <c r="E256" s="15">
        <f>$O$2+($O$3*B256)</f>
        <v>43.354909765733936</v>
      </c>
      <c r="F256" s="8">
        <v>1.1481433139724597</v>
      </c>
      <c r="G256" s="15">
        <f>E256*F256</f>
        <v>49.777649775406715</v>
      </c>
      <c r="H256" s="8">
        <f t="shared" si="16"/>
        <v>3.2223502245932849</v>
      </c>
      <c r="I256" s="8">
        <f t="shared" si="17"/>
        <v>3.2223502245932849</v>
      </c>
      <c r="J256" s="8">
        <f t="shared" si="18"/>
        <v>10.383540969936394</v>
      </c>
      <c r="K256" s="5">
        <f t="shared" si="19"/>
        <v>6.0799060841382736E-2</v>
      </c>
    </row>
    <row r="257" spans="1:11" ht="15.75" customHeight="1">
      <c r="A257" s="4" t="str">
        <f t="shared" ref="A257:A366" si="20">IF(MONTH(C257)=1, "Jan",  IF(MONTH(C257) = 2, "Feb", IF(MONTH(C257) = 3, "Mar", IF(MONTH(C257) = 4, "Apr", IF(MONTH(C257) = 5, "May", IF(MONTH(C257) = 6, "Jun", IF(MONTH(C257) = 7, "Jul", IF(MONTH(C257) = 8, "Aug", IF(MONTH(C257) = 9, "Sep", IF(MONTH(C257) = 10, "Oct", IF(MONTH(C257) = 11, "Nov", "Dec")))))))))))</f>
        <v>Sep</v>
      </c>
      <c r="B257" s="4">
        <v>256</v>
      </c>
      <c r="C257" s="3">
        <v>21806</v>
      </c>
      <c r="D257" s="4">
        <v>42</v>
      </c>
      <c r="E257" s="15">
        <f>$O$2+($O$3*B257)</f>
        <v>43.373994319177342</v>
      </c>
      <c r="F257" s="8">
        <v>1.1481433139724597</v>
      </c>
      <c r="G257" s="15">
        <f>E257*F257</f>
        <v>49.799561577842915</v>
      </c>
      <c r="H257" s="8">
        <f t="shared" si="16"/>
        <v>-7.7995615778429155</v>
      </c>
      <c r="I257" s="8">
        <f t="shared" si="17"/>
        <v>7.7995615778429155</v>
      </c>
      <c r="J257" s="8">
        <f t="shared" si="18"/>
        <v>60.83316080656347</v>
      </c>
      <c r="K257" s="5">
        <f t="shared" si="19"/>
        <v>0.18570384709149798</v>
      </c>
    </row>
    <row r="258" spans="1:11" ht="15.75" customHeight="1">
      <c r="A258" s="4" t="str">
        <f t="shared" si="20"/>
        <v>Sep</v>
      </c>
      <c r="B258" s="4">
        <v>257</v>
      </c>
      <c r="C258" s="3">
        <v>21807</v>
      </c>
      <c r="D258" s="4">
        <v>34</v>
      </c>
      <c r="E258" s="15">
        <f>$O$2+($O$3*B258)</f>
        <v>43.393078872620755</v>
      </c>
      <c r="F258" s="8">
        <v>1.1481433139724597</v>
      </c>
      <c r="G258" s="15">
        <f>E258*F258</f>
        <v>49.821473380279123</v>
      </c>
      <c r="H258" s="8">
        <f t="shared" si="16"/>
        <v>-15.821473380279123</v>
      </c>
      <c r="I258" s="8">
        <f t="shared" si="17"/>
        <v>15.821473380279123</v>
      </c>
      <c r="J258" s="8">
        <f t="shared" si="18"/>
        <v>250.3190199228809</v>
      </c>
      <c r="K258" s="5">
        <f t="shared" si="19"/>
        <v>0.46533745236115065</v>
      </c>
    </row>
    <row r="259" spans="1:11" ht="15.75" customHeight="1">
      <c r="A259" s="4" t="str">
        <f t="shared" si="20"/>
        <v>Sep</v>
      </c>
      <c r="B259" s="4">
        <v>258</v>
      </c>
      <c r="C259" s="3">
        <v>21808</v>
      </c>
      <c r="D259" s="4">
        <v>40</v>
      </c>
      <c r="E259" s="15">
        <f>$O$2+($O$3*B259)</f>
        <v>43.412163426064168</v>
      </c>
      <c r="F259" s="8">
        <v>1.1481433139724597</v>
      </c>
      <c r="G259" s="15">
        <f>E259*F259</f>
        <v>49.843385182715323</v>
      </c>
      <c r="H259" s="8">
        <f t="shared" ref="H259:H322" si="21">D259-G259</f>
        <v>-9.8433851827153234</v>
      </c>
      <c r="I259" s="8">
        <f t="shared" ref="I259:I322" si="22">ABS(H259)</f>
        <v>9.8433851827153234</v>
      </c>
      <c r="J259" s="8">
        <f t="shared" ref="J259:J322" si="23">I259^2</f>
        <v>96.892231855299585</v>
      </c>
      <c r="K259" s="5">
        <f t="shared" ref="K259:K322" si="24">I259/D259</f>
        <v>0.24608462956788307</v>
      </c>
    </row>
    <row r="260" spans="1:11" ht="15.75" customHeight="1">
      <c r="A260" s="4" t="str">
        <f t="shared" si="20"/>
        <v>Sep</v>
      </c>
      <c r="B260" s="4">
        <v>259</v>
      </c>
      <c r="C260" s="3">
        <v>21809</v>
      </c>
      <c r="D260" s="4">
        <v>56</v>
      </c>
      <c r="E260" s="15">
        <f>$O$2+($O$3*B260)</f>
        <v>43.431247979507582</v>
      </c>
      <c r="F260" s="8">
        <v>1.1481433139724597</v>
      </c>
      <c r="G260" s="15">
        <f>E260*F260</f>
        <v>49.865296985151531</v>
      </c>
      <c r="H260" s="8">
        <f t="shared" si="21"/>
        <v>6.1347030148484691</v>
      </c>
      <c r="I260" s="8">
        <f t="shared" si="22"/>
        <v>6.1347030148484691</v>
      </c>
      <c r="J260" s="8">
        <f t="shared" si="23"/>
        <v>37.634581080390895</v>
      </c>
      <c r="K260" s="5">
        <f t="shared" si="24"/>
        <v>0.1095482681222941</v>
      </c>
    </row>
    <row r="261" spans="1:11" ht="15.75" customHeight="1">
      <c r="A261" s="4" t="str">
        <f t="shared" si="20"/>
        <v>Sep</v>
      </c>
      <c r="B261" s="4">
        <v>260</v>
      </c>
      <c r="C261" s="3">
        <v>21810</v>
      </c>
      <c r="D261" s="4">
        <v>44</v>
      </c>
      <c r="E261" s="15">
        <f>$O$2+($O$3*B261)</f>
        <v>43.450332532950995</v>
      </c>
      <c r="F261" s="8">
        <v>1.1481433139724597</v>
      </c>
      <c r="G261" s="15">
        <f>E261*F261</f>
        <v>49.887208787587738</v>
      </c>
      <c r="H261" s="8">
        <f t="shared" si="21"/>
        <v>-5.8872087875877384</v>
      </c>
      <c r="I261" s="8">
        <f t="shared" si="22"/>
        <v>5.8872087875877384</v>
      </c>
      <c r="J261" s="8">
        <f t="shared" si="23"/>
        <v>34.659227308650287</v>
      </c>
      <c r="K261" s="5">
        <f t="shared" si="24"/>
        <v>0.13380019971790313</v>
      </c>
    </row>
    <row r="262" spans="1:11" ht="15.75" customHeight="1">
      <c r="A262" s="4" t="str">
        <f t="shared" si="20"/>
        <v>Sep</v>
      </c>
      <c r="B262" s="4">
        <v>261</v>
      </c>
      <c r="C262" s="3">
        <v>21811</v>
      </c>
      <c r="D262" s="4">
        <v>53</v>
      </c>
      <c r="E262" s="15">
        <f>$O$2+($O$3*B262)</f>
        <v>43.469417086394408</v>
      </c>
      <c r="F262" s="8">
        <v>1.1481433139724597</v>
      </c>
      <c r="G262" s="15">
        <f>E262*F262</f>
        <v>49.909120590023939</v>
      </c>
      <c r="H262" s="8">
        <f t="shared" si="21"/>
        <v>3.0908794099760613</v>
      </c>
      <c r="I262" s="8">
        <f t="shared" si="22"/>
        <v>3.0908794099760613</v>
      </c>
      <c r="J262" s="8">
        <f t="shared" si="23"/>
        <v>9.553535527013965</v>
      </c>
      <c r="K262" s="5">
        <f t="shared" si="24"/>
        <v>5.8318479433510588E-2</v>
      </c>
    </row>
    <row r="263" spans="1:11" ht="15.75" customHeight="1">
      <c r="A263" s="4" t="str">
        <f t="shared" si="20"/>
        <v>Sep</v>
      </c>
      <c r="B263" s="4">
        <v>262</v>
      </c>
      <c r="C263" s="3">
        <v>21812</v>
      </c>
      <c r="D263" s="4">
        <v>55</v>
      </c>
      <c r="E263" s="15">
        <f>$O$2+($O$3*B263)</f>
        <v>43.488501639837821</v>
      </c>
      <c r="F263" s="8">
        <v>1.1481433139724597</v>
      </c>
      <c r="G263" s="15">
        <f>E263*F263</f>
        <v>49.931032392460146</v>
      </c>
      <c r="H263" s="8">
        <f t="shared" si="21"/>
        <v>5.0689676075398538</v>
      </c>
      <c r="I263" s="8">
        <f t="shared" si="22"/>
        <v>5.0689676075398538</v>
      </c>
      <c r="J263" s="8">
        <f t="shared" si="23"/>
        <v>25.694432606288309</v>
      </c>
      <c r="K263" s="5">
        <f t="shared" si="24"/>
        <v>9.2163047409815527E-2</v>
      </c>
    </row>
    <row r="264" spans="1:11" ht="15.75" customHeight="1">
      <c r="A264" s="4" t="str">
        <f t="shared" si="20"/>
        <v>Sep</v>
      </c>
      <c r="B264" s="4">
        <v>263</v>
      </c>
      <c r="C264" s="3">
        <v>21813</v>
      </c>
      <c r="D264" s="4">
        <v>39</v>
      </c>
      <c r="E264" s="15">
        <f>$O$2+($O$3*B264)</f>
        <v>43.507586193281234</v>
      </c>
      <c r="F264" s="8">
        <v>1.1481433139724597</v>
      </c>
      <c r="G264" s="15">
        <f>E264*F264</f>
        <v>49.952944194896347</v>
      </c>
      <c r="H264" s="8">
        <f t="shared" si="21"/>
        <v>-10.952944194896347</v>
      </c>
      <c r="I264" s="8">
        <f t="shared" si="22"/>
        <v>10.952944194896347</v>
      </c>
      <c r="J264" s="8">
        <f t="shared" si="23"/>
        <v>119.96698653651357</v>
      </c>
      <c r="K264" s="5">
        <f t="shared" si="24"/>
        <v>0.28084472294606017</v>
      </c>
    </row>
    <row r="265" spans="1:11" ht="15.75" customHeight="1">
      <c r="A265" s="4" t="str">
        <f t="shared" si="20"/>
        <v>Sep</v>
      </c>
      <c r="B265" s="4">
        <v>264</v>
      </c>
      <c r="C265" s="3">
        <v>21814</v>
      </c>
      <c r="D265" s="4">
        <v>59</v>
      </c>
      <c r="E265" s="15">
        <f>$O$2+($O$3*B265)</f>
        <v>43.526670746724648</v>
      </c>
      <c r="F265" s="8">
        <v>1.1481433139724597</v>
      </c>
      <c r="G265" s="15">
        <f>E265*F265</f>
        <v>49.974855997332554</v>
      </c>
      <c r="H265" s="8">
        <f t="shared" si="21"/>
        <v>9.0251440026674459</v>
      </c>
      <c r="I265" s="8">
        <f t="shared" si="22"/>
        <v>9.0251440026674459</v>
      </c>
      <c r="J265" s="8">
        <f t="shared" si="23"/>
        <v>81.453224268884171</v>
      </c>
      <c r="K265" s="5">
        <f t="shared" si="24"/>
        <v>0.1529685424180923</v>
      </c>
    </row>
    <row r="266" spans="1:11" ht="15.75" customHeight="1">
      <c r="A266" s="4" t="str">
        <f t="shared" si="20"/>
        <v>Sep</v>
      </c>
      <c r="B266" s="4">
        <v>265</v>
      </c>
      <c r="C266" s="3">
        <v>21815</v>
      </c>
      <c r="D266" s="4">
        <v>55</v>
      </c>
      <c r="E266" s="15">
        <f>$O$2+($O$3*B266)</f>
        <v>43.545755300168061</v>
      </c>
      <c r="F266" s="8">
        <v>1.1481433139724597</v>
      </c>
      <c r="G266" s="15">
        <f>E266*F266</f>
        <v>49.996767799768762</v>
      </c>
      <c r="H266" s="8">
        <f t="shared" si="21"/>
        <v>5.0032322002312384</v>
      </c>
      <c r="I266" s="8">
        <f t="shared" si="22"/>
        <v>5.0032322002312384</v>
      </c>
      <c r="J266" s="8">
        <f t="shared" si="23"/>
        <v>25.032332449430719</v>
      </c>
      <c r="K266" s="5">
        <f t="shared" si="24"/>
        <v>9.0967858186022515E-2</v>
      </c>
    </row>
    <row r="267" spans="1:11" ht="15.75" customHeight="1">
      <c r="A267" s="4" t="str">
        <f t="shared" si="20"/>
        <v>Sep</v>
      </c>
      <c r="B267" s="4">
        <v>266</v>
      </c>
      <c r="C267" s="3">
        <v>21816</v>
      </c>
      <c r="D267" s="4">
        <v>73</v>
      </c>
      <c r="E267" s="15">
        <f>$O$2+($O$3*B267)</f>
        <v>43.564839853611474</v>
      </c>
      <c r="F267" s="8">
        <v>1.1481433139724597</v>
      </c>
      <c r="G267" s="15">
        <f>E267*F267</f>
        <v>50.018679602204962</v>
      </c>
      <c r="H267" s="8">
        <f t="shared" si="21"/>
        <v>22.981320397795038</v>
      </c>
      <c r="I267" s="8">
        <f t="shared" si="22"/>
        <v>22.981320397795038</v>
      </c>
      <c r="J267" s="8">
        <f t="shared" si="23"/>
        <v>528.14108722611024</v>
      </c>
      <c r="K267" s="5">
        <f t="shared" si="24"/>
        <v>0.31481260818897311</v>
      </c>
    </row>
    <row r="268" spans="1:11" ht="15.75" customHeight="1">
      <c r="A268" s="4" t="str">
        <f t="shared" si="20"/>
        <v>Sep</v>
      </c>
      <c r="B268" s="4">
        <v>267</v>
      </c>
      <c r="C268" s="3">
        <v>21817</v>
      </c>
      <c r="D268" s="4">
        <v>55</v>
      </c>
      <c r="E268" s="15">
        <f>$O$2+($O$3*B268)</f>
        <v>43.58392440705488</v>
      </c>
      <c r="F268" s="8">
        <v>1.1481433139724597</v>
      </c>
      <c r="G268" s="15">
        <f>E268*F268</f>
        <v>50.040591404641162</v>
      </c>
      <c r="H268" s="8">
        <f t="shared" si="21"/>
        <v>4.9594085953588376</v>
      </c>
      <c r="I268" s="8">
        <f t="shared" si="22"/>
        <v>4.9594085953588376</v>
      </c>
      <c r="J268" s="8">
        <f t="shared" si="23"/>
        <v>24.595733615719119</v>
      </c>
      <c r="K268" s="5">
        <f t="shared" si="24"/>
        <v>9.0171065370160688E-2</v>
      </c>
    </row>
    <row r="269" spans="1:11" ht="15.75" customHeight="1">
      <c r="A269" s="4" t="str">
        <f t="shared" si="20"/>
        <v>Sep</v>
      </c>
      <c r="B269" s="4">
        <v>268</v>
      </c>
      <c r="C269" s="3">
        <v>21818</v>
      </c>
      <c r="D269" s="4">
        <v>44</v>
      </c>
      <c r="E269" s="15">
        <f>$O$2+($O$3*B269)</f>
        <v>43.603008960498293</v>
      </c>
      <c r="F269" s="8">
        <v>1.1481433139724597</v>
      </c>
      <c r="G269" s="15">
        <f>E269*F269</f>
        <v>50.06250320707737</v>
      </c>
      <c r="H269" s="8">
        <f t="shared" si="21"/>
        <v>-6.0625032070773699</v>
      </c>
      <c r="I269" s="8">
        <f t="shared" si="22"/>
        <v>6.0625032070773699</v>
      </c>
      <c r="J269" s="8">
        <f t="shared" si="23"/>
        <v>36.753945135823393</v>
      </c>
      <c r="K269" s="5">
        <f t="shared" si="24"/>
        <v>0.13778416379721295</v>
      </c>
    </row>
    <row r="270" spans="1:11" ht="15.75" customHeight="1">
      <c r="A270" s="4" t="str">
        <f t="shared" si="20"/>
        <v>Sep</v>
      </c>
      <c r="B270" s="4">
        <v>269</v>
      </c>
      <c r="C270" s="3">
        <v>21819</v>
      </c>
      <c r="D270" s="4">
        <v>43</v>
      </c>
      <c r="E270" s="15">
        <f>$O$2+($O$3*B270)</f>
        <v>43.622093513941707</v>
      </c>
      <c r="F270" s="8">
        <v>1.1481433139724597</v>
      </c>
      <c r="G270" s="15">
        <f>E270*F270</f>
        <v>50.08441500951357</v>
      </c>
      <c r="H270" s="8">
        <f t="shared" si="21"/>
        <v>-7.0844150095135703</v>
      </c>
      <c r="I270" s="8">
        <f t="shared" si="22"/>
        <v>7.0844150095135703</v>
      </c>
      <c r="J270" s="8">
        <f t="shared" si="23"/>
        <v>50.188936027021157</v>
      </c>
      <c r="K270" s="5">
        <f t="shared" si="24"/>
        <v>0.16475383743054814</v>
      </c>
    </row>
    <row r="271" spans="1:11" ht="15.75" customHeight="1">
      <c r="A271" s="4" t="str">
        <f t="shared" si="20"/>
        <v>Sep</v>
      </c>
      <c r="B271" s="4">
        <v>270</v>
      </c>
      <c r="C271" s="3">
        <v>21820</v>
      </c>
      <c r="D271" s="4">
        <v>40</v>
      </c>
      <c r="E271" s="15">
        <f>$O$2+($O$3*B271)</f>
        <v>43.64117806738512</v>
      </c>
      <c r="F271" s="8">
        <v>1.1481433139724597</v>
      </c>
      <c r="G271" s="15">
        <f>E271*F271</f>
        <v>50.106326811949778</v>
      </c>
      <c r="H271" s="8">
        <f t="shared" si="21"/>
        <v>-10.106326811949778</v>
      </c>
      <c r="I271" s="8">
        <f t="shared" si="22"/>
        <v>10.106326811949778</v>
      </c>
      <c r="J271" s="8">
        <f t="shared" si="23"/>
        <v>102.13784162993495</v>
      </c>
      <c r="K271" s="5">
        <f t="shared" si="24"/>
        <v>0.25265817029874443</v>
      </c>
    </row>
    <row r="272" spans="1:11" ht="15.75" customHeight="1">
      <c r="A272" s="4" t="str">
        <f t="shared" si="20"/>
        <v>Sep</v>
      </c>
      <c r="B272" s="4">
        <v>271</v>
      </c>
      <c r="C272" s="3">
        <v>21821</v>
      </c>
      <c r="D272" s="4">
        <v>47</v>
      </c>
      <c r="E272" s="15">
        <f>$O$2+($O$3*B272)</f>
        <v>43.660262620828533</v>
      </c>
      <c r="F272" s="8">
        <v>1.1481433139724597</v>
      </c>
      <c r="G272" s="15">
        <f>E272*F272</f>
        <v>50.128238614385978</v>
      </c>
      <c r="H272" s="8">
        <f t="shared" si="21"/>
        <v>-3.1282386143859782</v>
      </c>
      <c r="I272" s="8">
        <f t="shared" si="22"/>
        <v>3.1282386143859782</v>
      </c>
      <c r="J272" s="8">
        <f t="shared" si="23"/>
        <v>9.7858768285355051</v>
      </c>
      <c r="K272" s="5">
        <f t="shared" si="24"/>
        <v>6.6558268391191028E-2</v>
      </c>
    </row>
    <row r="273" spans="1:11" ht="15.75" customHeight="1">
      <c r="A273" s="4" t="str">
        <f t="shared" si="20"/>
        <v>Sep</v>
      </c>
      <c r="B273" s="4">
        <v>272</v>
      </c>
      <c r="C273" s="3">
        <v>21822</v>
      </c>
      <c r="D273" s="4">
        <v>51</v>
      </c>
      <c r="E273" s="15">
        <f>$O$2+($O$3*B273)</f>
        <v>43.679347174271946</v>
      </c>
      <c r="F273" s="8">
        <v>1.1481433139724597</v>
      </c>
      <c r="G273" s="15">
        <f>E273*F273</f>
        <v>50.150150416822186</v>
      </c>
      <c r="H273" s="8">
        <f t="shared" si="21"/>
        <v>0.84984958317781434</v>
      </c>
      <c r="I273" s="8">
        <f t="shared" si="22"/>
        <v>0.84984958317781434</v>
      </c>
      <c r="J273" s="8">
        <f t="shared" si="23"/>
        <v>0.72224431402750477</v>
      </c>
      <c r="K273" s="5">
        <f t="shared" si="24"/>
        <v>1.6663717317212046E-2</v>
      </c>
    </row>
    <row r="274" spans="1:11" ht="15.75" customHeight="1">
      <c r="A274" s="4" t="str">
        <f t="shared" si="20"/>
        <v>Sep</v>
      </c>
      <c r="B274" s="4">
        <v>273</v>
      </c>
      <c r="C274" s="3">
        <v>21823</v>
      </c>
      <c r="D274" s="4">
        <v>56</v>
      </c>
      <c r="E274" s="15">
        <f>$O$2+($O$3*B274)</f>
        <v>43.698431727715359</v>
      </c>
      <c r="F274" s="8">
        <v>1.1481433139724597</v>
      </c>
      <c r="G274" s="15">
        <f>E274*F274</f>
        <v>50.172062219258393</v>
      </c>
      <c r="H274" s="8">
        <f t="shared" si="21"/>
        <v>5.8279377807416068</v>
      </c>
      <c r="I274" s="8">
        <f t="shared" si="22"/>
        <v>5.8279377807416068</v>
      </c>
      <c r="J274" s="8">
        <f t="shared" si="23"/>
        <v>33.964858776195406</v>
      </c>
      <c r="K274" s="5">
        <f t="shared" si="24"/>
        <v>0.10407031751324299</v>
      </c>
    </row>
    <row r="275" spans="1:11" ht="15.75" customHeight="1">
      <c r="A275" s="4" t="str">
        <f t="shared" si="20"/>
        <v>Oct</v>
      </c>
      <c r="B275" s="4">
        <v>274</v>
      </c>
      <c r="C275" s="3">
        <v>21824</v>
      </c>
      <c r="D275" s="4">
        <v>49</v>
      </c>
      <c r="E275" s="15">
        <f>$O$2+($O$3*B275)</f>
        <v>43.717516281158773</v>
      </c>
      <c r="F275" s="8">
        <f>VLOOKUP(A275,V7:Y19,4,FALSE)</f>
        <v>1.0511712311031487</v>
      </c>
      <c r="G275" s="15">
        <f>E275*F275</f>
        <v>45.954595410037612</v>
      </c>
      <c r="H275" s="8">
        <f t="shared" si="21"/>
        <v>3.0454045899623878</v>
      </c>
      <c r="I275" s="8">
        <f t="shared" si="22"/>
        <v>3.0454045899623878</v>
      </c>
      <c r="J275" s="8">
        <f t="shared" si="23"/>
        <v>9.2744891165639789</v>
      </c>
      <c r="K275" s="5">
        <f t="shared" si="24"/>
        <v>6.2151114080865058E-2</v>
      </c>
    </row>
    <row r="276" spans="1:11" ht="15.75" customHeight="1">
      <c r="A276" s="4" t="str">
        <f t="shared" si="20"/>
        <v>Oct</v>
      </c>
      <c r="B276" s="4">
        <v>275</v>
      </c>
      <c r="C276" s="3">
        <v>21825</v>
      </c>
      <c r="D276" s="4">
        <v>54</v>
      </c>
      <c r="E276" s="15">
        <f>$O$2+($O$3*B276)</f>
        <v>43.736600834602186</v>
      </c>
      <c r="F276" s="8">
        <v>1.0511712311031487</v>
      </c>
      <c r="G276" s="15">
        <f>E276*F276</f>
        <v>45.974656543575783</v>
      </c>
      <c r="H276" s="8">
        <f t="shared" si="21"/>
        <v>8.025343456424217</v>
      </c>
      <c r="I276" s="8">
        <f t="shared" si="22"/>
        <v>8.025343456424217</v>
      </c>
      <c r="J276" s="8">
        <f t="shared" si="23"/>
        <v>64.406137593571003</v>
      </c>
      <c r="K276" s="5">
        <f t="shared" si="24"/>
        <v>0.14861747141526327</v>
      </c>
    </row>
    <row r="277" spans="1:11" ht="15.75" customHeight="1">
      <c r="A277" s="4" t="str">
        <f t="shared" si="20"/>
        <v>Oct</v>
      </c>
      <c r="B277" s="4">
        <v>276</v>
      </c>
      <c r="C277" s="3">
        <v>21826</v>
      </c>
      <c r="D277" s="4">
        <v>56</v>
      </c>
      <c r="E277" s="15">
        <f>$O$2+($O$3*B277)</f>
        <v>43.755685388045599</v>
      </c>
      <c r="F277" s="8">
        <v>1.0511712311031487</v>
      </c>
      <c r="G277" s="15">
        <f>E277*F277</f>
        <v>45.994717677113947</v>
      </c>
      <c r="H277" s="8">
        <f t="shared" si="21"/>
        <v>10.005282322886053</v>
      </c>
      <c r="I277" s="8">
        <f t="shared" si="22"/>
        <v>10.005282322886053</v>
      </c>
      <c r="J277" s="8">
        <f t="shared" si="23"/>
        <v>100.10567436065614</v>
      </c>
      <c r="K277" s="5">
        <f t="shared" si="24"/>
        <v>0.17866575576582239</v>
      </c>
    </row>
    <row r="278" spans="1:11" ht="15.75" customHeight="1">
      <c r="A278" s="4" t="str">
        <f t="shared" si="20"/>
        <v>Oct</v>
      </c>
      <c r="B278" s="4">
        <v>277</v>
      </c>
      <c r="C278" s="3">
        <v>21827</v>
      </c>
      <c r="D278" s="4">
        <v>47</v>
      </c>
      <c r="E278" s="15">
        <f>$O$2+($O$3*B278)</f>
        <v>43.774769941489012</v>
      </c>
      <c r="F278" s="8">
        <v>1.0511712311031487</v>
      </c>
      <c r="G278" s="15">
        <f>E278*F278</f>
        <v>46.014778810652111</v>
      </c>
      <c r="H278" s="8">
        <f t="shared" si="21"/>
        <v>0.98522118934788949</v>
      </c>
      <c r="I278" s="8">
        <f t="shared" si="22"/>
        <v>0.98522118934788949</v>
      </c>
      <c r="J278" s="8">
        <f t="shared" si="23"/>
        <v>0.97066079194006993</v>
      </c>
      <c r="K278" s="5">
        <f t="shared" si="24"/>
        <v>2.0962152964848713E-2</v>
      </c>
    </row>
    <row r="279" spans="1:11" ht="15.75" customHeight="1">
      <c r="A279" s="4" t="str">
        <f t="shared" si="20"/>
        <v>Oct</v>
      </c>
      <c r="B279" s="4">
        <v>278</v>
      </c>
      <c r="C279" s="3">
        <v>21828</v>
      </c>
      <c r="D279" s="4">
        <v>44</v>
      </c>
      <c r="E279" s="15">
        <f>$O$2+($O$3*B279)</f>
        <v>43.793854494932425</v>
      </c>
      <c r="F279" s="8">
        <v>1.0511712311031487</v>
      </c>
      <c r="G279" s="15">
        <f>E279*F279</f>
        <v>46.034839944190281</v>
      </c>
      <c r="H279" s="8">
        <f t="shared" si="21"/>
        <v>-2.0348399441902814</v>
      </c>
      <c r="I279" s="8">
        <f t="shared" si="22"/>
        <v>2.0348399441902814</v>
      </c>
      <c r="J279" s="8">
        <f t="shared" si="23"/>
        <v>4.1405735984723071</v>
      </c>
      <c r="K279" s="5">
        <f t="shared" si="24"/>
        <v>4.6246362367960939E-2</v>
      </c>
    </row>
    <row r="280" spans="1:11" ht="15.75" customHeight="1">
      <c r="A280" s="4" t="str">
        <f t="shared" si="20"/>
        <v>Oct</v>
      </c>
      <c r="B280" s="4">
        <v>279</v>
      </c>
      <c r="C280" s="3">
        <v>21829</v>
      </c>
      <c r="D280" s="4">
        <v>43</v>
      </c>
      <c r="E280" s="15">
        <f>$O$2+($O$3*B280)</f>
        <v>43.812939048375839</v>
      </c>
      <c r="F280" s="8">
        <v>1.0511712311031487</v>
      </c>
      <c r="G280" s="15">
        <f>E280*F280</f>
        <v>46.054901077728445</v>
      </c>
      <c r="H280" s="8">
        <f t="shared" si="21"/>
        <v>-3.0549010777284451</v>
      </c>
      <c r="I280" s="8">
        <f t="shared" si="22"/>
        <v>3.0549010777284451</v>
      </c>
      <c r="J280" s="8">
        <f t="shared" si="23"/>
        <v>9.3324205947064147</v>
      </c>
      <c r="K280" s="5">
        <f t="shared" si="24"/>
        <v>7.104421110996384E-2</v>
      </c>
    </row>
    <row r="281" spans="1:11" ht="15.75" customHeight="1">
      <c r="A281" s="4" t="str">
        <f t="shared" si="20"/>
        <v>Oct</v>
      </c>
      <c r="B281" s="4">
        <v>280</v>
      </c>
      <c r="C281" s="3">
        <v>21830</v>
      </c>
      <c r="D281" s="4">
        <v>42</v>
      </c>
      <c r="E281" s="15">
        <f>$O$2+($O$3*B281)</f>
        <v>43.832023601819245</v>
      </c>
      <c r="F281" s="8">
        <v>1.0511712311031487</v>
      </c>
      <c r="G281" s="15">
        <f>E281*F281</f>
        <v>46.074962211266602</v>
      </c>
      <c r="H281" s="8">
        <f t="shared" si="21"/>
        <v>-4.0749622112666017</v>
      </c>
      <c r="I281" s="8">
        <f t="shared" si="22"/>
        <v>4.0749622112666017</v>
      </c>
      <c r="J281" s="8">
        <f t="shared" si="23"/>
        <v>16.605317023250791</v>
      </c>
      <c r="K281" s="5">
        <f t="shared" si="24"/>
        <v>9.7022909792061948E-2</v>
      </c>
    </row>
    <row r="282" spans="1:11" ht="15.75" customHeight="1">
      <c r="A282" s="4" t="str">
        <f t="shared" si="20"/>
        <v>Oct</v>
      </c>
      <c r="B282" s="4">
        <v>281</v>
      </c>
      <c r="C282" s="3">
        <v>21831</v>
      </c>
      <c r="D282" s="4">
        <v>45</v>
      </c>
      <c r="E282" s="15">
        <f>$O$2+($O$3*B282)</f>
        <v>43.851108155262658</v>
      </c>
      <c r="F282" s="8">
        <v>1.0511712311031487</v>
      </c>
      <c r="G282" s="15">
        <f>E282*F282</f>
        <v>46.095023344804773</v>
      </c>
      <c r="H282" s="8">
        <f t="shared" si="21"/>
        <v>-1.0950233448047726</v>
      </c>
      <c r="I282" s="8">
        <f t="shared" si="22"/>
        <v>1.0950233448047726</v>
      </c>
      <c r="J282" s="8">
        <f t="shared" si="23"/>
        <v>1.1990761256674318</v>
      </c>
      <c r="K282" s="5">
        <f t="shared" si="24"/>
        <v>2.4333852106772726E-2</v>
      </c>
    </row>
    <row r="283" spans="1:11" ht="15.75" customHeight="1">
      <c r="A283" s="4" t="str">
        <f t="shared" si="20"/>
        <v>Oct</v>
      </c>
      <c r="B283" s="4">
        <v>282</v>
      </c>
      <c r="C283" s="3">
        <v>21832</v>
      </c>
      <c r="D283" s="4">
        <v>50</v>
      </c>
      <c r="E283" s="15">
        <f>$O$2+($O$3*B283)</f>
        <v>43.870192708706071</v>
      </c>
      <c r="F283" s="8">
        <v>1.0511712311031487</v>
      </c>
      <c r="G283" s="15">
        <f>E283*F283</f>
        <v>46.115084478342936</v>
      </c>
      <c r="H283" s="8">
        <f t="shared" si="21"/>
        <v>3.8849155216570637</v>
      </c>
      <c r="I283" s="8">
        <f t="shared" si="22"/>
        <v>3.8849155216570637</v>
      </c>
      <c r="J283" s="8">
        <f t="shared" si="23"/>
        <v>15.092568610411975</v>
      </c>
      <c r="K283" s="5">
        <f t="shared" si="24"/>
        <v>7.7698310433141279E-2</v>
      </c>
    </row>
    <row r="284" spans="1:11" ht="15.75" customHeight="1">
      <c r="A284" s="4" t="str">
        <f t="shared" si="20"/>
        <v>Oct</v>
      </c>
      <c r="B284" s="4">
        <v>283</v>
      </c>
      <c r="C284" s="3">
        <v>21833</v>
      </c>
      <c r="D284" s="4">
        <v>48</v>
      </c>
      <c r="E284" s="15">
        <f>$O$2+($O$3*B284)</f>
        <v>43.889277262149484</v>
      </c>
      <c r="F284" s="8">
        <v>1.0511712311031487</v>
      </c>
      <c r="G284" s="15">
        <f>E284*F284</f>
        <v>46.135145611881107</v>
      </c>
      <c r="H284" s="8">
        <f t="shared" si="21"/>
        <v>1.8648543881188928</v>
      </c>
      <c r="I284" s="8">
        <f t="shared" si="22"/>
        <v>1.8648543881188928</v>
      </c>
      <c r="J284" s="8">
        <f t="shared" si="23"/>
        <v>3.4776818888862899</v>
      </c>
      <c r="K284" s="5">
        <f t="shared" si="24"/>
        <v>3.8851133085810265E-2</v>
      </c>
    </row>
    <row r="285" spans="1:11" ht="15.75" customHeight="1">
      <c r="A285" s="4" t="str">
        <f t="shared" si="20"/>
        <v>Oct</v>
      </c>
      <c r="B285" s="4">
        <v>284</v>
      </c>
      <c r="C285" s="3">
        <v>21834</v>
      </c>
      <c r="D285" s="4">
        <v>43</v>
      </c>
      <c r="E285" s="15">
        <f>$O$2+($O$3*B285)</f>
        <v>43.908361815592897</v>
      </c>
      <c r="F285" s="8">
        <v>1.0511712311031487</v>
      </c>
      <c r="G285" s="15">
        <f>E285*F285</f>
        <v>46.155206745419271</v>
      </c>
      <c r="H285" s="8">
        <f t="shared" si="21"/>
        <v>-3.1552067454192709</v>
      </c>
      <c r="I285" s="8">
        <f t="shared" si="22"/>
        <v>3.1552067454192709</v>
      </c>
      <c r="J285" s="8">
        <f t="shared" si="23"/>
        <v>9.9553296063392676</v>
      </c>
      <c r="K285" s="5">
        <f t="shared" si="24"/>
        <v>7.3376901056262114E-2</v>
      </c>
    </row>
    <row r="286" spans="1:11" ht="15.75" customHeight="1">
      <c r="A286" s="4" t="str">
        <f t="shared" si="20"/>
        <v>Oct</v>
      </c>
      <c r="B286" s="4">
        <v>285</v>
      </c>
      <c r="C286" s="3">
        <v>21835</v>
      </c>
      <c r="D286" s="4">
        <v>40</v>
      </c>
      <c r="E286" s="15">
        <f>$O$2+($O$3*B286)</f>
        <v>43.927446369036311</v>
      </c>
      <c r="F286" s="8">
        <v>1.0511712311031487</v>
      </c>
      <c r="G286" s="15">
        <f>E286*F286</f>
        <v>46.175267878957435</v>
      </c>
      <c r="H286" s="8">
        <f t="shared" si="21"/>
        <v>-6.1752678789574347</v>
      </c>
      <c r="I286" s="8">
        <f t="shared" si="22"/>
        <v>6.1752678789574347</v>
      </c>
      <c r="J286" s="8">
        <f t="shared" si="23"/>
        <v>38.133933376883455</v>
      </c>
      <c r="K286" s="5">
        <f t="shared" si="24"/>
        <v>0.15438169697393586</v>
      </c>
    </row>
    <row r="287" spans="1:11" ht="15.75" customHeight="1">
      <c r="A287" s="4" t="str">
        <f t="shared" si="20"/>
        <v>Oct</v>
      </c>
      <c r="B287" s="4">
        <v>286</v>
      </c>
      <c r="C287" s="3">
        <v>21836</v>
      </c>
      <c r="D287" s="4">
        <v>59</v>
      </c>
      <c r="E287" s="15">
        <f>$O$2+($O$3*B287)</f>
        <v>43.946530922479724</v>
      </c>
      <c r="F287" s="8">
        <v>1.0511712311031487</v>
      </c>
      <c r="G287" s="15">
        <f>E287*F287</f>
        <v>46.195329012495606</v>
      </c>
      <c r="H287" s="8">
        <f t="shared" si="21"/>
        <v>12.804670987504394</v>
      </c>
      <c r="I287" s="8">
        <f t="shared" si="22"/>
        <v>12.804670987504394</v>
      </c>
      <c r="J287" s="8">
        <f t="shared" si="23"/>
        <v>163.95959909823677</v>
      </c>
      <c r="K287" s="5">
        <f t="shared" si="24"/>
        <v>0.21702832182210838</v>
      </c>
    </row>
    <row r="288" spans="1:11" ht="15.75" customHeight="1">
      <c r="A288" s="4" t="str">
        <f t="shared" si="20"/>
        <v>Oct</v>
      </c>
      <c r="B288" s="4">
        <v>287</v>
      </c>
      <c r="C288" s="3">
        <v>21837</v>
      </c>
      <c r="D288" s="4">
        <v>41</v>
      </c>
      <c r="E288" s="15">
        <f>$O$2+($O$3*B288)</f>
        <v>43.965615475923137</v>
      </c>
      <c r="F288" s="8">
        <v>1.0511712311031487</v>
      </c>
      <c r="G288" s="15">
        <f>E288*F288</f>
        <v>46.215390146033769</v>
      </c>
      <c r="H288" s="8">
        <f t="shared" si="21"/>
        <v>-5.2153901460337693</v>
      </c>
      <c r="I288" s="8">
        <f t="shared" si="22"/>
        <v>5.2153901460337693</v>
      </c>
      <c r="J288" s="8">
        <f t="shared" si="23"/>
        <v>27.200294375346139</v>
      </c>
      <c r="K288" s="5">
        <f t="shared" si="24"/>
        <v>0.12720463770814072</v>
      </c>
    </row>
    <row r="289" spans="1:11" ht="15.75" customHeight="1">
      <c r="A289" s="4" t="str">
        <f t="shared" si="20"/>
        <v>Oct</v>
      </c>
      <c r="B289" s="4">
        <v>288</v>
      </c>
      <c r="C289" s="3">
        <v>21838</v>
      </c>
      <c r="D289" s="4">
        <v>42</v>
      </c>
      <c r="E289" s="15">
        <f>$O$2+($O$3*B289)</f>
        <v>43.98470002936655</v>
      </c>
      <c r="F289" s="8">
        <v>1.0511712311031487</v>
      </c>
      <c r="G289" s="15">
        <f>E289*F289</f>
        <v>46.23545127957194</v>
      </c>
      <c r="H289" s="8">
        <f t="shared" si="21"/>
        <v>-4.2354512795719401</v>
      </c>
      <c r="I289" s="8">
        <f t="shared" si="22"/>
        <v>4.2354512795719401</v>
      </c>
      <c r="J289" s="8">
        <f t="shared" si="23"/>
        <v>17.939047541627584</v>
      </c>
      <c r="K289" s="5">
        <f t="shared" si="24"/>
        <v>0.1008440780850462</v>
      </c>
    </row>
    <row r="290" spans="1:11" ht="15.75" customHeight="1">
      <c r="A290" s="4" t="str">
        <f t="shared" si="20"/>
        <v>Oct</v>
      </c>
      <c r="B290" s="4">
        <v>289</v>
      </c>
      <c r="C290" s="3">
        <v>21839</v>
      </c>
      <c r="D290" s="4">
        <v>51</v>
      </c>
      <c r="E290" s="15">
        <f>$O$2+($O$3*B290)</f>
        <v>44.003784582809963</v>
      </c>
      <c r="F290" s="8">
        <v>1.0511712311031487</v>
      </c>
      <c r="G290" s="15">
        <f>E290*F290</f>
        <v>46.255512413110104</v>
      </c>
      <c r="H290" s="8">
        <f t="shared" si="21"/>
        <v>4.7444875868898961</v>
      </c>
      <c r="I290" s="8">
        <f t="shared" si="22"/>
        <v>4.7444875868898961</v>
      </c>
      <c r="J290" s="8">
        <f t="shared" si="23"/>
        <v>22.510162462152309</v>
      </c>
      <c r="K290" s="5">
        <f t="shared" si="24"/>
        <v>9.3029168370390117E-2</v>
      </c>
    </row>
    <row r="291" spans="1:11" ht="15.75" customHeight="1">
      <c r="A291" s="4" t="str">
        <f t="shared" si="20"/>
        <v>Oct</v>
      </c>
      <c r="B291" s="4">
        <v>290</v>
      </c>
      <c r="C291" s="3">
        <v>21840</v>
      </c>
      <c r="D291" s="4">
        <v>49</v>
      </c>
      <c r="E291" s="15">
        <f>$O$2+($O$3*B291)</f>
        <v>44.022869136253377</v>
      </c>
      <c r="F291" s="8">
        <v>1.0511712311031487</v>
      </c>
      <c r="G291" s="15">
        <f>E291*F291</f>
        <v>46.275573546648268</v>
      </c>
      <c r="H291" s="8">
        <f t="shared" si="21"/>
        <v>2.7244264533517324</v>
      </c>
      <c r="I291" s="8">
        <f t="shared" si="22"/>
        <v>2.7244264533517324</v>
      </c>
      <c r="J291" s="8">
        <f t="shared" si="23"/>
        <v>7.422499499722699</v>
      </c>
      <c r="K291" s="5">
        <f t="shared" si="24"/>
        <v>5.560053986432107E-2</v>
      </c>
    </row>
    <row r="292" spans="1:11" ht="15.75" customHeight="1">
      <c r="A292" s="4" t="str">
        <f t="shared" si="20"/>
        <v>Oct</v>
      </c>
      <c r="B292" s="4">
        <v>291</v>
      </c>
      <c r="C292" s="3">
        <v>21841</v>
      </c>
      <c r="D292" s="4">
        <v>45</v>
      </c>
      <c r="E292" s="15">
        <f>$O$2+($O$3*B292)</f>
        <v>44.041953689696783</v>
      </c>
      <c r="F292" s="8">
        <v>1.0511712311031487</v>
      </c>
      <c r="G292" s="15">
        <f>E292*F292</f>
        <v>46.295634680186431</v>
      </c>
      <c r="H292" s="8">
        <f t="shared" si="21"/>
        <v>-1.2956346801864314</v>
      </c>
      <c r="I292" s="8">
        <f t="shared" si="22"/>
        <v>1.2956346801864314</v>
      </c>
      <c r="J292" s="8">
        <f t="shared" si="23"/>
        <v>1.6786692245017962</v>
      </c>
      <c r="K292" s="5">
        <f t="shared" si="24"/>
        <v>2.8791881781920697E-2</v>
      </c>
    </row>
    <row r="293" spans="1:11" ht="15.75" customHeight="1">
      <c r="A293" s="4" t="str">
        <f t="shared" si="20"/>
        <v>Oct</v>
      </c>
      <c r="B293" s="4">
        <v>292</v>
      </c>
      <c r="C293" s="3">
        <v>21842</v>
      </c>
      <c r="D293" s="4">
        <v>43</v>
      </c>
      <c r="E293" s="15">
        <f>$O$2+($O$3*B293)</f>
        <v>44.061038243140203</v>
      </c>
      <c r="F293" s="8">
        <v>1.0511712311031487</v>
      </c>
      <c r="G293" s="15">
        <f>E293*F293</f>
        <v>46.315695813724602</v>
      </c>
      <c r="H293" s="8">
        <f t="shared" si="21"/>
        <v>-3.3156958137246022</v>
      </c>
      <c r="I293" s="8">
        <f t="shared" si="22"/>
        <v>3.3156958137246022</v>
      </c>
      <c r="J293" s="8">
        <f t="shared" si="23"/>
        <v>10.993838729150852</v>
      </c>
      <c r="K293" s="5">
        <f t="shared" si="24"/>
        <v>7.7109204970339587E-2</v>
      </c>
    </row>
    <row r="294" spans="1:11" ht="15.75" customHeight="1">
      <c r="A294" s="4" t="str">
        <f t="shared" si="20"/>
        <v>Oct</v>
      </c>
      <c r="B294" s="4">
        <v>293</v>
      </c>
      <c r="C294" s="3">
        <v>21843</v>
      </c>
      <c r="D294" s="4">
        <v>42</v>
      </c>
      <c r="E294" s="15">
        <f>$O$2+($O$3*B294)</f>
        <v>44.080122796583609</v>
      </c>
      <c r="F294" s="8">
        <v>1.0511712311031487</v>
      </c>
      <c r="G294" s="15">
        <f>E294*F294</f>
        <v>46.335756947262759</v>
      </c>
      <c r="H294" s="8">
        <f t="shared" si="21"/>
        <v>-4.3357569472627588</v>
      </c>
      <c r="I294" s="8">
        <f t="shared" si="22"/>
        <v>4.3357569472627588</v>
      </c>
      <c r="J294" s="8">
        <f t="shared" si="23"/>
        <v>18.798788305737279</v>
      </c>
      <c r="K294" s="5">
        <f t="shared" si="24"/>
        <v>0.10323230826816092</v>
      </c>
    </row>
    <row r="295" spans="1:11" ht="15.75" customHeight="1">
      <c r="A295" s="4" t="str">
        <f t="shared" si="20"/>
        <v>Oct</v>
      </c>
      <c r="B295" s="4">
        <v>294</v>
      </c>
      <c r="C295" s="3">
        <v>21844</v>
      </c>
      <c r="D295" s="4">
        <v>38</v>
      </c>
      <c r="E295" s="15">
        <f>$O$2+($O$3*B295)</f>
        <v>44.099207350027022</v>
      </c>
      <c r="F295" s="8">
        <v>1.0511712311031487</v>
      </c>
      <c r="G295" s="15">
        <f>E295*F295</f>
        <v>46.35581808080093</v>
      </c>
      <c r="H295" s="8">
        <f t="shared" si="21"/>
        <v>-8.3558180808009297</v>
      </c>
      <c r="I295" s="8">
        <f t="shared" si="22"/>
        <v>8.3558180808009297</v>
      </c>
      <c r="J295" s="8">
        <f t="shared" si="23"/>
        <v>69.819695799439728</v>
      </c>
      <c r="K295" s="5">
        <f t="shared" si="24"/>
        <v>0.21988994949476132</v>
      </c>
    </row>
    <row r="296" spans="1:11" ht="15.75" customHeight="1">
      <c r="A296" s="4" t="str">
        <f t="shared" si="20"/>
        <v>Oct</v>
      </c>
      <c r="B296" s="4">
        <v>295</v>
      </c>
      <c r="C296" s="3">
        <v>21845</v>
      </c>
      <c r="D296" s="4">
        <v>47</v>
      </c>
      <c r="E296" s="15">
        <f>$O$2+($O$3*B296)</f>
        <v>44.118291903470435</v>
      </c>
      <c r="F296" s="8">
        <v>1.0511712311031487</v>
      </c>
      <c r="G296" s="15">
        <f>E296*F296</f>
        <v>46.375879214339093</v>
      </c>
      <c r="H296" s="8">
        <f t="shared" si="21"/>
        <v>0.62412078566090656</v>
      </c>
      <c r="I296" s="8">
        <f t="shared" si="22"/>
        <v>0.62412078566090656</v>
      </c>
      <c r="J296" s="8">
        <f t="shared" si="23"/>
        <v>0.38952675509398726</v>
      </c>
      <c r="K296" s="5">
        <f t="shared" si="24"/>
        <v>1.3279165652359714E-2</v>
      </c>
    </row>
    <row r="297" spans="1:11" ht="15.75" customHeight="1">
      <c r="A297" s="4" t="str">
        <f t="shared" si="20"/>
        <v>Oct</v>
      </c>
      <c r="B297" s="4">
        <v>296</v>
      </c>
      <c r="C297" s="3">
        <v>21846</v>
      </c>
      <c r="D297" s="4">
        <v>38</v>
      </c>
      <c r="E297" s="15">
        <f>$O$2+($O$3*B297)</f>
        <v>44.137376456913849</v>
      </c>
      <c r="F297" s="8">
        <v>1.0511712311031487</v>
      </c>
      <c r="G297" s="15">
        <f>E297*F297</f>
        <v>46.395940347877264</v>
      </c>
      <c r="H297" s="8">
        <f t="shared" si="21"/>
        <v>-8.3959403478772643</v>
      </c>
      <c r="I297" s="8">
        <f t="shared" si="22"/>
        <v>8.3959403478772643</v>
      </c>
      <c r="J297" s="8">
        <f t="shared" si="23"/>
        <v>70.491814325113396</v>
      </c>
      <c r="K297" s="5">
        <f t="shared" si="24"/>
        <v>0.22094579862834907</v>
      </c>
    </row>
    <row r="298" spans="1:11" ht="15.75" customHeight="1">
      <c r="A298" s="4" t="str">
        <f t="shared" si="20"/>
        <v>Oct</v>
      </c>
      <c r="B298" s="4">
        <v>297</v>
      </c>
      <c r="C298" s="3">
        <v>21847</v>
      </c>
      <c r="D298" s="4">
        <v>36</v>
      </c>
      <c r="E298" s="15">
        <f>$O$2+($O$3*B298)</f>
        <v>44.156461010357262</v>
      </c>
      <c r="F298" s="8">
        <v>1.0511712311031487</v>
      </c>
      <c r="G298" s="15">
        <f>E298*F298</f>
        <v>46.416001481415428</v>
      </c>
      <c r="H298" s="8">
        <f t="shared" si="21"/>
        <v>-10.416001481415428</v>
      </c>
      <c r="I298" s="8">
        <f t="shared" si="22"/>
        <v>10.416001481415428</v>
      </c>
      <c r="J298" s="8">
        <f t="shared" si="23"/>
        <v>108.49308686084839</v>
      </c>
      <c r="K298" s="5">
        <f t="shared" si="24"/>
        <v>0.2893333744837619</v>
      </c>
    </row>
    <row r="299" spans="1:11" ht="15.75" customHeight="1">
      <c r="A299" s="4" t="str">
        <f t="shared" si="20"/>
        <v>Oct</v>
      </c>
      <c r="B299" s="4">
        <v>298</v>
      </c>
      <c r="C299" s="3">
        <v>21848</v>
      </c>
      <c r="D299" s="4">
        <v>42</v>
      </c>
      <c r="E299" s="15">
        <f>$O$2+($O$3*B299)</f>
        <v>44.175545563800675</v>
      </c>
      <c r="F299" s="8">
        <v>1.0511712311031487</v>
      </c>
      <c r="G299" s="15">
        <f>E299*F299</f>
        <v>46.436062614953592</v>
      </c>
      <c r="H299" s="8">
        <f t="shared" si="21"/>
        <v>-4.4360626149535918</v>
      </c>
      <c r="I299" s="8">
        <f t="shared" si="22"/>
        <v>4.4360626149535918</v>
      </c>
      <c r="J299" s="8">
        <f t="shared" si="23"/>
        <v>19.678651523788897</v>
      </c>
      <c r="K299" s="5">
        <f t="shared" si="24"/>
        <v>0.10562053845127599</v>
      </c>
    </row>
    <row r="300" spans="1:11" ht="15.75" customHeight="1">
      <c r="A300" s="4" t="str">
        <f t="shared" si="20"/>
        <v>Oct</v>
      </c>
      <c r="B300" s="4">
        <v>299</v>
      </c>
      <c r="C300" s="3">
        <v>21849</v>
      </c>
      <c r="D300" s="4">
        <v>35</v>
      </c>
      <c r="E300" s="15">
        <f>$O$2+($O$3*B300)</f>
        <v>44.194630117244088</v>
      </c>
      <c r="F300" s="8">
        <v>1.0511712311031487</v>
      </c>
      <c r="G300" s="15">
        <f>E300*F300</f>
        <v>46.456123748491763</v>
      </c>
      <c r="H300" s="8">
        <f t="shared" si="21"/>
        <v>-11.456123748491763</v>
      </c>
      <c r="I300" s="8">
        <f t="shared" si="22"/>
        <v>11.456123748491763</v>
      </c>
      <c r="J300" s="8">
        <f t="shared" si="23"/>
        <v>131.24277134075695</v>
      </c>
      <c r="K300" s="5">
        <f t="shared" si="24"/>
        <v>0.32731782138547894</v>
      </c>
    </row>
    <row r="301" spans="1:11" ht="15.75" customHeight="1">
      <c r="A301" s="4" t="str">
        <f t="shared" si="20"/>
        <v>Oct</v>
      </c>
      <c r="B301" s="4">
        <v>300</v>
      </c>
      <c r="C301" s="3">
        <v>21850</v>
      </c>
      <c r="D301" s="4">
        <v>28</v>
      </c>
      <c r="E301" s="15">
        <f>$O$2+($O$3*B301)</f>
        <v>44.213714670687501</v>
      </c>
      <c r="F301" s="8">
        <v>1.0511712311031487</v>
      </c>
      <c r="G301" s="15">
        <f>E301*F301</f>
        <v>46.476184882029926</v>
      </c>
      <c r="H301" s="8">
        <f t="shared" si="21"/>
        <v>-18.476184882029926</v>
      </c>
      <c r="I301" s="8">
        <f t="shared" si="22"/>
        <v>18.476184882029926</v>
      </c>
      <c r="J301" s="8">
        <f t="shared" si="23"/>
        <v>341.3694077949512</v>
      </c>
      <c r="K301" s="5">
        <f t="shared" si="24"/>
        <v>0.65986374578678308</v>
      </c>
    </row>
    <row r="302" spans="1:11" ht="15.75" customHeight="1">
      <c r="A302" s="4" t="str">
        <f t="shared" si="20"/>
        <v>Oct</v>
      </c>
      <c r="B302" s="4">
        <v>301</v>
      </c>
      <c r="C302" s="3">
        <v>21851</v>
      </c>
      <c r="D302" s="4">
        <v>44</v>
      </c>
      <c r="E302" s="15">
        <f>$O$2+($O$3*B302)</f>
        <v>44.232799224130915</v>
      </c>
      <c r="F302" s="8">
        <v>1.0511712311031487</v>
      </c>
      <c r="G302" s="15">
        <f>E302*F302</f>
        <v>46.496246015568097</v>
      </c>
      <c r="H302" s="8">
        <f t="shared" si="21"/>
        <v>-2.4962460155680972</v>
      </c>
      <c r="I302" s="8">
        <f t="shared" si="22"/>
        <v>2.4962460155680972</v>
      </c>
      <c r="J302" s="8">
        <f t="shared" si="23"/>
        <v>6.2312441702396013</v>
      </c>
      <c r="K302" s="5">
        <f t="shared" si="24"/>
        <v>5.6732863990184026E-2</v>
      </c>
    </row>
    <row r="303" spans="1:11" ht="15.75" customHeight="1">
      <c r="A303" s="4" t="str">
        <f t="shared" si="20"/>
        <v>Oct</v>
      </c>
      <c r="B303" s="4">
        <v>302</v>
      </c>
      <c r="C303" s="3">
        <v>21852</v>
      </c>
      <c r="D303" s="4">
        <v>36</v>
      </c>
      <c r="E303" s="15">
        <f>$O$2+($O$3*B303)</f>
        <v>44.251883777574328</v>
      </c>
      <c r="F303" s="8">
        <v>1.0511712311031487</v>
      </c>
      <c r="G303" s="15">
        <f>E303*F303</f>
        <v>46.516307149106261</v>
      </c>
      <c r="H303" s="8">
        <f t="shared" si="21"/>
        <v>-10.516307149106261</v>
      </c>
      <c r="I303" s="8">
        <f t="shared" si="22"/>
        <v>10.516307149106261</v>
      </c>
      <c r="J303" s="8">
        <f t="shared" si="23"/>
        <v>110.59271605434346</v>
      </c>
      <c r="K303" s="5">
        <f t="shared" si="24"/>
        <v>0.29211964303072946</v>
      </c>
    </row>
    <row r="304" spans="1:11" ht="15.75" customHeight="1">
      <c r="A304" s="4" t="str">
        <f t="shared" si="20"/>
        <v>Oct</v>
      </c>
      <c r="B304" s="4">
        <v>303</v>
      </c>
      <c r="C304" s="3">
        <v>21853</v>
      </c>
      <c r="D304" s="4">
        <v>45</v>
      </c>
      <c r="E304" s="15">
        <f>$O$2+($O$3*B304)</f>
        <v>44.270968331017741</v>
      </c>
      <c r="F304" s="8">
        <v>1.0511712311031487</v>
      </c>
      <c r="G304" s="15">
        <f>E304*F304</f>
        <v>46.536368282644425</v>
      </c>
      <c r="H304" s="8">
        <f t="shared" si="21"/>
        <v>-1.5363682826444247</v>
      </c>
      <c r="I304" s="8">
        <f t="shared" si="22"/>
        <v>1.5363682826444247</v>
      </c>
      <c r="J304" s="8">
        <f t="shared" si="23"/>
        <v>2.360427499915779</v>
      </c>
      <c r="K304" s="5">
        <f t="shared" si="24"/>
        <v>3.4141517392098329E-2</v>
      </c>
    </row>
    <row r="305" spans="1:11" ht="15.75" customHeight="1">
      <c r="A305" s="4" t="str">
        <f t="shared" si="20"/>
        <v>Oct</v>
      </c>
      <c r="B305" s="4">
        <v>304</v>
      </c>
      <c r="C305" s="3">
        <v>21854</v>
      </c>
      <c r="D305" s="4">
        <v>46</v>
      </c>
      <c r="E305" s="15">
        <f>$O$2+($O$3*B305)</f>
        <v>44.290052884461147</v>
      </c>
      <c r="F305" s="8">
        <v>1.0511712311031487</v>
      </c>
      <c r="G305" s="15">
        <f>E305*F305</f>
        <v>46.556429416182588</v>
      </c>
      <c r="H305" s="8">
        <f t="shared" si="21"/>
        <v>-0.55642941618258845</v>
      </c>
      <c r="I305" s="8">
        <f t="shared" si="22"/>
        <v>0.55642941618258845</v>
      </c>
      <c r="J305" s="8">
        <f t="shared" si="23"/>
        <v>0.30961369519329623</v>
      </c>
      <c r="K305" s="5">
        <f t="shared" si="24"/>
        <v>1.2096291656143227E-2</v>
      </c>
    </row>
    <row r="306" spans="1:11" ht="15.75" customHeight="1">
      <c r="A306" s="4" t="str">
        <f t="shared" si="20"/>
        <v>Nov</v>
      </c>
      <c r="B306" s="4">
        <v>305</v>
      </c>
      <c r="C306" s="3">
        <v>21855</v>
      </c>
      <c r="D306" s="4">
        <v>48</v>
      </c>
      <c r="E306" s="15">
        <f>$O$2+($O$3*B306)</f>
        <v>44.30913743790456</v>
      </c>
      <c r="F306" s="8">
        <f>VLOOKUP(A306,V7:Y19,4,FALSE)</f>
        <v>1.0719180317170267</v>
      </c>
      <c r="G306" s="15">
        <f>E306*F306</f>
        <v>47.495763389517876</v>
      </c>
      <c r="H306" s="8">
        <f t="shared" si="21"/>
        <v>0.50423661048212409</v>
      </c>
      <c r="I306" s="8">
        <f t="shared" si="22"/>
        <v>0.50423661048212409</v>
      </c>
      <c r="J306" s="8">
        <f t="shared" si="23"/>
        <v>0.25425455935050134</v>
      </c>
      <c r="K306" s="5">
        <f t="shared" si="24"/>
        <v>1.0504929385044251E-2</v>
      </c>
    </row>
    <row r="307" spans="1:11" ht="15.75" customHeight="1">
      <c r="A307" s="4" t="str">
        <f t="shared" si="20"/>
        <v>Nov</v>
      </c>
      <c r="B307" s="4">
        <v>306</v>
      </c>
      <c r="C307" s="3">
        <v>21856</v>
      </c>
      <c r="D307" s="4">
        <v>49</v>
      </c>
      <c r="E307" s="15">
        <f>$O$2+($O$3*B307)</f>
        <v>44.328221991347974</v>
      </c>
      <c r="F307" s="8">
        <v>1.0719180317170267</v>
      </c>
      <c r="G307" s="15">
        <f>E307*F307</f>
        <v>47.516220466481137</v>
      </c>
      <c r="H307" s="8">
        <f t="shared" si="21"/>
        <v>1.483779533518863</v>
      </c>
      <c r="I307" s="8">
        <f t="shared" si="22"/>
        <v>1.483779533518863</v>
      </c>
      <c r="J307" s="8">
        <f t="shared" si="23"/>
        <v>2.2016017040894549</v>
      </c>
      <c r="K307" s="5">
        <f t="shared" si="24"/>
        <v>3.0281214969772714E-2</v>
      </c>
    </row>
    <row r="308" spans="1:11" ht="15.75" customHeight="1">
      <c r="A308" s="4" t="str">
        <f t="shared" si="20"/>
        <v>Nov</v>
      </c>
      <c r="B308" s="4">
        <v>307</v>
      </c>
      <c r="C308" s="3">
        <v>21857</v>
      </c>
      <c r="D308" s="4">
        <v>43</v>
      </c>
      <c r="E308" s="15">
        <f>$O$2+($O$3*B308)</f>
        <v>44.347306544791387</v>
      </c>
      <c r="F308" s="8">
        <v>1.0719180317170267</v>
      </c>
      <c r="G308" s="15">
        <f>E308*F308</f>
        <v>47.536677543444398</v>
      </c>
      <c r="H308" s="8">
        <f t="shared" si="21"/>
        <v>-4.536677543444398</v>
      </c>
      <c r="I308" s="8">
        <f t="shared" si="22"/>
        <v>4.536677543444398</v>
      </c>
      <c r="J308" s="8">
        <f t="shared" si="23"/>
        <v>20.581443133192696</v>
      </c>
      <c r="K308" s="5">
        <f t="shared" si="24"/>
        <v>0.10550412891731158</v>
      </c>
    </row>
    <row r="309" spans="1:11" ht="15.75" customHeight="1">
      <c r="A309" s="4" t="str">
        <f t="shared" si="20"/>
        <v>Nov</v>
      </c>
      <c r="B309" s="4">
        <v>308</v>
      </c>
      <c r="C309" s="3">
        <v>21858</v>
      </c>
      <c r="D309" s="4">
        <v>42</v>
      </c>
      <c r="E309" s="15">
        <f>$O$2+($O$3*B309)</f>
        <v>44.3663910982348</v>
      </c>
      <c r="F309" s="8">
        <v>1.0719180317170267</v>
      </c>
      <c r="G309" s="15">
        <f>E309*F309</f>
        <v>47.557134620407659</v>
      </c>
      <c r="H309" s="8">
        <f t="shared" si="21"/>
        <v>-5.557134620407659</v>
      </c>
      <c r="I309" s="8">
        <f t="shared" si="22"/>
        <v>5.557134620407659</v>
      </c>
      <c r="J309" s="8">
        <f t="shared" si="23"/>
        <v>30.881745189333376</v>
      </c>
      <c r="K309" s="5">
        <f t="shared" si="24"/>
        <v>0.13231272905732522</v>
      </c>
    </row>
    <row r="310" spans="1:11" ht="15.75" customHeight="1">
      <c r="A310" s="4" t="str">
        <f t="shared" si="20"/>
        <v>Nov</v>
      </c>
      <c r="B310" s="4">
        <v>309</v>
      </c>
      <c r="C310" s="3">
        <v>21859</v>
      </c>
      <c r="D310" s="4">
        <v>59</v>
      </c>
      <c r="E310" s="15">
        <f>$O$2+($O$3*B310)</f>
        <v>44.385475651678213</v>
      </c>
      <c r="F310" s="8">
        <v>1.0719180317170267</v>
      </c>
      <c r="G310" s="15">
        <f>E310*F310</f>
        <v>47.577591697370927</v>
      </c>
      <c r="H310" s="8">
        <f t="shared" si="21"/>
        <v>11.422408302629073</v>
      </c>
      <c r="I310" s="8">
        <f t="shared" si="22"/>
        <v>11.422408302629073</v>
      </c>
      <c r="J310" s="8">
        <f t="shared" si="23"/>
        <v>130.47141143196959</v>
      </c>
      <c r="K310" s="5">
        <f t="shared" si="24"/>
        <v>0.19360014072252665</v>
      </c>
    </row>
    <row r="311" spans="1:11" ht="15.75" customHeight="1">
      <c r="A311" s="4" t="str">
        <f t="shared" si="20"/>
        <v>Nov</v>
      </c>
      <c r="B311" s="4">
        <v>310</v>
      </c>
      <c r="C311" s="3">
        <v>21860</v>
      </c>
      <c r="D311" s="4">
        <v>45</v>
      </c>
      <c r="E311" s="15">
        <f>$O$2+($O$3*B311)</f>
        <v>44.404560205121626</v>
      </c>
      <c r="F311" s="8">
        <v>1.0719180317170267</v>
      </c>
      <c r="G311" s="15">
        <f>E311*F311</f>
        <v>47.598048774334188</v>
      </c>
      <c r="H311" s="8">
        <f t="shared" si="21"/>
        <v>-2.5980487743341882</v>
      </c>
      <c r="I311" s="8">
        <f t="shared" si="22"/>
        <v>2.5980487743341882</v>
      </c>
      <c r="J311" s="8">
        <f t="shared" si="23"/>
        <v>6.7498574338193782</v>
      </c>
      <c r="K311" s="5">
        <f t="shared" si="24"/>
        <v>5.7734417207426406E-2</v>
      </c>
    </row>
    <row r="312" spans="1:11" ht="15.75" customHeight="1">
      <c r="A312" s="4" t="str">
        <f t="shared" si="20"/>
        <v>Nov</v>
      </c>
      <c r="B312" s="4">
        <v>311</v>
      </c>
      <c r="C312" s="3">
        <v>21861</v>
      </c>
      <c r="D312" s="4">
        <v>52</v>
      </c>
      <c r="E312" s="15">
        <f>$O$2+($O$3*B312)</f>
        <v>44.42364475856504</v>
      </c>
      <c r="F312" s="8">
        <v>1.0719180317170267</v>
      </c>
      <c r="G312" s="15">
        <f>E312*F312</f>
        <v>47.618505851297449</v>
      </c>
      <c r="H312" s="8">
        <f t="shared" si="21"/>
        <v>4.3814941487025507</v>
      </c>
      <c r="I312" s="8">
        <f t="shared" si="22"/>
        <v>4.3814941487025507</v>
      </c>
      <c r="J312" s="8">
        <f t="shared" si="23"/>
        <v>19.19749097511469</v>
      </c>
      <c r="K312" s="5">
        <f t="shared" si="24"/>
        <v>8.4259502859664437E-2</v>
      </c>
    </row>
    <row r="313" spans="1:11" ht="15.75" customHeight="1">
      <c r="A313" s="4" t="str">
        <f t="shared" si="20"/>
        <v>Nov</v>
      </c>
      <c r="B313" s="4">
        <v>312</v>
      </c>
      <c r="C313" s="3">
        <v>21862</v>
      </c>
      <c r="D313" s="4">
        <v>46</v>
      </c>
      <c r="E313" s="15">
        <f>$O$2+($O$3*B313)</f>
        <v>44.442729312008453</v>
      </c>
      <c r="F313" s="8">
        <v>1.0719180317170267</v>
      </c>
      <c r="G313" s="15">
        <f>E313*F313</f>
        <v>47.63896292826071</v>
      </c>
      <c r="H313" s="8">
        <f t="shared" si="21"/>
        <v>-1.6389629282607103</v>
      </c>
      <c r="I313" s="8">
        <f t="shared" si="22"/>
        <v>1.6389629282607103</v>
      </c>
      <c r="J313" s="8">
        <f t="shared" si="23"/>
        <v>2.6861994802129221</v>
      </c>
      <c r="K313" s="5">
        <f t="shared" si="24"/>
        <v>3.5629628875232834E-2</v>
      </c>
    </row>
    <row r="314" spans="1:11" ht="15.75" customHeight="1">
      <c r="A314" s="4" t="str">
        <f t="shared" si="20"/>
        <v>Nov</v>
      </c>
      <c r="B314" s="4">
        <v>313</v>
      </c>
      <c r="C314" s="3">
        <v>21863</v>
      </c>
      <c r="D314" s="4">
        <v>42</v>
      </c>
      <c r="E314" s="15">
        <f>$O$2+($O$3*B314)</f>
        <v>44.461813865451866</v>
      </c>
      <c r="F314" s="8">
        <v>1.0719180317170267</v>
      </c>
      <c r="G314" s="15">
        <f>E314*F314</f>
        <v>47.659420005223971</v>
      </c>
      <c r="H314" s="8">
        <f t="shared" si="21"/>
        <v>-5.6594200052239714</v>
      </c>
      <c r="I314" s="8">
        <f t="shared" si="22"/>
        <v>5.6594200052239714</v>
      </c>
      <c r="J314" s="8">
        <f t="shared" si="23"/>
        <v>32.029034795529299</v>
      </c>
      <c r="K314" s="5">
        <f t="shared" si="24"/>
        <v>0.13474809536247551</v>
      </c>
    </row>
    <row r="315" spans="1:11" ht="15.75" customHeight="1">
      <c r="A315" s="4" t="str">
        <f t="shared" si="20"/>
        <v>Nov</v>
      </c>
      <c r="B315" s="4">
        <v>314</v>
      </c>
      <c r="C315" s="3">
        <v>21864</v>
      </c>
      <c r="D315" s="4">
        <v>40</v>
      </c>
      <c r="E315" s="15">
        <f>$O$2+($O$3*B315)</f>
        <v>44.480898418895279</v>
      </c>
      <c r="F315" s="8">
        <v>1.0719180317170267</v>
      </c>
      <c r="G315" s="15">
        <f>E315*F315</f>
        <v>47.679877082187232</v>
      </c>
      <c r="H315" s="8">
        <f t="shared" si="21"/>
        <v>-7.6798770821872324</v>
      </c>
      <c r="I315" s="8">
        <f t="shared" si="22"/>
        <v>7.6798770821872324</v>
      </c>
      <c r="J315" s="8">
        <f t="shared" si="23"/>
        <v>58.980511997504678</v>
      </c>
      <c r="K315" s="5">
        <f t="shared" si="24"/>
        <v>0.1919969270546808</v>
      </c>
    </row>
    <row r="316" spans="1:11" ht="15.75" customHeight="1">
      <c r="A316" s="4" t="str">
        <f t="shared" si="20"/>
        <v>Nov</v>
      </c>
      <c r="B316" s="4">
        <v>315</v>
      </c>
      <c r="C316" s="3">
        <v>21865</v>
      </c>
      <c r="D316" s="4">
        <v>40</v>
      </c>
      <c r="E316" s="15">
        <f>$O$2+($O$3*B316)</f>
        <v>44.499982972338692</v>
      </c>
      <c r="F316" s="8">
        <v>1.0719180317170267</v>
      </c>
      <c r="G316" s="15">
        <f>E316*F316</f>
        <v>47.700334159150493</v>
      </c>
      <c r="H316" s="8">
        <f t="shared" si="21"/>
        <v>-7.7003341591504935</v>
      </c>
      <c r="I316" s="8">
        <f t="shared" si="22"/>
        <v>7.7003341591504935</v>
      </c>
      <c r="J316" s="8">
        <f t="shared" si="23"/>
        <v>59.29514616257994</v>
      </c>
      <c r="K316" s="5">
        <f t="shared" si="24"/>
        <v>0.19250835397876234</v>
      </c>
    </row>
    <row r="317" spans="1:11" ht="15.75" customHeight="1">
      <c r="A317" s="4" t="str">
        <f t="shared" si="20"/>
        <v>Nov</v>
      </c>
      <c r="B317" s="4">
        <v>316</v>
      </c>
      <c r="C317" s="3">
        <v>21866</v>
      </c>
      <c r="D317" s="4">
        <v>45</v>
      </c>
      <c r="E317" s="15">
        <f>$O$2+($O$3*B317)</f>
        <v>44.519067525782106</v>
      </c>
      <c r="F317" s="8">
        <v>1.0719180317170267</v>
      </c>
      <c r="G317" s="15">
        <f>E317*F317</f>
        <v>47.720791236113755</v>
      </c>
      <c r="H317" s="8">
        <f t="shared" si="21"/>
        <v>-2.7207912361137545</v>
      </c>
      <c r="I317" s="8">
        <f t="shared" si="22"/>
        <v>2.7207912361137545</v>
      </c>
      <c r="J317" s="8">
        <f t="shared" si="23"/>
        <v>7.4027049505134119</v>
      </c>
      <c r="K317" s="5">
        <f t="shared" si="24"/>
        <v>6.0462027469194546E-2</v>
      </c>
    </row>
    <row r="318" spans="1:11" ht="15.75" customHeight="1">
      <c r="A318" s="4" t="str">
        <f t="shared" si="20"/>
        <v>Nov</v>
      </c>
      <c r="B318" s="4">
        <v>317</v>
      </c>
      <c r="C318" s="3">
        <v>21867</v>
      </c>
      <c r="D318" s="4">
        <v>35</v>
      </c>
      <c r="E318" s="15">
        <f>$O$2+($O$3*B318)</f>
        <v>44.538152079225512</v>
      </c>
      <c r="F318" s="8">
        <v>1.0719180317170267</v>
      </c>
      <c r="G318" s="15">
        <f>E318*F318</f>
        <v>47.741248313077008</v>
      </c>
      <c r="H318" s="8">
        <f t="shared" si="21"/>
        <v>-12.741248313077008</v>
      </c>
      <c r="I318" s="8">
        <f t="shared" si="22"/>
        <v>12.741248313077008</v>
      </c>
      <c r="J318" s="8">
        <f t="shared" si="23"/>
        <v>162.33940857548771</v>
      </c>
      <c r="K318" s="5">
        <f t="shared" si="24"/>
        <v>0.36403566608791454</v>
      </c>
    </row>
    <row r="319" spans="1:11" ht="15.75" customHeight="1">
      <c r="A319" s="4" t="str">
        <f t="shared" si="20"/>
        <v>Nov</v>
      </c>
      <c r="B319" s="4">
        <v>318</v>
      </c>
      <c r="C319" s="3">
        <v>21868</v>
      </c>
      <c r="D319" s="4">
        <v>35</v>
      </c>
      <c r="E319" s="15">
        <f>$O$2+($O$3*B319)</f>
        <v>44.557236632668925</v>
      </c>
      <c r="F319" s="8">
        <v>1.0719180317170267</v>
      </c>
      <c r="G319" s="15">
        <f>E319*F319</f>
        <v>47.761705390040269</v>
      </c>
      <c r="H319" s="8">
        <f t="shared" si="21"/>
        <v>-12.761705390040269</v>
      </c>
      <c r="I319" s="8">
        <f t="shared" si="22"/>
        <v>12.761705390040269</v>
      </c>
      <c r="J319" s="8">
        <f t="shared" si="23"/>
        <v>162.86112446218286</v>
      </c>
      <c r="K319" s="5">
        <f t="shared" si="24"/>
        <v>0.36462015400115055</v>
      </c>
    </row>
    <row r="320" spans="1:11" ht="15.75" customHeight="1">
      <c r="A320" s="4" t="str">
        <f t="shared" si="20"/>
        <v>Nov</v>
      </c>
      <c r="B320" s="4">
        <v>319</v>
      </c>
      <c r="C320" s="3">
        <v>21869</v>
      </c>
      <c r="D320" s="4">
        <v>40</v>
      </c>
      <c r="E320" s="15">
        <f>$O$2+($O$3*B320)</f>
        <v>44.576321186112338</v>
      </c>
      <c r="F320" s="8">
        <v>1.0719180317170267</v>
      </c>
      <c r="G320" s="15">
        <f>E320*F320</f>
        <v>47.782162467003538</v>
      </c>
      <c r="H320" s="8">
        <f t="shared" si="21"/>
        <v>-7.7821624670035376</v>
      </c>
      <c r="I320" s="8">
        <f t="shared" si="22"/>
        <v>7.7821624670035376</v>
      </c>
      <c r="J320" s="8">
        <f t="shared" si="23"/>
        <v>60.562052662838589</v>
      </c>
      <c r="K320" s="5">
        <f t="shared" si="24"/>
        <v>0.19455406167508843</v>
      </c>
    </row>
    <row r="321" spans="1:11" ht="15.75" customHeight="1">
      <c r="A321" s="4" t="str">
        <f t="shared" si="20"/>
        <v>Nov</v>
      </c>
      <c r="B321" s="4">
        <v>320</v>
      </c>
      <c r="C321" s="3">
        <v>21870</v>
      </c>
      <c r="D321" s="4">
        <v>39</v>
      </c>
      <c r="E321" s="15">
        <f>$O$2+($O$3*B321)</f>
        <v>44.595405739555751</v>
      </c>
      <c r="F321" s="8">
        <v>1.0719180317170267</v>
      </c>
      <c r="G321" s="15">
        <f>E321*F321</f>
        <v>47.802619543966799</v>
      </c>
      <c r="H321" s="8">
        <f t="shared" si="21"/>
        <v>-8.8026195439667987</v>
      </c>
      <c r="I321" s="8">
        <f t="shared" si="22"/>
        <v>8.8026195439667987</v>
      </c>
      <c r="J321" s="8">
        <f t="shared" si="23"/>
        <v>77.486110835826253</v>
      </c>
      <c r="K321" s="5">
        <f t="shared" si="24"/>
        <v>0.22570819343504611</v>
      </c>
    </row>
    <row r="322" spans="1:11" ht="15.75" customHeight="1">
      <c r="A322" s="4" t="str">
        <f t="shared" si="20"/>
        <v>Nov</v>
      </c>
      <c r="B322" s="4">
        <v>321</v>
      </c>
      <c r="C322" s="3">
        <v>21871</v>
      </c>
      <c r="D322" s="4">
        <v>33</v>
      </c>
      <c r="E322" s="15">
        <f>$O$2+($O$3*B322)</f>
        <v>44.614490292999164</v>
      </c>
      <c r="F322" s="8">
        <v>1.0719180317170267</v>
      </c>
      <c r="G322" s="15">
        <f>E322*F322</f>
        <v>47.82307662093006</v>
      </c>
      <c r="H322" s="8">
        <f t="shared" si="21"/>
        <v>-14.82307662093006</v>
      </c>
      <c r="I322" s="8">
        <f t="shared" si="22"/>
        <v>14.82307662093006</v>
      </c>
      <c r="J322" s="8">
        <f t="shared" si="23"/>
        <v>219.72360050996332</v>
      </c>
      <c r="K322" s="5">
        <f t="shared" si="24"/>
        <v>0.44918414002818363</v>
      </c>
    </row>
    <row r="323" spans="1:11" ht="15.75" customHeight="1">
      <c r="A323" s="4" t="str">
        <f t="shared" si="20"/>
        <v>Nov</v>
      </c>
      <c r="B323" s="4">
        <v>322</v>
      </c>
      <c r="C323" s="3">
        <v>21872</v>
      </c>
      <c r="D323" s="4">
        <v>42</v>
      </c>
      <c r="E323" s="15">
        <f>$O$2+($O$3*B323)</f>
        <v>44.633574846442578</v>
      </c>
      <c r="F323" s="8">
        <v>1.0719180317170267</v>
      </c>
      <c r="G323" s="15">
        <f>E323*F323</f>
        <v>47.843533697893321</v>
      </c>
      <c r="H323" s="8">
        <f t="shared" ref="H323:H366" si="25">D323-G323</f>
        <v>-5.8435336978933208</v>
      </c>
      <c r="I323" s="8">
        <f t="shared" ref="I323:I366" si="26">ABS(H323)</f>
        <v>5.8435336978933208</v>
      </c>
      <c r="J323" s="8">
        <f t="shared" ref="J323:J366" si="27">I323^2</f>
        <v>34.146886078414788</v>
      </c>
      <c r="K323" s="5">
        <f t="shared" ref="K323:K366" si="28">I323/D323</f>
        <v>0.13913175471174574</v>
      </c>
    </row>
    <row r="324" spans="1:11" ht="15.75" customHeight="1">
      <c r="A324" s="4" t="str">
        <f t="shared" si="20"/>
        <v>Nov</v>
      </c>
      <c r="B324" s="4">
        <v>323</v>
      </c>
      <c r="C324" s="3">
        <v>21873</v>
      </c>
      <c r="D324" s="4">
        <v>47</v>
      </c>
      <c r="E324" s="15">
        <f>$O$2+($O$3*B324)</f>
        <v>44.652659399885991</v>
      </c>
      <c r="F324" s="8">
        <v>1.0719180317170267</v>
      </c>
      <c r="G324" s="15">
        <f>E324*F324</f>
        <v>47.863990774856582</v>
      </c>
      <c r="H324" s="8">
        <f t="shared" si="25"/>
        <v>-0.86399077485658182</v>
      </c>
      <c r="I324" s="8">
        <f t="shared" si="26"/>
        <v>0.86399077485658182</v>
      </c>
      <c r="J324" s="8">
        <f t="shared" si="27"/>
        <v>0.74648005903727666</v>
      </c>
      <c r="K324" s="5">
        <f t="shared" si="28"/>
        <v>1.8382782443757059E-2</v>
      </c>
    </row>
    <row r="325" spans="1:11" ht="15.75" customHeight="1">
      <c r="A325" s="4" t="str">
        <f t="shared" si="20"/>
        <v>Nov</v>
      </c>
      <c r="B325" s="4">
        <v>324</v>
      </c>
      <c r="C325" s="3">
        <v>21874</v>
      </c>
      <c r="D325" s="4">
        <v>51</v>
      </c>
      <c r="E325" s="15">
        <f>$O$2+($O$3*B325)</f>
        <v>44.671743953329404</v>
      </c>
      <c r="F325" s="8">
        <v>1.0719180317170267</v>
      </c>
      <c r="G325" s="15">
        <f>E325*F325</f>
        <v>47.884447851819843</v>
      </c>
      <c r="H325" s="8">
        <f t="shared" si="25"/>
        <v>3.1155521481801571</v>
      </c>
      <c r="I325" s="8">
        <f t="shared" si="26"/>
        <v>3.1155521481801571</v>
      </c>
      <c r="J325" s="8">
        <f t="shared" si="27"/>
        <v>9.7066651880299926</v>
      </c>
      <c r="K325" s="5">
        <f t="shared" si="28"/>
        <v>6.1089257807454063E-2</v>
      </c>
    </row>
    <row r="326" spans="1:11" ht="15.75" customHeight="1">
      <c r="A326" s="4" t="str">
        <f t="shared" si="20"/>
        <v>Nov</v>
      </c>
      <c r="B326" s="4">
        <v>325</v>
      </c>
      <c r="C326" s="3">
        <v>21875</v>
      </c>
      <c r="D326" s="4">
        <v>44</v>
      </c>
      <c r="E326" s="15">
        <f>$O$2+($O$3*B326)</f>
        <v>44.690828506772817</v>
      </c>
      <c r="F326" s="8">
        <v>1.0719180317170267</v>
      </c>
      <c r="G326" s="15">
        <f>E326*F326</f>
        <v>47.904904928783104</v>
      </c>
      <c r="H326" s="8">
        <f t="shared" si="25"/>
        <v>-3.9049049287831039</v>
      </c>
      <c r="I326" s="8">
        <f t="shared" si="26"/>
        <v>3.9049049287831039</v>
      </c>
      <c r="J326" s="8">
        <f t="shared" si="27"/>
        <v>15.248282502834577</v>
      </c>
      <c r="K326" s="5">
        <f t="shared" si="28"/>
        <v>8.8747839290525085E-2</v>
      </c>
    </row>
    <row r="327" spans="1:11" ht="15.75" customHeight="1">
      <c r="A327" s="4" t="str">
        <f t="shared" si="20"/>
        <v>Nov</v>
      </c>
      <c r="B327" s="4">
        <v>326</v>
      </c>
      <c r="C327" s="3">
        <v>21876</v>
      </c>
      <c r="D327" s="4">
        <v>40</v>
      </c>
      <c r="E327" s="15">
        <f>$O$2+($O$3*B327)</f>
        <v>44.70991306021623</v>
      </c>
      <c r="F327" s="8">
        <v>1.0719180317170267</v>
      </c>
      <c r="G327" s="15">
        <f>E327*F327</f>
        <v>47.925362005746365</v>
      </c>
      <c r="H327" s="8">
        <f t="shared" si="25"/>
        <v>-7.925362005746365</v>
      </c>
      <c r="I327" s="8">
        <f t="shared" si="26"/>
        <v>7.925362005746365</v>
      </c>
      <c r="J327" s="8">
        <f t="shared" si="27"/>
        <v>62.811362922128048</v>
      </c>
      <c r="K327" s="5">
        <f t="shared" si="28"/>
        <v>0.19813405014365912</v>
      </c>
    </row>
    <row r="328" spans="1:11" ht="15.75" customHeight="1">
      <c r="A328" s="4" t="str">
        <f t="shared" si="20"/>
        <v>Nov</v>
      </c>
      <c r="B328" s="4">
        <v>327</v>
      </c>
      <c r="C328" s="3">
        <v>21877</v>
      </c>
      <c r="D328" s="4">
        <v>57</v>
      </c>
      <c r="E328" s="15">
        <f>$O$2+($O$3*B328)</f>
        <v>44.728997613659644</v>
      </c>
      <c r="F328" s="8">
        <v>1.0719180317170267</v>
      </c>
      <c r="G328" s="15">
        <f>E328*F328</f>
        <v>47.945819082709633</v>
      </c>
      <c r="H328" s="8">
        <f t="shared" si="25"/>
        <v>9.0541809172903669</v>
      </c>
      <c r="I328" s="8">
        <f t="shared" si="26"/>
        <v>9.0541809172903669</v>
      </c>
      <c r="J328" s="8">
        <f t="shared" si="27"/>
        <v>81.978192083025036</v>
      </c>
      <c r="K328" s="5">
        <f t="shared" si="28"/>
        <v>0.15884527925070818</v>
      </c>
    </row>
    <row r="329" spans="1:11" ht="15.75" customHeight="1">
      <c r="A329" s="4" t="str">
        <f t="shared" si="20"/>
        <v>Nov</v>
      </c>
      <c r="B329" s="4">
        <v>328</v>
      </c>
      <c r="C329" s="3">
        <v>21878</v>
      </c>
      <c r="D329" s="4">
        <v>49</v>
      </c>
      <c r="E329" s="15">
        <f>$O$2+($O$3*B329)</f>
        <v>44.748082167103057</v>
      </c>
      <c r="F329" s="8">
        <v>1.0719180317170267</v>
      </c>
      <c r="G329" s="15">
        <f>E329*F329</f>
        <v>47.966276159672894</v>
      </c>
      <c r="H329" s="8">
        <f t="shared" si="25"/>
        <v>1.0337238403271058</v>
      </c>
      <c r="I329" s="8">
        <f t="shared" si="26"/>
        <v>1.0337238403271058</v>
      </c>
      <c r="J329" s="8">
        <f t="shared" si="27"/>
        <v>1.0685849780606198</v>
      </c>
      <c r="K329" s="5">
        <f t="shared" si="28"/>
        <v>2.1096404904634814E-2</v>
      </c>
    </row>
    <row r="330" spans="1:11" ht="15.75" customHeight="1">
      <c r="A330" s="4" t="str">
        <f t="shared" si="20"/>
        <v>Nov</v>
      </c>
      <c r="B330" s="4">
        <v>329</v>
      </c>
      <c r="C330" s="3">
        <v>21879</v>
      </c>
      <c r="D330" s="4">
        <v>45</v>
      </c>
      <c r="E330" s="15">
        <f>$O$2+($O$3*B330)</f>
        <v>44.76716672054647</v>
      </c>
      <c r="F330" s="8">
        <v>1.0719180317170267</v>
      </c>
      <c r="G330" s="15">
        <f>E330*F330</f>
        <v>47.986733236636155</v>
      </c>
      <c r="H330" s="8">
        <f t="shared" si="25"/>
        <v>-2.9867332366361552</v>
      </c>
      <c r="I330" s="8">
        <f t="shared" si="26"/>
        <v>2.9867332366361552</v>
      </c>
      <c r="J330" s="8">
        <f t="shared" si="27"/>
        <v>8.9205754268270834</v>
      </c>
      <c r="K330" s="5">
        <f t="shared" si="28"/>
        <v>6.6371849703025676E-2</v>
      </c>
    </row>
    <row r="331" spans="1:11" ht="15.75" customHeight="1">
      <c r="A331" s="4" t="str">
        <f t="shared" si="20"/>
        <v>Nov</v>
      </c>
      <c r="B331" s="4">
        <v>330</v>
      </c>
      <c r="C331" s="3">
        <v>21880</v>
      </c>
      <c r="D331" s="4">
        <v>49</v>
      </c>
      <c r="E331" s="15">
        <f>$O$2+($O$3*B331)</f>
        <v>44.786251273989876</v>
      </c>
      <c r="F331" s="8">
        <v>1.0719180317170267</v>
      </c>
      <c r="G331" s="15">
        <f>E331*F331</f>
        <v>48.007190313599409</v>
      </c>
      <c r="H331" s="8">
        <f t="shared" si="25"/>
        <v>0.99280968640059086</v>
      </c>
      <c r="I331" s="8">
        <f t="shared" si="26"/>
        <v>0.99280968640059086</v>
      </c>
      <c r="J331" s="8">
        <f t="shared" si="27"/>
        <v>0.98567107341083959</v>
      </c>
      <c r="K331" s="5">
        <f t="shared" si="28"/>
        <v>2.026142217144063E-2</v>
      </c>
    </row>
    <row r="332" spans="1:11" ht="15.75" customHeight="1">
      <c r="A332" s="4" t="str">
        <f t="shared" si="20"/>
        <v>Nov</v>
      </c>
      <c r="B332" s="4">
        <v>331</v>
      </c>
      <c r="C332" s="3">
        <v>21881</v>
      </c>
      <c r="D332" s="4">
        <v>51</v>
      </c>
      <c r="E332" s="15">
        <f>$O$2+($O$3*B332)</f>
        <v>44.805335827433289</v>
      </c>
      <c r="F332" s="8">
        <v>1.0719180317170267</v>
      </c>
      <c r="G332" s="15">
        <f>E332*F332</f>
        <v>48.02764739056267</v>
      </c>
      <c r="H332" s="8">
        <f t="shared" si="25"/>
        <v>2.9723526094373298</v>
      </c>
      <c r="I332" s="8">
        <f t="shared" si="26"/>
        <v>2.9723526094373298</v>
      </c>
      <c r="J332" s="8">
        <f t="shared" si="27"/>
        <v>8.8348800348289043</v>
      </c>
      <c r="K332" s="5">
        <f t="shared" si="28"/>
        <v>5.828142371445745E-2</v>
      </c>
    </row>
    <row r="333" spans="1:11" ht="15.75" customHeight="1">
      <c r="A333" s="4" t="str">
        <f t="shared" si="20"/>
        <v>Nov</v>
      </c>
      <c r="B333" s="4">
        <v>332</v>
      </c>
      <c r="C333" s="3">
        <v>21882</v>
      </c>
      <c r="D333" s="4">
        <v>46</v>
      </c>
      <c r="E333" s="15">
        <f>$O$2+($O$3*B333)</f>
        <v>44.824420380876703</v>
      </c>
      <c r="F333" s="8">
        <v>1.0719180317170267</v>
      </c>
      <c r="G333" s="15">
        <f>E333*F333</f>
        <v>48.048104467525931</v>
      </c>
      <c r="H333" s="8">
        <f t="shared" si="25"/>
        <v>-2.0481044675259312</v>
      </c>
      <c r="I333" s="8">
        <f t="shared" si="26"/>
        <v>2.0481044675259312</v>
      </c>
      <c r="J333" s="8">
        <f t="shared" si="27"/>
        <v>4.1947319098996783</v>
      </c>
      <c r="K333" s="5">
        <f t="shared" si="28"/>
        <v>4.45240101636072E-2</v>
      </c>
    </row>
    <row r="334" spans="1:11" ht="15.75" customHeight="1">
      <c r="A334" s="4" t="str">
        <f t="shared" si="20"/>
        <v>Nov</v>
      </c>
      <c r="B334" s="4">
        <v>333</v>
      </c>
      <c r="C334" s="3">
        <v>21883</v>
      </c>
      <c r="D334" s="4">
        <v>44</v>
      </c>
      <c r="E334" s="15">
        <f>$O$2+($O$3*B334)</f>
        <v>44.843504934320116</v>
      </c>
      <c r="F334" s="8">
        <v>1.0719180317170267</v>
      </c>
      <c r="G334" s="15">
        <f>E334*F334</f>
        <v>48.068561544489192</v>
      </c>
      <c r="H334" s="8">
        <f t="shared" si="25"/>
        <v>-4.0685615444891923</v>
      </c>
      <c r="I334" s="8">
        <f t="shared" si="26"/>
        <v>4.0685615444891923</v>
      </c>
      <c r="J334" s="8">
        <f t="shared" si="27"/>
        <v>16.553193041296282</v>
      </c>
      <c r="K334" s="5">
        <f t="shared" si="28"/>
        <v>9.2467307829299822E-2</v>
      </c>
    </row>
    <row r="335" spans="1:11" ht="15.75" customHeight="1">
      <c r="A335" s="4" t="str">
        <f t="shared" si="20"/>
        <v>Nov</v>
      </c>
      <c r="B335" s="4">
        <v>334</v>
      </c>
      <c r="C335" s="3">
        <v>21884</v>
      </c>
      <c r="D335" s="4">
        <v>52</v>
      </c>
      <c r="E335" s="15">
        <f>$O$2+($O$3*B335)</f>
        <v>44.862589487763529</v>
      </c>
      <c r="F335" s="8">
        <v>1.0719180317170267</v>
      </c>
      <c r="G335" s="15">
        <f>E335*F335</f>
        <v>48.089018621452453</v>
      </c>
      <c r="H335" s="8">
        <f t="shared" si="25"/>
        <v>3.9109813785475467</v>
      </c>
      <c r="I335" s="8">
        <f t="shared" si="26"/>
        <v>3.9109813785475467</v>
      </c>
      <c r="J335" s="8">
        <f t="shared" si="27"/>
        <v>15.295775343345669</v>
      </c>
      <c r="K335" s="5">
        <f t="shared" si="28"/>
        <v>7.5211180356683588E-2</v>
      </c>
    </row>
    <row r="336" spans="1:11" ht="15.75" customHeight="1">
      <c r="A336" s="4" t="str">
        <f t="shared" si="20"/>
        <v>Dec</v>
      </c>
      <c r="B336" s="4">
        <v>335</v>
      </c>
      <c r="C336" s="3">
        <v>21885</v>
      </c>
      <c r="D336" s="4">
        <v>45</v>
      </c>
      <c r="E336" s="15">
        <f>$O$2+($O$3*B336)</f>
        <v>44.881674041206942</v>
      </c>
      <c r="F336" s="8">
        <f>VLOOKUP(A336,V$19:$Y341,4,FALSE)</f>
        <v>1.0096776298753929</v>
      </c>
      <c r="G336" s="15">
        <f>E336*F336</f>
        <v>45.316022270765771</v>
      </c>
      <c r="H336" s="8">
        <f t="shared" si="25"/>
        <v>-0.31602227076577094</v>
      </c>
      <c r="I336" s="8">
        <f t="shared" si="26"/>
        <v>0.31602227076577094</v>
      </c>
      <c r="J336" s="8">
        <f t="shared" si="27"/>
        <v>9.9870075619954243E-2</v>
      </c>
      <c r="K336" s="5">
        <f t="shared" si="28"/>
        <v>7.0227171281282428E-3</v>
      </c>
    </row>
    <row r="337" spans="1:11" ht="15.75" customHeight="1">
      <c r="A337" s="4" t="str">
        <f t="shared" si="20"/>
        <v>Dec</v>
      </c>
      <c r="B337" s="4">
        <v>336</v>
      </c>
      <c r="C337" s="3">
        <v>21886</v>
      </c>
      <c r="D337" s="4">
        <v>32</v>
      </c>
      <c r="E337" s="15">
        <f>$O$2+($O$3*B337)</f>
        <v>44.900758594650355</v>
      </c>
      <c r="F337" s="8">
        <f>VLOOKUP(A337,V$19:$Y342,4,FALSE)</f>
        <v>1.0096776298753929</v>
      </c>
      <c r="G337" s="15">
        <f>E337*F337</f>
        <v>45.335291517453747</v>
      </c>
      <c r="H337" s="8">
        <f t="shared" si="25"/>
        <v>-13.335291517453747</v>
      </c>
      <c r="I337" s="8">
        <f t="shared" si="26"/>
        <v>13.335291517453747</v>
      </c>
      <c r="J337" s="8">
        <f t="shared" si="27"/>
        <v>177.82999985547386</v>
      </c>
      <c r="K337" s="5">
        <f t="shared" si="28"/>
        <v>0.4167278599204296</v>
      </c>
    </row>
    <row r="338" spans="1:11" ht="15.75" customHeight="1">
      <c r="A338" s="4" t="str">
        <f t="shared" si="20"/>
        <v>Dec</v>
      </c>
      <c r="B338" s="4">
        <v>337</v>
      </c>
      <c r="C338" s="3">
        <v>21887</v>
      </c>
      <c r="D338" s="4">
        <v>46</v>
      </c>
      <c r="E338" s="15">
        <f>$O$2+($O$3*B338)</f>
        <v>44.919843148093769</v>
      </c>
      <c r="F338" s="8">
        <f>VLOOKUP(A338,V$19:$Y343,4,FALSE)</f>
        <v>1.0096776298753929</v>
      </c>
      <c r="G338" s="15">
        <f>E338*F338</f>
        <v>45.354560764141723</v>
      </c>
      <c r="H338" s="8">
        <f t="shared" si="25"/>
        <v>0.64543923585827656</v>
      </c>
      <c r="I338" s="8">
        <f t="shared" si="26"/>
        <v>0.64543923585827656</v>
      </c>
      <c r="J338" s="8">
        <f t="shared" si="27"/>
        <v>0.41659180718531597</v>
      </c>
      <c r="K338" s="5">
        <f t="shared" si="28"/>
        <v>1.403128773604949E-2</v>
      </c>
    </row>
    <row r="339" spans="1:11" ht="15.75" customHeight="1">
      <c r="A339" s="4" t="str">
        <f t="shared" si="20"/>
        <v>Dec</v>
      </c>
      <c r="B339" s="4">
        <v>338</v>
      </c>
      <c r="C339" s="3">
        <v>21888</v>
      </c>
      <c r="D339" s="4">
        <v>41</v>
      </c>
      <c r="E339" s="15">
        <f>$O$2+($O$3*B339)</f>
        <v>44.938927701537182</v>
      </c>
      <c r="F339" s="8">
        <f>VLOOKUP(A339,V$19:$Y344,4,FALSE)</f>
        <v>1.0096776298753929</v>
      </c>
      <c r="G339" s="15">
        <f>E339*F339</f>
        <v>45.3738300108297</v>
      </c>
      <c r="H339" s="8">
        <f t="shared" si="25"/>
        <v>-4.3738300108296997</v>
      </c>
      <c r="I339" s="8">
        <f t="shared" si="26"/>
        <v>4.3738300108296997</v>
      </c>
      <c r="J339" s="8">
        <f t="shared" si="27"/>
        <v>19.13038896363453</v>
      </c>
      <c r="K339" s="5">
        <f t="shared" si="28"/>
        <v>0.1066787807519439</v>
      </c>
    </row>
    <row r="340" spans="1:11" ht="15.75" customHeight="1">
      <c r="A340" s="4" t="str">
        <f t="shared" si="20"/>
        <v>Dec</v>
      </c>
      <c r="B340" s="4">
        <v>339</v>
      </c>
      <c r="C340" s="3">
        <v>21889</v>
      </c>
      <c r="D340" s="4">
        <v>34</v>
      </c>
      <c r="E340" s="15">
        <f>$O$2+($O$3*B340)</f>
        <v>44.958012254980595</v>
      </c>
      <c r="F340" s="8">
        <f>VLOOKUP(A340,V$19:$Y345,4,FALSE)</f>
        <v>1.0096776298753929</v>
      </c>
      <c r="G340" s="15">
        <f>E340*F340</f>
        <v>45.393099257517676</v>
      </c>
      <c r="H340" s="8">
        <f t="shared" si="25"/>
        <v>-11.393099257517676</v>
      </c>
      <c r="I340" s="8">
        <f t="shared" si="26"/>
        <v>11.393099257517676</v>
      </c>
      <c r="J340" s="8">
        <f t="shared" si="27"/>
        <v>129.80271069164982</v>
      </c>
      <c r="K340" s="5">
        <f t="shared" si="28"/>
        <v>0.33509115463287281</v>
      </c>
    </row>
    <row r="341" spans="1:11" ht="15.75" customHeight="1">
      <c r="A341" s="4" t="str">
        <f t="shared" si="20"/>
        <v>Dec</v>
      </c>
      <c r="B341" s="4">
        <v>340</v>
      </c>
      <c r="C341" s="3">
        <v>21890</v>
      </c>
      <c r="D341" s="4">
        <v>33</v>
      </c>
      <c r="E341" s="15">
        <f>$O$2+($O$3*B341)</f>
        <v>44.977096808424008</v>
      </c>
      <c r="F341" s="8">
        <f>VLOOKUP(A341,V$19:$Y346,4,FALSE)</f>
        <v>1.0096776298753929</v>
      </c>
      <c r="G341" s="15">
        <f>E341*F341</f>
        <v>45.412368504205652</v>
      </c>
      <c r="H341" s="8">
        <f t="shared" si="25"/>
        <v>-12.412368504205652</v>
      </c>
      <c r="I341" s="8">
        <f t="shared" si="26"/>
        <v>12.412368504205652</v>
      </c>
      <c r="J341" s="8">
        <f t="shared" si="27"/>
        <v>154.06689188419645</v>
      </c>
      <c r="K341" s="5">
        <f t="shared" si="28"/>
        <v>0.37613237891532281</v>
      </c>
    </row>
    <row r="342" spans="1:11" ht="15.75" customHeight="1">
      <c r="A342" s="4" t="str">
        <f t="shared" si="20"/>
        <v>Dec</v>
      </c>
      <c r="B342" s="4">
        <v>341</v>
      </c>
      <c r="C342" s="3">
        <v>21891</v>
      </c>
      <c r="D342" s="4">
        <v>36</v>
      </c>
      <c r="E342" s="15">
        <f>$O$2+($O$3*B342)</f>
        <v>44.996181361867414</v>
      </c>
      <c r="F342" s="8">
        <f>VLOOKUP(A342,V$19:$Y347,4,FALSE)</f>
        <v>1.0096776298753929</v>
      </c>
      <c r="G342" s="15">
        <f>E342*F342</f>
        <v>45.431637750893621</v>
      </c>
      <c r="H342" s="8">
        <f t="shared" si="25"/>
        <v>-9.4316377508936213</v>
      </c>
      <c r="I342" s="8">
        <f t="shared" si="26"/>
        <v>9.4316377508936213</v>
      </c>
      <c r="J342" s="8">
        <f t="shared" si="27"/>
        <v>88.95579066408169</v>
      </c>
      <c r="K342" s="5">
        <f t="shared" si="28"/>
        <v>0.2619899375248228</v>
      </c>
    </row>
    <row r="343" spans="1:11" ht="15.75" customHeight="1">
      <c r="A343" s="4" t="str">
        <f t="shared" si="20"/>
        <v>Dec</v>
      </c>
      <c r="B343" s="4">
        <v>342</v>
      </c>
      <c r="C343" s="3">
        <v>21892</v>
      </c>
      <c r="D343" s="4">
        <v>49</v>
      </c>
      <c r="E343" s="15">
        <f>$O$2+($O$3*B343)</f>
        <v>45.015265915310835</v>
      </c>
      <c r="F343" s="8">
        <f>VLOOKUP(A343,V$19:$Y348,4,FALSE)</f>
        <v>1.0096776298753929</v>
      </c>
      <c r="G343" s="15">
        <f>E343*F343</f>
        <v>45.450906997581605</v>
      </c>
      <c r="H343" s="8">
        <f t="shared" si="25"/>
        <v>3.5490930024183953</v>
      </c>
      <c r="I343" s="8">
        <f t="shared" si="26"/>
        <v>3.5490930024183953</v>
      </c>
      <c r="J343" s="8">
        <f t="shared" si="27"/>
        <v>12.59606113981522</v>
      </c>
      <c r="K343" s="5">
        <f t="shared" si="28"/>
        <v>7.2430469437110109E-2</v>
      </c>
    </row>
    <row r="344" spans="1:11" ht="15.75" customHeight="1">
      <c r="A344" s="4" t="str">
        <f t="shared" si="20"/>
        <v>Dec</v>
      </c>
      <c r="B344" s="4">
        <v>343</v>
      </c>
      <c r="C344" s="3">
        <v>21893</v>
      </c>
      <c r="D344" s="4">
        <v>43</v>
      </c>
      <c r="E344" s="15">
        <f>$O$2+($O$3*B344)</f>
        <v>45.034350468754241</v>
      </c>
      <c r="F344" s="8">
        <f>VLOOKUP(A344,V$19:$Y349,4,FALSE)</f>
        <v>1.0096776298753929</v>
      </c>
      <c r="G344" s="15">
        <f>E344*F344</f>
        <v>45.470176244269574</v>
      </c>
      <c r="H344" s="8">
        <f t="shared" si="25"/>
        <v>-2.4701762442695738</v>
      </c>
      <c r="I344" s="8">
        <f t="shared" si="26"/>
        <v>2.4701762442695738</v>
      </c>
      <c r="J344" s="8">
        <f t="shared" si="27"/>
        <v>6.1017706777537377</v>
      </c>
      <c r="K344" s="5">
        <f t="shared" si="28"/>
        <v>5.7445959169059854E-2</v>
      </c>
    </row>
    <row r="345" spans="1:11" ht="15.75" customHeight="1">
      <c r="A345" s="4" t="str">
        <f t="shared" si="20"/>
        <v>Dec</v>
      </c>
      <c r="B345" s="4">
        <v>344</v>
      </c>
      <c r="C345" s="3">
        <v>21894</v>
      </c>
      <c r="D345" s="4">
        <v>43</v>
      </c>
      <c r="E345" s="15">
        <f>$O$2+($O$3*B345)</f>
        <v>45.053435022197654</v>
      </c>
      <c r="F345" s="8">
        <f>VLOOKUP(A345,V$19:$Y350,4,FALSE)</f>
        <v>1.0096776298753929</v>
      </c>
      <c r="G345" s="15">
        <f>E345*F345</f>
        <v>45.489445490957543</v>
      </c>
      <c r="H345" s="8">
        <f t="shared" si="25"/>
        <v>-2.489445490957543</v>
      </c>
      <c r="I345" s="8">
        <f t="shared" si="26"/>
        <v>2.489445490957543</v>
      </c>
      <c r="J345" s="8">
        <f t="shared" si="27"/>
        <v>6.1973388524488424</v>
      </c>
      <c r="K345" s="5">
        <f t="shared" si="28"/>
        <v>5.7894081185059142E-2</v>
      </c>
    </row>
    <row r="346" spans="1:11" ht="15.75" customHeight="1">
      <c r="A346" s="4" t="str">
        <f t="shared" si="20"/>
        <v>Dec</v>
      </c>
      <c r="B346" s="4">
        <v>345</v>
      </c>
      <c r="C346" s="3">
        <v>21895</v>
      </c>
      <c r="D346" s="4">
        <v>34</v>
      </c>
      <c r="E346" s="15">
        <f>$O$2+($O$3*B346)</f>
        <v>45.072519575641067</v>
      </c>
      <c r="F346" s="8">
        <f>VLOOKUP(A346,V$19:$Y351,4,FALSE)</f>
        <v>1.0096776298753929</v>
      </c>
      <c r="G346" s="15">
        <f>E346*F346</f>
        <v>45.508714737645519</v>
      </c>
      <c r="H346" s="8">
        <f t="shared" si="25"/>
        <v>-11.508714737645519</v>
      </c>
      <c r="I346" s="8">
        <f t="shared" si="26"/>
        <v>11.508714737645519</v>
      </c>
      <c r="J346" s="8">
        <f t="shared" si="27"/>
        <v>132.45051491249916</v>
      </c>
      <c r="K346" s="5">
        <f t="shared" si="28"/>
        <v>0.33849160993075056</v>
      </c>
    </row>
    <row r="347" spans="1:11" ht="15.75" customHeight="1">
      <c r="A347" s="4" t="str">
        <f t="shared" si="20"/>
        <v>Dec</v>
      </c>
      <c r="B347" s="4">
        <v>346</v>
      </c>
      <c r="C347" s="3">
        <v>21896</v>
      </c>
      <c r="D347" s="4">
        <v>39</v>
      </c>
      <c r="E347" s="15">
        <f>$O$2+($O$3*B347)</f>
        <v>45.09160412908448</v>
      </c>
      <c r="F347" s="8">
        <f>VLOOKUP(A347,V$19:$Y352,4,FALSE)</f>
        <v>1.0096776298753929</v>
      </c>
      <c r="G347" s="15">
        <f>E347*F347</f>
        <v>45.527983984333495</v>
      </c>
      <c r="H347" s="8">
        <f t="shared" si="25"/>
        <v>-6.5279839843334955</v>
      </c>
      <c r="I347" s="8">
        <f t="shared" si="26"/>
        <v>6.5279839843334955</v>
      </c>
      <c r="J347" s="8">
        <f t="shared" si="27"/>
        <v>42.614574899714619</v>
      </c>
      <c r="K347" s="5">
        <f t="shared" si="28"/>
        <v>0.1673842047264999</v>
      </c>
    </row>
    <row r="348" spans="1:11" ht="15.75" customHeight="1">
      <c r="A348" s="4" t="str">
        <f t="shared" si="20"/>
        <v>Dec</v>
      </c>
      <c r="B348" s="4">
        <v>347</v>
      </c>
      <c r="C348" s="3">
        <v>21897</v>
      </c>
      <c r="D348" s="4">
        <v>35</v>
      </c>
      <c r="E348" s="15">
        <f>$O$2+($O$3*B348)</f>
        <v>45.110688682527893</v>
      </c>
      <c r="F348" s="8">
        <f>VLOOKUP(A348,V$19:$Y353,4,FALSE)</f>
        <v>1.0096776298753929</v>
      </c>
      <c r="G348" s="15">
        <f>E348*F348</f>
        <v>45.547253231021472</v>
      </c>
      <c r="H348" s="8">
        <f t="shared" si="25"/>
        <v>-10.547253231021472</v>
      </c>
      <c r="I348" s="8">
        <f t="shared" si="26"/>
        <v>10.547253231021472</v>
      </c>
      <c r="J348" s="8">
        <f t="shared" si="27"/>
        <v>111.24455071929287</v>
      </c>
      <c r="K348" s="5">
        <f t="shared" si="28"/>
        <v>0.30135009231489918</v>
      </c>
    </row>
    <row r="349" spans="1:11" ht="15.75" customHeight="1">
      <c r="A349" s="4" t="str">
        <f t="shared" si="20"/>
        <v>Dec</v>
      </c>
      <c r="B349" s="4">
        <v>348</v>
      </c>
      <c r="C349" s="3">
        <v>21898</v>
      </c>
      <c r="D349" s="4">
        <v>52</v>
      </c>
      <c r="E349" s="15">
        <f>$O$2+($O$3*B349)</f>
        <v>45.129773235971307</v>
      </c>
      <c r="F349" s="8">
        <f>VLOOKUP(A349,V$19:$Y354,4,FALSE)</f>
        <v>1.0096776298753929</v>
      </c>
      <c r="G349" s="15">
        <f>E349*F349</f>
        <v>45.566522477709448</v>
      </c>
      <c r="H349" s="8">
        <f t="shared" si="25"/>
        <v>6.433477522290552</v>
      </c>
      <c r="I349" s="8">
        <f t="shared" si="26"/>
        <v>6.433477522290552</v>
      </c>
      <c r="J349" s="8">
        <f t="shared" si="27"/>
        <v>41.38963302981778</v>
      </c>
      <c r="K349" s="5">
        <f t="shared" si="28"/>
        <v>0.12372072158251061</v>
      </c>
    </row>
    <row r="350" spans="1:11" ht="15.75" customHeight="1">
      <c r="A350" s="4" t="str">
        <f t="shared" si="20"/>
        <v>Dec</v>
      </c>
      <c r="B350" s="4">
        <v>349</v>
      </c>
      <c r="C350" s="3">
        <v>21899</v>
      </c>
      <c r="D350" s="4">
        <v>47</v>
      </c>
      <c r="E350" s="15">
        <f>$O$2+($O$3*B350)</f>
        <v>45.14885778941472</v>
      </c>
      <c r="F350" s="8">
        <f>VLOOKUP(A350,V$19:$Y355,4,FALSE)</f>
        <v>1.0096776298753929</v>
      </c>
      <c r="G350" s="15">
        <f>E350*F350</f>
        <v>45.585791724397424</v>
      </c>
      <c r="H350" s="8">
        <f t="shared" si="25"/>
        <v>1.4142082756025758</v>
      </c>
      <c r="I350" s="8">
        <f t="shared" si="26"/>
        <v>1.4142082756025758</v>
      </c>
      <c r="J350" s="8">
        <f t="shared" si="27"/>
        <v>1.9999850467828109</v>
      </c>
      <c r="K350" s="5">
        <f t="shared" si="28"/>
        <v>3.0089537778778208E-2</v>
      </c>
    </row>
    <row r="351" spans="1:11" ht="15.75" customHeight="1">
      <c r="A351" s="4" t="str">
        <f t="shared" si="20"/>
        <v>Dec</v>
      </c>
      <c r="B351" s="4">
        <v>350</v>
      </c>
      <c r="C351" s="3">
        <v>21900</v>
      </c>
      <c r="D351" s="4">
        <v>52</v>
      </c>
      <c r="E351" s="15">
        <f>$O$2+($O$3*B351)</f>
        <v>45.167942342858133</v>
      </c>
      <c r="F351" s="8">
        <f>VLOOKUP(A351,V$19:$Y356,4,FALSE)</f>
        <v>1.0096776298753929</v>
      </c>
      <c r="G351" s="15">
        <f>E351*F351</f>
        <v>45.6050609710854</v>
      </c>
      <c r="H351" s="8">
        <f t="shared" si="25"/>
        <v>6.3949390289145995</v>
      </c>
      <c r="I351" s="8">
        <f t="shared" si="26"/>
        <v>6.3949390289145995</v>
      </c>
      <c r="J351" s="8">
        <f t="shared" si="27"/>
        <v>40.895245183535202</v>
      </c>
      <c r="K351" s="5">
        <f t="shared" si="28"/>
        <v>0.12297959670989614</v>
      </c>
    </row>
    <row r="352" spans="1:11" ht="15.75" customHeight="1">
      <c r="A352" s="4" t="str">
        <f t="shared" si="20"/>
        <v>Dec</v>
      </c>
      <c r="B352" s="4">
        <v>351</v>
      </c>
      <c r="C352" s="3">
        <v>21901</v>
      </c>
      <c r="D352" s="4">
        <v>39</v>
      </c>
      <c r="E352" s="15">
        <f>$O$2+($O$3*B352)</f>
        <v>45.187026896301546</v>
      </c>
      <c r="F352" s="8">
        <f>VLOOKUP(A352,V$19:$Y357,4,FALSE)</f>
        <v>1.0096776298753929</v>
      </c>
      <c r="G352" s="15">
        <f>E352*F352</f>
        <v>45.624330217773377</v>
      </c>
      <c r="H352" s="8">
        <f t="shared" si="25"/>
        <v>-6.6243302177733767</v>
      </c>
      <c r="I352" s="8">
        <f t="shared" si="26"/>
        <v>6.6243302177733767</v>
      </c>
      <c r="J352" s="8">
        <f t="shared" si="27"/>
        <v>43.881750834105475</v>
      </c>
      <c r="K352" s="5">
        <f t="shared" si="28"/>
        <v>0.16985462096854811</v>
      </c>
    </row>
    <row r="353" spans="1:11" ht="15.75" customHeight="1">
      <c r="A353" s="4" t="str">
        <f t="shared" si="20"/>
        <v>Dec</v>
      </c>
      <c r="B353" s="4">
        <v>352</v>
      </c>
      <c r="C353" s="3">
        <v>21902</v>
      </c>
      <c r="D353" s="4">
        <v>40</v>
      </c>
      <c r="E353" s="15">
        <f>$O$2+($O$3*B353)</f>
        <v>45.206111449744959</v>
      </c>
      <c r="F353" s="8">
        <f>VLOOKUP(A353,V$19:$Y358,4,FALSE)</f>
        <v>1.0096776298753929</v>
      </c>
      <c r="G353" s="15">
        <f>E353*F353</f>
        <v>45.643599464461353</v>
      </c>
      <c r="H353" s="8">
        <f t="shared" si="25"/>
        <v>-5.643599464461353</v>
      </c>
      <c r="I353" s="8">
        <f t="shared" si="26"/>
        <v>5.643599464461353</v>
      </c>
      <c r="J353" s="8">
        <f t="shared" si="27"/>
        <v>31.85021491526847</v>
      </c>
      <c r="K353" s="5">
        <f t="shared" si="28"/>
        <v>0.14108998661153382</v>
      </c>
    </row>
    <row r="354" spans="1:11" ht="15.75" customHeight="1">
      <c r="A354" s="4" t="str">
        <f t="shared" si="20"/>
        <v>Dec</v>
      </c>
      <c r="B354" s="4">
        <v>353</v>
      </c>
      <c r="C354" s="3">
        <v>21903</v>
      </c>
      <c r="D354" s="4">
        <v>42</v>
      </c>
      <c r="E354" s="15">
        <f>$O$2+($O$3*B354)</f>
        <v>45.225196003188373</v>
      </c>
      <c r="F354" s="8">
        <f>VLOOKUP(A354,V$19:$Y359,4,FALSE)</f>
        <v>1.0096776298753929</v>
      </c>
      <c r="G354" s="15">
        <f>E354*F354</f>
        <v>45.662868711149329</v>
      </c>
      <c r="H354" s="8">
        <f t="shared" si="25"/>
        <v>-3.6628687111493292</v>
      </c>
      <c r="I354" s="8">
        <f t="shared" si="26"/>
        <v>3.6628687111493292</v>
      </c>
      <c r="J354" s="8">
        <f t="shared" si="27"/>
        <v>13.416607195116748</v>
      </c>
      <c r="K354" s="5">
        <f t="shared" si="28"/>
        <v>8.7211159789269743E-2</v>
      </c>
    </row>
    <row r="355" spans="1:11" ht="15.75" customHeight="1">
      <c r="A355" s="4" t="str">
        <f t="shared" si="20"/>
        <v>Dec</v>
      </c>
      <c r="B355" s="4">
        <v>354</v>
      </c>
      <c r="C355" s="3">
        <v>21904</v>
      </c>
      <c r="D355" s="4">
        <v>42</v>
      </c>
      <c r="E355" s="15">
        <f>$O$2+($O$3*B355)</f>
        <v>45.244280556631779</v>
      </c>
      <c r="F355" s="8">
        <f>VLOOKUP(A355,V$19:$Y360,4,FALSE)</f>
        <v>1.0096776298753929</v>
      </c>
      <c r="G355" s="15">
        <f>E355*F355</f>
        <v>45.682137957837298</v>
      </c>
      <c r="H355" s="8">
        <f t="shared" si="25"/>
        <v>-3.6821379578372984</v>
      </c>
      <c r="I355" s="8">
        <f t="shared" si="26"/>
        <v>3.6821379578372984</v>
      </c>
      <c r="J355" s="8">
        <f t="shared" si="27"/>
        <v>13.55813994054623</v>
      </c>
      <c r="K355" s="5">
        <f t="shared" si="28"/>
        <v>8.7669951377078531E-2</v>
      </c>
    </row>
    <row r="356" spans="1:11" ht="15.75" customHeight="1">
      <c r="A356" s="4" t="str">
        <f t="shared" si="20"/>
        <v>Dec</v>
      </c>
      <c r="B356" s="4">
        <v>355</v>
      </c>
      <c r="C356" s="3">
        <v>21905</v>
      </c>
      <c r="D356" s="4">
        <v>53</v>
      </c>
      <c r="E356" s="15">
        <f>$O$2+($O$3*B356)</f>
        <v>45.263365110075192</v>
      </c>
      <c r="F356" s="8">
        <f>VLOOKUP(A356,V$19:$Y361,4,FALSE)</f>
        <v>1.0096776298753929</v>
      </c>
      <c r="G356" s="15">
        <f>E356*F356</f>
        <v>45.701407204525275</v>
      </c>
      <c r="H356" s="8">
        <f t="shared" si="25"/>
        <v>7.2985927954747254</v>
      </c>
      <c r="I356" s="8">
        <f t="shared" si="26"/>
        <v>7.2985927954747254</v>
      </c>
      <c r="J356" s="8">
        <f t="shared" si="27"/>
        <v>53.269456794155566</v>
      </c>
      <c r="K356" s="5">
        <f t="shared" si="28"/>
        <v>0.137709298027825</v>
      </c>
    </row>
    <row r="357" spans="1:11" ht="15.75" customHeight="1">
      <c r="A357" s="4" t="str">
        <f t="shared" si="20"/>
        <v>Dec</v>
      </c>
      <c r="B357" s="4">
        <v>356</v>
      </c>
      <c r="C357" s="3">
        <v>21906</v>
      </c>
      <c r="D357" s="4">
        <v>39</v>
      </c>
      <c r="E357" s="15">
        <f>$O$2+($O$3*B357)</f>
        <v>45.282449663518605</v>
      </c>
      <c r="F357" s="8">
        <f>VLOOKUP(A357,V$19:$Y362,4,FALSE)</f>
        <v>1.0096776298753929</v>
      </c>
      <c r="G357" s="15">
        <f>E357*F357</f>
        <v>45.720676451213251</v>
      </c>
      <c r="H357" s="8">
        <f t="shared" si="25"/>
        <v>-6.7206764512132509</v>
      </c>
      <c r="I357" s="8">
        <f t="shared" si="26"/>
        <v>6.7206764512132509</v>
      </c>
      <c r="J357" s="8">
        <f t="shared" si="27"/>
        <v>45.167491961892338</v>
      </c>
      <c r="K357" s="5">
        <f t="shared" si="28"/>
        <v>0.17232503721059617</v>
      </c>
    </row>
    <row r="358" spans="1:11" ht="15.75" customHeight="1">
      <c r="A358" s="4" t="str">
        <f t="shared" si="20"/>
        <v>Dec</v>
      </c>
      <c r="B358" s="4">
        <v>357</v>
      </c>
      <c r="C358" s="3">
        <v>21907</v>
      </c>
      <c r="D358" s="4">
        <v>40</v>
      </c>
      <c r="E358" s="15">
        <f>$O$2+($O$3*B358)</f>
        <v>45.301534216962018</v>
      </c>
      <c r="F358" s="8">
        <f>VLOOKUP(A358,V$19:$Y363,4,FALSE)</f>
        <v>1.0096776298753929</v>
      </c>
      <c r="G358" s="15">
        <f>E358*F358</f>
        <v>45.73994569790122</v>
      </c>
      <c r="H358" s="8">
        <f t="shared" si="25"/>
        <v>-5.73994569790122</v>
      </c>
      <c r="I358" s="8">
        <f t="shared" si="26"/>
        <v>5.73994569790122</v>
      </c>
      <c r="J358" s="8">
        <f t="shared" si="27"/>
        <v>32.946976614854727</v>
      </c>
      <c r="K358" s="5">
        <f t="shared" si="28"/>
        <v>0.14349864244753049</v>
      </c>
    </row>
    <row r="359" spans="1:11" ht="15.75" customHeight="1">
      <c r="A359" s="4" t="str">
        <f t="shared" si="20"/>
        <v>Dec</v>
      </c>
      <c r="B359" s="4">
        <v>358</v>
      </c>
      <c r="C359" s="3">
        <v>21908</v>
      </c>
      <c r="D359" s="4">
        <v>38</v>
      </c>
      <c r="E359" s="15">
        <f>$O$2+($O$3*B359)</f>
        <v>45.320618770405432</v>
      </c>
      <c r="F359" s="8">
        <f>VLOOKUP(A359,V$19:$Y364,4,FALSE)</f>
        <v>1.0096776298753929</v>
      </c>
      <c r="G359" s="15">
        <f>E359*F359</f>
        <v>45.759214944589196</v>
      </c>
      <c r="H359" s="8">
        <f t="shared" si="25"/>
        <v>-7.7592149445891963</v>
      </c>
      <c r="I359" s="8">
        <f t="shared" si="26"/>
        <v>7.7592149445891963</v>
      </c>
      <c r="J359" s="8">
        <f t="shared" si="27"/>
        <v>60.205416556336324</v>
      </c>
      <c r="K359" s="5">
        <f t="shared" si="28"/>
        <v>0.20418986696287358</v>
      </c>
    </row>
    <row r="360" spans="1:11" ht="15.75" customHeight="1">
      <c r="A360" s="4" t="str">
        <f t="shared" si="20"/>
        <v>Dec</v>
      </c>
      <c r="B360" s="4">
        <v>359</v>
      </c>
      <c r="C360" s="3">
        <v>21909</v>
      </c>
      <c r="D360" s="4">
        <v>44</v>
      </c>
      <c r="E360" s="15">
        <f>$O$2+($O$3*B360)</f>
        <v>45.339703323848845</v>
      </c>
      <c r="F360" s="8">
        <f>VLOOKUP(A360,V$19:$Y365,4,FALSE)</f>
        <v>1.0096776298753929</v>
      </c>
      <c r="G360" s="15">
        <f>E360*F360</f>
        <v>45.778484191277172</v>
      </c>
      <c r="H360" s="8">
        <f t="shared" si="25"/>
        <v>-1.7784841912771725</v>
      </c>
      <c r="I360" s="8">
        <f t="shared" si="26"/>
        <v>1.7784841912771725</v>
      </c>
      <c r="J360" s="8">
        <f t="shared" si="27"/>
        <v>3.1630060186228182</v>
      </c>
      <c r="K360" s="5">
        <f t="shared" si="28"/>
        <v>4.0420095256299374E-2</v>
      </c>
    </row>
    <row r="361" spans="1:11" ht="15.75" customHeight="1">
      <c r="A361" s="4" t="str">
        <f t="shared" si="20"/>
        <v>Dec</v>
      </c>
      <c r="B361" s="4">
        <v>360</v>
      </c>
      <c r="C361" s="3">
        <v>21910</v>
      </c>
      <c r="D361" s="4">
        <v>34</v>
      </c>
      <c r="E361" s="15">
        <f>$O$2+($O$3*B361)</f>
        <v>45.358787877292258</v>
      </c>
      <c r="F361" s="8">
        <f>VLOOKUP(A361,V$19:$Y366,4,FALSE)</f>
        <v>1.0096776298753929</v>
      </c>
      <c r="G361" s="15">
        <f>E361*F361</f>
        <v>45.797753437965149</v>
      </c>
      <c r="H361" s="8">
        <f t="shared" si="25"/>
        <v>-11.797753437965149</v>
      </c>
      <c r="I361" s="8">
        <f t="shared" si="26"/>
        <v>11.797753437965149</v>
      </c>
      <c r="J361" s="8">
        <f t="shared" si="27"/>
        <v>139.18698618301849</v>
      </c>
      <c r="K361" s="5">
        <f t="shared" si="28"/>
        <v>0.34699274817544556</v>
      </c>
    </row>
    <row r="362" spans="1:11" ht="15.75" customHeight="1">
      <c r="A362" s="4" t="str">
        <f t="shared" si="20"/>
        <v>Dec</v>
      </c>
      <c r="B362" s="4">
        <v>361</v>
      </c>
      <c r="C362" s="3">
        <v>21911</v>
      </c>
      <c r="D362" s="4">
        <v>37</v>
      </c>
      <c r="E362" s="15">
        <f>$O$2+($O$3*B362)</f>
        <v>45.377872430735671</v>
      </c>
      <c r="F362" s="8">
        <f>VLOOKUP(A362,V$19:$Y367,4,FALSE)</f>
        <v>1.0096776298753929</v>
      </c>
      <c r="G362" s="15">
        <f>E362*F362</f>
        <v>45.817022684653125</v>
      </c>
      <c r="H362" s="8">
        <f t="shared" si="25"/>
        <v>-8.817022684653125</v>
      </c>
      <c r="I362" s="8">
        <f t="shared" si="26"/>
        <v>8.817022684653125</v>
      </c>
      <c r="J362" s="8">
        <f t="shared" si="27"/>
        <v>77.739889021687802</v>
      </c>
      <c r="K362" s="5">
        <f t="shared" si="28"/>
        <v>0.2382979103960304</v>
      </c>
    </row>
    <row r="363" spans="1:11" ht="15.75" customHeight="1">
      <c r="A363" s="4" t="str">
        <f t="shared" si="20"/>
        <v>Dec</v>
      </c>
      <c r="B363" s="4">
        <v>362</v>
      </c>
      <c r="C363" s="3">
        <v>21912</v>
      </c>
      <c r="D363" s="4">
        <v>52</v>
      </c>
      <c r="E363" s="15">
        <f>$O$2+($O$3*B363)</f>
        <v>45.396956984179084</v>
      </c>
      <c r="F363" s="8">
        <f>VLOOKUP(A363,V$19:$Y368,4,FALSE)</f>
        <v>1.0096776298753929</v>
      </c>
      <c r="G363" s="15">
        <f>E363*F363</f>
        <v>45.836291931341101</v>
      </c>
      <c r="H363" s="8">
        <f t="shared" si="25"/>
        <v>6.1637080686588988</v>
      </c>
      <c r="I363" s="8">
        <f t="shared" si="26"/>
        <v>6.1637080686588988</v>
      </c>
      <c r="J363" s="8">
        <f t="shared" si="27"/>
        <v>37.991297155650813</v>
      </c>
      <c r="K363" s="5">
        <f t="shared" si="28"/>
        <v>0.11853284747420959</v>
      </c>
    </row>
    <row r="364" spans="1:11" ht="15.75" customHeight="1">
      <c r="A364" s="4" t="str">
        <f t="shared" si="20"/>
        <v>Dec</v>
      </c>
      <c r="B364" s="4">
        <v>363</v>
      </c>
      <c r="C364" s="3">
        <v>21913</v>
      </c>
      <c r="D364" s="4">
        <v>48</v>
      </c>
      <c r="E364" s="15">
        <f>$O$2+($O$3*B364)</f>
        <v>45.416041537622498</v>
      </c>
      <c r="F364" s="8">
        <f>VLOOKUP(A364,V$19:$Y369,4,FALSE)</f>
        <v>1.0096776298753929</v>
      </c>
      <c r="G364" s="15">
        <f>E364*F364</f>
        <v>45.855561178029077</v>
      </c>
      <c r="H364" s="8">
        <f t="shared" si="25"/>
        <v>2.1444388219709225</v>
      </c>
      <c r="I364" s="8">
        <f t="shared" si="26"/>
        <v>2.1444388219709225</v>
      </c>
      <c r="J364" s="8">
        <f t="shared" si="27"/>
        <v>4.598617861176038</v>
      </c>
      <c r="K364" s="5">
        <f t="shared" si="28"/>
        <v>4.4675808791060888E-2</v>
      </c>
    </row>
    <row r="365" spans="1:11" ht="15.75" customHeight="1">
      <c r="A365" s="4" t="str">
        <f t="shared" si="20"/>
        <v>Dec</v>
      </c>
      <c r="B365" s="4">
        <v>364</v>
      </c>
      <c r="C365" s="3">
        <v>21914</v>
      </c>
      <c r="D365" s="4">
        <v>55</v>
      </c>
      <c r="E365" s="15">
        <f>$O$2+($O$3*B365)</f>
        <v>45.435126091065911</v>
      </c>
      <c r="F365" s="8">
        <f>VLOOKUP(A365,V$19:$Y370,4,FALSE)</f>
        <v>1.0096776298753929</v>
      </c>
      <c r="G365" s="15">
        <f>E365*F365</f>
        <v>45.874830424717054</v>
      </c>
      <c r="H365" s="8">
        <f t="shared" si="25"/>
        <v>9.1251695752829463</v>
      </c>
      <c r="I365" s="8">
        <f t="shared" si="26"/>
        <v>9.1251695752829463</v>
      </c>
      <c r="J365" s="8">
        <f t="shared" si="27"/>
        <v>83.268719777669546</v>
      </c>
      <c r="K365" s="5">
        <f t="shared" si="28"/>
        <v>0.16591217409605358</v>
      </c>
    </row>
    <row r="366" spans="1:11" ht="15.75" customHeight="1">
      <c r="A366" s="4" t="str">
        <f t="shared" si="20"/>
        <v>Dec</v>
      </c>
      <c r="B366" s="4">
        <v>365</v>
      </c>
      <c r="C366" s="3">
        <v>21915</v>
      </c>
      <c r="D366" s="4">
        <v>50</v>
      </c>
      <c r="E366" s="15">
        <f>$O$2+($O$3*B366)</f>
        <v>45.454210644509324</v>
      </c>
      <c r="F366" s="8">
        <f>VLOOKUP(A366,V$19:$Y371,4,FALSE)</f>
        <v>1.0096776298753929</v>
      </c>
      <c r="G366" s="15">
        <f>E366*F366</f>
        <v>45.89409967140503</v>
      </c>
      <c r="H366" s="8">
        <f t="shared" si="25"/>
        <v>4.10590032859497</v>
      </c>
      <c r="I366" s="8">
        <f t="shared" si="26"/>
        <v>4.10590032859497</v>
      </c>
      <c r="J366" s="8">
        <f t="shared" si="27"/>
        <v>16.858417508356283</v>
      </c>
      <c r="K366" s="5">
        <f t="shared" si="28"/>
        <v>8.2118006571899396E-2</v>
      </c>
    </row>
    <row r="367" spans="1:11" ht="15.75" customHeight="1"/>
    <row r="368" spans="1:11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04F8-760B-4BB8-A588-3A7140ABAFCE}">
  <dimension ref="A1:H458"/>
  <sheetViews>
    <sheetView workbookViewId="0"/>
  </sheetViews>
  <sheetFormatPr defaultRowHeight="15.75"/>
  <cols>
    <col min="1" max="1" width="10.375" bestFit="1" customWidth="1"/>
    <col min="2" max="2" width="9.125" bestFit="1" customWidth="1"/>
    <col min="3" max="3" width="9.875" customWidth="1"/>
    <col min="4" max="5" width="24.125" customWidth="1"/>
    <col min="7" max="7" width="9.625" customWidth="1"/>
    <col min="8" max="8" width="7.5" customWidth="1"/>
  </cols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G1" t="s">
        <v>44</v>
      </c>
      <c r="H1" t="s">
        <v>45</v>
      </c>
    </row>
    <row r="2" spans="1:8">
      <c r="A2" s="31">
        <v>21551</v>
      </c>
      <c r="B2">
        <v>1</v>
      </c>
      <c r="G2" t="s">
        <v>46</v>
      </c>
      <c r="H2" s="33">
        <f>_xlfn.FORECAST.ETS.STAT($B$2:$B$366,$A$2:$A$366,1,1,1)</f>
        <v>0.9</v>
      </c>
    </row>
    <row r="3" spans="1:8">
      <c r="A3" s="31">
        <v>21552</v>
      </c>
      <c r="B3">
        <v>2</v>
      </c>
      <c r="G3" t="s">
        <v>47</v>
      </c>
      <c r="H3" s="33">
        <f>_xlfn.FORECAST.ETS.STAT($B$2:$B$366,$A$2:$A$366,2,1,1)</f>
        <v>1E-3</v>
      </c>
    </row>
    <row r="4" spans="1:8">
      <c r="A4" s="31">
        <v>21553</v>
      </c>
      <c r="B4">
        <v>3</v>
      </c>
      <c r="G4" t="s">
        <v>48</v>
      </c>
      <c r="H4" s="33">
        <f>_xlfn.FORECAST.ETS.STAT($B$2:$B$366,$A$2:$A$366,3,1,1)</f>
        <v>2.2204460492503131E-16</v>
      </c>
    </row>
    <row r="5" spans="1:8">
      <c r="A5" s="31">
        <v>21554</v>
      </c>
      <c r="B5">
        <v>4</v>
      </c>
      <c r="G5" t="s">
        <v>49</v>
      </c>
      <c r="H5" s="33">
        <f>_xlfn.FORECAST.ETS.STAT($B$2:$B$366,$A$2:$A$366,4,1,1)</f>
        <v>0</v>
      </c>
    </row>
    <row r="6" spans="1:8">
      <c r="A6" s="31">
        <v>21555</v>
      </c>
      <c r="B6">
        <v>5</v>
      </c>
      <c r="G6" t="s">
        <v>50</v>
      </c>
      <c r="H6" s="33">
        <f>_xlfn.FORECAST.ETS.STAT($B$2:$B$366,$A$2:$A$366,5,1,1)</f>
        <v>0</v>
      </c>
    </row>
    <row r="7" spans="1:8">
      <c r="A7" s="31">
        <v>21556</v>
      </c>
      <c r="B7">
        <v>6</v>
      </c>
      <c r="G7" t="s">
        <v>7</v>
      </c>
      <c r="H7" s="33">
        <f>_xlfn.FORECAST.ETS.STAT($B$2:$B$366,$A$2:$A$366,6,1,1)</f>
        <v>0</v>
      </c>
    </row>
    <row r="8" spans="1:8">
      <c r="A8" s="31">
        <v>21557</v>
      </c>
      <c r="B8">
        <v>7</v>
      </c>
      <c r="G8" t="s">
        <v>51</v>
      </c>
      <c r="H8" s="33">
        <f>_xlfn.FORECAST.ETS.STAT($B$2:$B$366,$A$2:$A$366,7,1,1)</f>
        <v>0</v>
      </c>
    </row>
    <row r="9" spans="1:8">
      <c r="A9" s="31">
        <v>21558</v>
      </c>
      <c r="B9">
        <v>8</v>
      </c>
    </row>
    <row r="10" spans="1:8">
      <c r="A10" s="31">
        <v>21559</v>
      </c>
      <c r="B10">
        <v>9</v>
      </c>
    </row>
    <row r="11" spans="1:8">
      <c r="A11" s="31">
        <v>21560</v>
      </c>
      <c r="B11">
        <v>10</v>
      </c>
    </row>
    <row r="12" spans="1:8">
      <c r="A12" s="31">
        <v>21561</v>
      </c>
      <c r="B12">
        <v>11</v>
      </c>
    </row>
    <row r="13" spans="1:8">
      <c r="A13" s="31">
        <v>21562</v>
      </c>
      <c r="B13">
        <v>12</v>
      </c>
    </row>
    <row r="14" spans="1:8">
      <c r="A14" s="31">
        <v>21563</v>
      </c>
      <c r="B14">
        <v>13</v>
      </c>
    </row>
    <row r="15" spans="1:8">
      <c r="A15" s="31">
        <v>21564</v>
      </c>
      <c r="B15">
        <v>14</v>
      </c>
    </row>
    <row r="16" spans="1:8">
      <c r="A16" s="31">
        <v>21565</v>
      </c>
      <c r="B16">
        <v>15</v>
      </c>
    </row>
    <row r="17" spans="1:2">
      <c r="A17" s="31">
        <v>21566</v>
      </c>
      <c r="B17">
        <v>16</v>
      </c>
    </row>
    <row r="18" spans="1:2">
      <c r="A18" s="31">
        <v>21567</v>
      </c>
      <c r="B18">
        <v>17</v>
      </c>
    </row>
    <row r="19" spans="1:2">
      <c r="A19" s="31">
        <v>21568</v>
      </c>
      <c r="B19">
        <v>18</v>
      </c>
    </row>
    <row r="20" spans="1:2">
      <c r="A20" s="31">
        <v>21569</v>
      </c>
      <c r="B20">
        <v>19</v>
      </c>
    </row>
    <row r="21" spans="1:2">
      <c r="A21" s="31">
        <v>21570</v>
      </c>
      <c r="B21">
        <v>20</v>
      </c>
    </row>
    <row r="22" spans="1:2">
      <c r="A22" s="31">
        <v>21571</v>
      </c>
      <c r="B22">
        <v>21</v>
      </c>
    </row>
    <row r="23" spans="1:2">
      <c r="A23" s="31">
        <v>21572</v>
      </c>
      <c r="B23">
        <v>22</v>
      </c>
    </row>
    <row r="24" spans="1:2">
      <c r="A24" s="31">
        <v>21573</v>
      </c>
      <c r="B24">
        <v>23</v>
      </c>
    </row>
    <row r="25" spans="1:2">
      <c r="A25" s="31">
        <v>21574</v>
      </c>
      <c r="B25">
        <v>24</v>
      </c>
    </row>
    <row r="26" spans="1:2">
      <c r="A26" s="31">
        <v>21575</v>
      </c>
      <c r="B26">
        <v>25</v>
      </c>
    </row>
    <row r="27" spans="1:2">
      <c r="A27" s="31">
        <v>21576</v>
      </c>
      <c r="B27">
        <v>26</v>
      </c>
    </row>
    <row r="28" spans="1:2">
      <c r="A28" s="31">
        <v>21577</v>
      </c>
      <c r="B28">
        <v>27</v>
      </c>
    </row>
    <row r="29" spans="1:2">
      <c r="A29" s="31">
        <v>21578</v>
      </c>
      <c r="B29">
        <v>28</v>
      </c>
    </row>
    <row r="30" spans="1:2">
      <c r="A30" s="31">
        <v>21579</v>
      </c>
      <c r="B30">
        <v>29</v>
      </c>
    </row>
    <row r="31" spans="1:2">
      <c r="A31" s="31">
        <v>21580</v>
      </c>
      <c r="B31">
        <v>30</v>
      </c>
    </row>
    <row r="32" spans="1:2">
      <c r="A32" s="31">
        <v>21581</v>
      </c>
      <c r="B32">
        <v>31</v>
      </c>
    </row>
    <row r="33" spans="1:2">
      <c r="A33" s="31">
        <v>21582</v>
      </c>
      <c r="B33">
        <v>32</v>
      </c>
    </row>
    <row r="34" spans="1:2">
      <c r="A34" s="31">
        <v>21583</v>
      </c>
      <c r="B34">
        <v>33</v>
      </c>
    </row>
    <row r="35" spans="1:2">
      <c r="A35" s="31">
        <v>21584</v>
      </c>
      <c r="B35">
        <v>34</v>
      </c>
    </row>
    <row r="36" spans="1:2">
      <c r="A36" s="31">
        <v>21585</v>
      </c>
      <c r="B36">
        <v>35</v>
      </c>
    </row>
    <row r="37" spans="1:2">
      <c r="A37" s="31">
        <v>21586</v>
      </c>
      <c r="B37">
        <v>36</v>
      </c>
    </row>
    <row r="38" spans="1:2">
      <c r="A38" s="31">
        <v>21587</v>
      </c>
      <c r="B38">
        <v>37</v>
      </c>
    </row>
    <row r="39" spans="1:2">
      <c r="A39" s="31">
        <v>21588</v>
      </c>
      <c r="B39">
        <v>38</v>
      </c>
    </row>
    <row r="40" spans="1:2">
      <c r="A40" s="31">
        <v>21589</v>
      </c>
      <c r="B40">
        <v>39</v>
      </c>
    </row>
    <row r="41" spans="1:2">
      <c r="A41" s="31">
        <v>21590</v>
      </c>
      <c r="B41">
        <v>40</v>
      </c>
    </row>
    <row r="42" spans="1:2">
      <c r="A42" s="31">
        <v>21591</v>
      </c>
      <c r="B42">
        <v>41</v>
      </c>
    </row>
    <row r="43" spans="1:2">
      <c r="A43" s="31">
        <v>21592</v>
      </c>
      <c r="B43">
        <v>42</v>
      </c>
    </row>
    <row r="44" spans="1:2">
      <c r="A44" s="31">
        <v>21593</v>
      </c>
      <c r="B44">
        <v>43</v>
      </c>
    </row>
    <row r="45" spans="1:2">
      <c r="A45" s="31">
        <v>21594</v>
      </c>
      <c r="B45">
        <v>44</v>
      </c>
    </row>
    <row r="46" spans="1:2">
      <c r="A46" s="31">
        <v>21595</v>
      </c>
      <c r="B46">
        <v>45</v>
      </c>
    </row>
    <row r="47" spans="1:2">
      <c r="A47" s="31">
        <v>21596</v>
      </c>
      <c r="B47">
        <v>46</v>
      </c>
    </row>
    <row r="48" spans="1:2">
      <c r="A48" s="31">
        <v>21597</v>
      </c>
      <c r="B48">
        <v>47</v>
      </c>
    </row>
    <row r="49" spans="1:2">
      <c r="A49" s="31">
        <v>21598</v>
      </c>
      <c r="B49">
        <v>48</v>
      </c>
    </row>
    <row r="50" spans="1:2">
      <c r="A50" s="31">
        <v>21599</v>
      </c>
      <c r="B50">
        <v>49</v>
      </c>
    </row>
    <row r="51" spans="1:2">
      <c r="A51" s="31">
        <v>21600</v>
      </c>
      <c r="B51">
        <v>50</v>
      </c>
    </row>
    <row r="52" spans="1:2">
      <c r="A52" s="31">
        <v>21601</v>
      </c>
      <c r="B52">
        <v>51</v>
      </c>
    </row>
    <row r="53" spans="1:2">
      <c r="A53" s="31">
        <v>21602</v>
      </c>
      <c r="B53">
        <v>52</v>
      </c>
    </row>
    <row r="54" spans="1:2">
      <c r="A54" s="31">
        <v>21603</v>
      </c>
      <c r="B54">
        <v>53</v>
      </c>
    </row>
    <row r="55" spans="1:2">
      <c r="A55" s="31">
        <v>21604</v>
      </c>
      <c r="B55">
        <v>54</v>
      </c>
    </row>
    <row r="56" spans="1:2">
      <c r="A56" s="31">
        <v>21605</v>
      </c>
      <c r="B56">
        <v>55</v>
      </c>
    </row>
    <row r="57" spans="1:2">
      <c r="A57" s="31">
        <v>21606</v>
      </c>
      <c r="B57">
        <v>56</v>
      </c>
    </row>
    <row r="58" spans="1:2">
      <c r="A58" s="31">
        <v>21607</v>
      </c>
      <c r="B58">
        <v>57</v>
      </c>
    </row>
    <row r="59" spans="1:2">
      <c r="A59" s="31">
        <v>21608</v>
      </c>
      <c r="B59">
        <v>58</v>
      </c>
    </row>
    <row r="60" spans="1:2">
      <c r="A60" s="31">
        <v>21609</v>
      </c>
      <c r="B60">
        <v>59</v>
      </c>
    </row>
    <row r="61" spans="1:2">
      <c r="A61" s="31">
        <v>21610</v>
      </c>
      <c r="B61">
        <v>60</v>
      </c>
    </row>
    <row r="62" spans="1:2">
      <c r="A62" s="31">
        <v>21611</v>
      </c>
      <c r="B62">
        <v>61</v>
      </c>
    </row>
    <row r="63" spans="1:2">
      <c r="A63" s="31">
        <v>21612</v>
      </c>
      <c r="B63">
        <v>62</v>
      </c>
    </row>
    <row r="64" spans="1:2">
      <c r="A64" s="31">
        <v>21613</v>
      </c>
      <c r="B64">
        <v>63</v>
      </c>
    </row>
    <row r="65" spans="1:2">
      <c r="A65" s="31">
        <v>21614</v>
      </c>
      <c r="B65">
        <v>64</v>
      </c>
    </row>
    <row r="66" spans="1:2">
      <c r="A66" s="31">
        <v>21615</v>
      </c>
      <c r="B66">
        <v>65</v>
      </c>
    </row>
    <row r="67" spans="1:2">
      <c r="A67" s="31">
        <v>21616</v>
      </c>
      <c r="B67">
        <v>66</v>
      </c>
    </row>
    <row r="68" spans="1:2">
      <c r="A68" s="31">
        <v>21617</v>
      </c>
      <c r="B68">
        <v>67</v>
      </c>
    </row>
    <row r="69" spans="1:2">
      <c r="A69" s="31">
        <v>21618</v>
      </c>
      <c r="B69">
        <v>68</v>
      </c>
    </row>
    <row r="70" spans="1:2">
      <c r="A70" s="31">
        <v>21619</v>
      </c>
      <c r="B70">
        <v>69</v>
      </c>
    </row>
    <row r="71" spans="1:2">
      <c r="A71" s="31">
        <v>21620</v>
      </c>
      <c r="B71">
        <v>70</v>
      </c>
    </row>
    <row r="72" spans="1:2">
      <c r="A72" s="31">
        <v>21621</v>
      </c>
      <c r="B72">
        <v>71</v>
      </c>
    </row>
    <row r="73" spans="1:2">
      <c r="A73" s="31">
        <v>21622</v>
      </c>
      <c r="B73">
        <v>72</v>
      </c>
    </row>
    <row r="74" spans="1:2">
      <c r="A74" s="31">
        <v>21623</v>
      </c>
      <c r="B74">
        <v>73</v>
      </c>
    </row>
    <row r="75" spans="1:2">
      <c r="A75" s="31">
        <v>21624</v>
      </c>
      <c r="B75">
        <v>74</v>
      </c>
    </row>
    <row r="76" spans="1:2">
      <c r="A76" s="31">
        <v>21625</v>
      </c>
      <c r="B76">
        <v>75</v>
      </c>
    </row>
    <row r="77" spans="1:2">
      <c r="A77" s="31">
        <v>21626</v>
      </c>
      <c r="B77">
        <v>76</v>
      </c>
    </row>
    <row r="78" spans="1:2">
      <c r="A78" s="31">
        <v>21627</v>
      </c>
      <c r="B78">
        <v>77</v>
      </c>
    </row>
    <row r="79" spans="1:2">
      <c r="A79" s="31">
        <v>21628</v>
      </c>
      <c r="B79">
        <v>78</v>
      </c>
    </row>
    <row r="80" spans="1:2">
      <c r="A80" s="31">
        <v>21629</v>
      </c>
      <c r="B80">
        <v>79</v>
      </c>
    </row>
    <row r="81" spans="1:2">
      <c r="A81" s="31">
        <v>21630</v>
      </c>
      <c r="B81">
        <v>80</v>
      </c>
    </row>
    <row r="82" spans="1:2">
      <c r="A82" s="31">
        <v>21631</v>
      </c>
      <c r="B82">
        <v>81</v>
      </c>
    </row>
    <row r="83" spans="1:2">
      <c r="A83" s="31">
        <v>21632</v>
      </c>
      <c r="B83">
        <v>82</v>
      </c>
    </row>
    <row r="84" spans="1:2">
      <c r="A84" s="31">
        <v>21633</v>
      </c>
      <c r="B84">
        <v>83</v>
      </c>
    </row>
    <row r="85" spans="1:2">
      <c r="A85" s="31">
        <v>21634</v>
      </c>
      <c r="B85">
        <v>84</v>
      </c>
    </row>
    <row r="86" spans="1:2">
      <c r="A86" s="31">
        <v>21635</v>
      </c>
      <c r="B86">
        <v>85</v>
      </c>
    </row>
    <row r="87" spans="1:2">
      <c r="A87" s="31">
        <v>21636</v>
      </c>
      <c r="B87">
        <v>86</v>
      </c>
    </row>
    <row r="88" spans="1:2">
      <c r="A88" s="31">
        <v>21637</v>
      </c>
      <c r="B88">
        <v>87</v>
      </c>
    </row>
    <row r="89" spans="1:2">
      <c r="A89" s="31">
        <v>21638</v>
      </c>
      <c r="B89">
        <v>88</v>
      </c>
    </row>
    <row r="90" spans="1:2">
      <c r="A90" s="31">
        <v>21639</v>
      </c>
      <c r="B90">
        <v>89</v>
      </c>
    </row>
    <row r="91" spans="1:2">
      <c r="A91" s="31">
        <v>21640</v>
      </c>
      <c r="B91">
        <v>90</v>
      </c>
    </row>
    <row r="92" spans="1:2">
      <c r="A92" s="31">
        <v>21641</v>
      </c>
      <c r="B92">
        <v>91</v>
      </c>
    </row>
    <row r="93" spans="1:2">
      <c r="A93" s="31">
        <v>21642</v>
      </c>
      <c r="B93">
        <v>92</v>
      </c>
    </row>
    <row r="94" spans="1:2">
      <c r="A94" s="31">
        <v>21643</v>
      </c>
      <c r="B94">
        <v>93</v>
      </c>
    </row>
    <row r="95" spans="1:2">
      <c r="A95" s="31">
        <v>21644</v>
      </c>
      <c r="B95">
        <v>94</v>
      </c>
    </row>
    <row r="96" spans="1:2">
      <c r="A96" s="31">
        <v>21645</v>
      </c>
      <c r="B96">
        <v>95</v>
      </c>
    </row>
    <row r="97" spans="1:2">
      <c r="A97" s="31">
        <v>21646</v>
      </c>
      <c r="B97">
        <v>96</v>
      </c>
    </row>
    <row r="98" spans="1:2">
      <c r="A98" s="31">
        <v>21647</v>
      </c>
      <c r="B98">
        <v>97</v>
      </c>
    </row>
    <row r="99" spans="1:2">
      <c r="A99" s="31">
        <v>21648</v>
      </c>
      <c r="B99">
        <v>98</v>
      </c>
    </row>
    <row r="100" spans="1:2">
      <c r="A100" s="31">
        <v>21649</v>
      </c>
      <c r="B100">
        <v>99</v>
      </c>
    </row>
    <row r="101" spans="1:2">
      <c r="A101" s="31">
        <v>21650</v>
      </c>
      <c r="B101">
        <v>100</v>
      </c>
    </row>
    <row r="102" spans="1:2">
      <c r="A102" s="31">
        <v>21651</v>
      </c>
      <c r="B102">
        <v>101</v>
      </c>
    </row>
    <row r="103" spans="1:2">
      <c r="A103" s="31">
        <v>21652</v>
      </c>
      <c r="B103">
        <v>102</v>
      </c>
    </row>
    <row r="104" spans="1:2">
      <c r="A104" s="31">
        <v>21653</v>
      </c>
      <c r="B104">
        <v>103</v>
      </c>
    </row>
    <row r="105" spans="1:2">
      <c r="A105" s="31">
        <v>21654</v>
      </c>
      <c r="B105">
        <v>104</v>
      </c>
    </row>
    <row r="106" spans="1:2">
      <c r="A106" s="31">
        <v>21655</v>
      </c>
      <c r="B106">
        <v>105</v>
      </c>
    </row>
    <row r="107" spans="1:2">
      <c r="A107" s="31">
        <v>21656</v>
      </c>
      <c r="B107">
        <v>106</v>
      </c>
    </row>
    <row r="108" spans="1:2">
      <c r="A108" s="31">
        <v>21657</v>
      </c>
      <c r="B108">
        <v>107</v>
      </c>
    </row>
    <row r="109" spans="1:2">
      <c r="A109" s="31">
        <v>21658</v>
      </c>
      <c r="B109">
        <v>108</v>
      </c>
    </row>
    <row r="110" spans="1:2">
      <c r="A110" s="31">
        <v>21659</v>
      </c>
      <c r="B110">
        <v>109</v>
      </c>
    </row>
    <row r="111" spans="1:2">
      <c r="A111" s="31">
        <v>21660</v>
      </c>
      <c r="B111">
        <v>110</v>
      </c>
    </row>
    <row r="112" spans="1:2">
      <c r="A112" s="31">
        <v>21661</v>
      </c>
      <c r="B112">
        <v>111</v>
      </c>
    </row>
    <row r="113" spans="1:2">
      <c r="A113" s="31">
        <v>21662</v>
      </c>
      <c r="B113">
        <v>112</v>
      </c>
    </row>
    <row r="114" spans="1:2">
      <c r="A114" s="31">
        <v>21663</v>
      </c>
      <c r="B114">
        <v>113</v>
      </c>
    </row>
    <row r="115" spans="1:2">
      <c r="A115" s="31">
        <v>21664</v>
      </c>
      <c r="B115">
        <v>114</v>
      </c>
    </row>
    <row r="116" spans="1:2">
      <c r="A116" s="31">
        <v>21665</v>
      </c>
      <c r="B116">
        <v>115</v>
      </c>
    </row>
    <row r="117" spans="1:2">
      <c r="A117" s="31">
        <v>21666</v>
      </c>
      <c r="B117">
        <v>116</v>
      </c>
    </row>
    <row r="118" spans="1:2">
      <c r="A118" s="31">
        <v>21667</v>
      </c>
      <c r="B118">
        <v>117</v>
      </c>
    </row>
    <row r="119" spans="1:2">
      <c r="A119" s="31">
        <v>21668</v>
      </c>
      <c r="B119">
        <v>118</v>
      </c>
    </row>
    <row r="120" spans="1:2">
      <c r="A120" s="31">
        <v>21669</v>
      </c>
      <c r="B120">
        <v>119</v>
      </c>
    </row>
    <row r="121" spans="1:2">
      <c r="A121" s="31">
        <v>21670</v>
      </c>
      <c r="B121">
        <v>120</v>
      </c>
    </row>
    <row r="122" spans="1:2">
      <c r="A122" s="31">
        <v>21671</v>
      </c>
      <c r="B122">
        <v>121</v>
      </c>
    </row>
    <row r="123" spans="1:2">
      <c r="A123" s="31">
        <v>21672</v>
      </c>
      <c r="B123">
        <v>122</v>
      </c>
    </row>
    <row r="124" spans="1:2">
      <c r="A124" s="31">
        <v>21673</v>
      </c>
      <c r="B124">
        <v>123</v>
      </c>
    </row>
    <row r="125" spans="1:2">
      <c r="A125" s="31">
        <v>21674</v>
      </c>
      <c r="B125">
        <v>124</v>
      </c>
    </row>
    <row r="126" spans="1:2">
      <c r="A126" s="31">
        <v>21675</v>
      </c>
      <c r="B126">
        <v>125</v>
      </c>
    </row>
    <row r="127" spans="1:2">
      <c r="A127" s="31">
        <v>21676</v>
      </c>
      <c r="B127">
        <v>126</v>
      </c>
    </row>
    <row r="128" spans="1:2">
      <c r="A128" s="31">
        <v>21677</v>
      </c>
      <c r="B128">
        <v>127</v>
      </c>
    </row>
    <row r="129" spans="1:2">
      <c r="A129" s="31">
        <v>21678</v>
      </c>
      <c r="B129">
        <v>128</v>
      </c>
    </row>
    <row r="130" spans="1:2">
      <c r="A130" s="31">
        <v>21679</v>
      </c>
      <c r="B130">
        <v>129</v>
      </c>
    </row>
    <row r="131" spans="1:2">
      <c r="A131" s="31">
        <v>21680</v>
      </c>
      <c r="B131">
        <v>130</v>
      </c>
    </row>
    <row r="132" spans="1:2">
      <c r="A132" s="31">
        <v>21681</v>
      </c>
      <c r="B132">
        <v>131</v>
      </c>
    </row>
    <row r="133" spans="1:2">
      <c r="A133" s="31">
        <v>21682</v>
      </c>
      <c r="B133">
        <v>132</v>
      </c>
    </row>
    <row r="134" spans="1:2">
      <c r="A134" s="31">
        <v>21683</v>
      </c>
      <c r="B134">
        <v>133</v>
      </c>
    </row>
    <row r="135" spans="1:2">
      <c r="A135" s="31">
        <v>21684</v>
      </c>
      <c r="B135">
        <v>134</v>
      </c>
    </row>
    <row r="136" spans="1:2">
      <c r="A136" s="31">
        <v>21685</v>
      </c>
      <c r="B136">
        <v>135</v>
      </c>
    </row>
    <row r="137" spans="1:2">
      <c r="A137" s="31">
        <v>21686</v>
      </c>
      <c r="B137">
        <v>136</v>
      </c>
    </row>
    <row r="138" spans="1:2">
      <c r="A138" s="31">
        <v>21687</v>
      </c>
      <c r="B138">
        <v>137</v>
      </c>
    </row>
    <row r="139" spans="1:2">
      <c r="A139" s="31">
        <v>21688</v>
      </c>
      <c r="B139">
        <v>138</v>
      </c>
    </row>
    <row r="140" spans="1:2">
      <c r="A140" s="31">
        <v>21689</v>
      </c>
      <c r="B140">
        <v>139</v>
      </c>
    </row>
    <row r="141" spans="1:2">
      <c r="A141" s="31">
        <v>21690</v>
      </c>
      <c r="B141">
        <v>140</v>
      </c>
    </row>
    <row r="142" spans="1:2">
      <c r="A142" s="31">
        <v>21691</v>
      </c>
      <c r="B142">
        <v>141</v>
      </c>
    </row>
    <row r="143" spans="1:2">
      <c r="A143" s="31">
        <v>21692</v>
      </c>
      <c r="B143">
        <v>142</v>
      </c>
    </row>
    <row r="144" spans="1:2">
      <c r="A144" s="31">
        <v>21693</v>
      </c>
      <c r="B144">
        <v>143</v>
      </c>
    </row>
    <row r="145" spans="1:2">
      <c r="A145" s="31">
        <v>21694</v>
      </c>
      <c r="B145">
        <v>144</v>
      </c>
    </row>
    <row r="146" spans="1:2">
      <c r="A146" s="31">
        <v>21695</v>
      </c>
      <c r="B146">
        <v>145</v>
      </c>
    </row>
    <row r="147" spans="1:2">
      <c r="A147" s="31">
        <v>21696</v>
      </c>
      <c r="B147">
        <v>146</v>
      </c>
    </row>
    <row r="148" spans="1:2">
      <c r="A148" s="31">
        <v>21697</v>
      </c>
      <c r="B148">
        <v>147</v>
      </c>
    </row>
    <row r="149" spans="1:2">
      <c r="A149" s="31">
        <v>21698</v>
      </c>
      <c r="B149">
        <v>148</v>
      </c>
    </row>
    <row r="150" spans="1:2">
      <c r="A150" s="31">
        <v>21699</v>
      </c>
      <c r="B150">
        <v>149</v>
      </c>
    </row>
    <row r="151" spans="1:2">
      <c r="A151" s="31">
        <v>21700</v>
      </c>
      <c r="B151">
        <v>150</v>
      </c>
    </row>
    <row r="152" spans="1:2">
      <c r="A152" s="31">
        <v>21701</v>
      </c>
      <c r="B152">
        <v>151</v>
      </c>
    </row>
    <row r="153" spans="1:2">
      <c r="A153" s="31">
        <v>21702</v>
      </c>
      <c r="B153">
        <v>152</v>
      </c>
    </row>
    <row r="154" spans="1:2">
      <c r="A154" s="31">
        <v>21703</v>
      </c>
      <c r="B154">
        <v>153</v>
      </c>
    </row>
    <row r="155" spans="1:2">
      <c r="A155" s="31">
        <v>21704</v>
      </c>
      <c r="B155">
        <v>154</v>
      </c>
    </row>
    <row r="156" spans="1:2">
      <c r="A156" s="31">
        <v>21705</v>
      </c>
      <c r="B156">
        <v>155</v>
      </c>
    </row>
    <row r="157" spans="1:2">
      <c r="A157" s="31">
        <v>21706</v>
      </c>
      <c r="B157">
        <v>156</v>
      </c>
    </row>
    <row r="158" spans="1:2">
      <c r="A158" s="31">
        <v>21707</v>
      </c>
      <c r="B158">
        <v>157</v>
      </c>
    </row>
    <row r="159" spans="1:2">
      <c r="A159" s="31">
        <v>21708</v>
      </c>
      <c r="B159">
        <v>158</v>
      </c>
    </row>
    <row r="160" spans="1:2">
      <c r="A160" s="31">
        <v>21709</v>
      </c>
      <c r="B160">
        <v>159</v>
      </c>
    </row>
    <row r="161" spans="1:2">
      <c r="A161" s="31">
        <v>21710</v>
      </c>
      <c r="B161">
        <v>160</v>
      </c>
    </row>
    <row r="162" spans="1:2">
      <c r="A162" s="31">
        <v>21711</v>
      </c>
      <c r="B162">
        <v>161</v>
      </c>
    </row>
    <row r="163" spans="1:2">
      <c r="A163" s="31">
        <v>21712</v>
      </c>
      <c r="B163">
        <v>162</v>
      </c>
    </row>
    <row r="164" spans="1:2">
      <c r="A164" s="31">
        <v>21713</v>
      </c>
      <c r="B164">
        <v>163</v>
      </c>
    </row>
    <row r="165" spans="1:2">
      <c r="A165" s="31">
        <v>21714</v>
      </c>
      <c r="B165">
        <v>164</v>
      </c>
    </row>
    <row r="166" spans="1:2">
      <c r="A166" s="31">
        <v>21715</v>
      </c>
      <c r="B166">
        <v>165</v>
      </c>
    </row>
    <row r="167" spans="1:2">
      <c r="A167" s="31">
        <v>21716</v>
      </c>
      <c r="B167">
        <v>166</v>
      </c>
    </row>
    <row r="168" spans="1:2">
      <c r="A168" s="31">
        <v>21717</v>
      </c>
      <c r="B168">
        <v>167</v>
      </c>
    </row>
    <row r="169" spans="1:2">
      <c r="A169" s="31">
        <v>21718</v>
      </c>
      <c r="B169">
        <v>168</v>
      </c>
    </row>
    <row r="170" spans="1:2">
      <c r="A170" s="31">
        <v>21719</v>
      </c>
      <c r="B170">
        <v>169</v>
      </c>
    </row>
    <row r="171" spans="1:2">
      <c r="A171" s="31">
        <v>21720</v>
      </c>
      <c r="B171">
        <v>170</v>
      </c>
    </row>
    <row r="172" spans="1:2">
      <c r="A172" s="31">
        <v>21721</v>
      </c>
      <c r="B172">
        <v>171</v>
      </c>
    </row>
    <row r="173" spans="1:2">
      <c r="A173" s="31">
        <v>21722</v>
      </c>
      <c r="B173">
        <v>172</v>
      </c>
    </row>
    <row r="174" spans="1:2">
      <c r="A174" s="31">
        <v>21723</v>
      </c>
      <c r="B174">
        <v>173</v>
      </c>
    </row>
    <row r="175" spans="1:2">
      <c r="A175" s="31">
        <v>21724</v>
      </c>
      <c r="B175">
        <v>174</v>
      </c>
    </row>
    <row r="176" spans="1:2">
      <c r="A176" s="31">
        <v>21725</v>
      </c>
      <c r="B176">
        <v>175</v>
      </c>
    </row>
    <row r="177" spans="1:2">
      <c r="A177" s="31">
        <v>21726</v>
      </c>
      <c r="B177">
        <v>176</v>
      </c>
    </row>
    <row r="178" spans="1:2">
      <c r="A178" s="31">
        <v>21727</v>
      </c>
      <c r="B178">
        <v>177</v>
      </c>
    </row>
    <row r="179" spans="1:2">
      <c r="A179" s="31">
        <v>21728</v>
      </c>
      <c r="B179">
        <v>178</v>
      </c>
    </row>
    <row r="180" spans="1:2">
      <c r="A180" s="31">
        <v>21729</v>
      </c>
      <c r="B180">
        <v>179</v>
      </c>
    </row>
    <row r="181" spans="1:2">
      <c r="A181" s="31">
        <v>21730</v>
      </c>
      <c r="B181">
        <v>180</v>
      </c>
    </row>
    <row r="182" spans="1:2">
      <c r="A182" s="31">
        <v>21731</v>
      </c>
      <c r="B182">
        <v>181</v>
      </c>
    </row>
    <row r="183" spans="1:2">
      <c r="A183" s="31">
        <v>21732</v>
      </c>
      <c r="B183">
        <v>182</v>
      </c>
    </row>
    <row r="184" spans="1:2">
      <c r="A184" s="31">
        <v>21733</v>
      </c>
      <c r="B184">
        <v>183</v>
      </c>
    </row>
    <row r="185" spans="1:2">
      <c r="A185" s="31">
        <v>21734</v>
      </c>
      <c r="B185">
        <v>184</v>
      </c>
    </row>
    <row r="186" spans="1:2">
      <c r="A186" s="31">
        <v>21735</v>
      </c>
      <c r="B186">
        <v>185</v>
      </c>
    </row>
    <row r="187" spans="1:2">
      <c r="A187" s="31">
        <v>21736</v>
      </c>
      <c r="B187">
        <v>186</v>
      </c>
    </row>
    <row r="188" spans="1:2">
      <c r="A188" s="31">
        <v>21737</v>
      </c>
      <c r="B188">
        <v>187</v>
      </c>
    </row>
    <row r="189" spans="1:2">
      <c r="A189" s="31">
        <v>21738</v>
      </c>
      <c r="B189">
        <v>188</v>
      </c>
    </row>
    <row r="190" spans="1:2">
      <c r="A190" s="31">
        <v>21739</v>
      </c>
      <c r="B190">
        <v>189</v>
      </c>
    </row>
    <row r="191" spans="1:2">
      <c r="A191" s="31">
        <v>21740</v>
      </c>
      <c r="B191">
        <v>190</v>
      </c>
    </row>
    <row r="192" spans="1:2">
      <c r="A192" s="31">
        <v>21741</v>
      </c>
      <c r="B192">
        <v>191</v>
      </c>
    </row>
    <row r="193" spans="1:2">
      <c r="A193" s="31">
        <v>21742</v>
      </c>
      <c r="B193">
        <v>192</v>
      </c>
    </row>
    <row r="194" spans="1:2">
      <c r="A194" s="31">
        <v>21743</v>
      </c>
      <c r="B194">
        <v>193</v>
      </c>
    </row>
    <row r="195" spans="1:2">
      <c r="A195" s="31">
        <v>21744</v>
      </c>
      <c r="B195">
        <v>194</v>
      </c>
    </row>
    <row r="196" spans="1:2">
      <c r="A196" s="31">
        <v>21745</v>
      </c>
      <c r="B196">
        <v>195</v>
      </c>
    </row>
    <row r="197" spans="1:2">
      <c r="A197" s="31">
        <v>21746</v>
      </c>
      <c r="B197">
        <v>196</v>
      </c>
    </row>
    <row r="198" spans="1:2">
      <c r="A198" s="31">
        <v>21747</v>
      </c>
      <c r="B198">
        <v>197</v>
      </c>
    </row>
    <row r="199" spans="1:2">
      <c r="A199" s="31">
        <v>21748</v>
      </c>
      <c r="B199">
        <v>198</v>
      </c>
    </row>
    <row r="200" spans="1:2">
      <c r="A200" s="31">
        <v>21749</v>
      </c>
      <c r="B200">
        <v>199</v>
      </c>
    </row>
    <row r="201" spans="1:2">
      <c r="A201" s="31">
        <v>21750</v>
      </c>
      <c r="B201">
        <v>200</v>
      </c>
    </row>
    <row r="202" spans="1:2">
      <c r="A202" s="31">
        <v>21751</v>
      </c>
      <c r="B202">
        <v>201</v>
      </c>
    </row>
    <row r="203" spans="1:2">
      <c r="A203" s="31">
        <v>21752</v>
      </c>
      <c r="B203">
        <v>202</v>
      </c>
    </row>
    <row r="204" spans="1:2">
      <c r="A204" s="31">
        <v>21753</v>
      </c>
      <c r="B204">
        <v>203</v>
      </c>
    </row>
    <row r="205" spans="1:2">
      <c r="A205" s="31">
        <v>21754</v>
      </c>
      <c r="B205">
        <v>204</v>
      </c>
    </row>
    <row r="206" spans="1:2">
      <c r="A206" s="31">
        <v>21755</v>
      </c>
      <c r="B206">
        <v>205</v>
      </c>
    </row>
    <row r="207" spans="1:2">
      <c r="A207" s="31">
        <v>21756</v>
      </c>
      <c r="B207">
        <v>206</v>
      </c>
    </row>
    <row r="208" spans="1:2">
      <c r="A208" s="31">
        <v>21757</v>
      </c>
      <c r="B208">
        <v>207</v>
      </c>
    </row>
    <row r="209" spans="1:2">
      <c r="A209" s="31">
        <v>21758</v>
      </c>
      <c r="B209">
        <v>208</v>
      </c>
    </row>
    <row r="210" spans="1:2">
      <c r="A210" s="31">
        <v>21759</v>
      </c>
      <c r="B210">
        <v>209</v>
      </c>
    </row>
    <row r="211" spans="1:2">
      <c r="A211" s="31">
        <v>21760</v>
      </c>
      <c r="B211">
        <v>210</v>
      </c>
    </row>
    <row r="212" spans="1:2">
      <c r="A212" s="31">
        <v>21761</v>
      </c>
      <c r="B212">
        <v>211</v>
      </c>
    </row>
    <row r="213" spans="1:2">
      <c r="A213" s="31">
        <v>21762</v>
      </c>
      <c r="B213">
        <v>212</v>
      </c>
    </row>
    <row r="214" spans="1:2">
      <c r="A214" s="31">
        <v>21763</v>
      </c>
      <c r="B214">
        <v>213</v>
      </c>
    </row>
    <row r="215" spans="1:2">
      <c r="A215" s="31">
        <v>21764</v>
      </c>
      <c r="B215">
        <v>214</v>
      </c>
    </row>
    <row r="216" spans="1:2">
      <c r="A216" s="31">
        <v>21765</v>
      </c>
      <c r="B216">
        <v>215</v>
      </c>
    </row>
    <row r="217" spans="1:2">
      <c r="A217" s="31">
        <v>21766</v>
      </c>
      <c r="B217">
        <v>216</v>
      </c>
    </row>
    <row r="218" spans="1:2">
      <c r="A218" s="31">
        <v>21767</v>
      </c>
      <c r="B218">
        <v>217</v>
      </c>
    </row>
    <row r="219" spans="1:2">
      <c r="A219" s="31">
        <v>21768</v>
      </c>
      <c r="B219">
        <v>218</v>
      </c>
    </row>
    <row r="220" spans="1:2">
      <c r="A220" s="31">
        <v>21769</v>
      </c>
      <c r="B220">
        <v>219</v>
      </c>
    </row>
    <row r="221" spans="1:2">
      <c r="A221" s="31">
        <v>21770</v>
      </c>
      <c r="B221">
        <v>220</v>
      </c>
    </row>
    <row r="222" spans="1:2">
      <c r="A222" s="31">
        <v>21771</v>
      </c>
      <c r="B222">
        <v>221</v>
      </c>
    </row>
    <row r="223" spans="1:2">
      <c r="A223" s="31">
        <v>21772</v>
      </c>
      <c r="B223">
        <v>222</v>
      </c>
    </row>
    <row r="224" spans="1:2">
      <c r="A224" s="31">
        <v>21773</v>
      </c>
      <c r="B224">
        <v>223</v>
      </c>
    </row>
    <row r="225" spans="1:2">
      <c r="A225" s="31">
        <v>21774</v>
      </c>
      <c r="B225">
        <v>224</v>
      </c>
    </row>
    <row r="226" spans="1:2">
      <c r="A226" s="31">
        <v>21775</v>
      </c>
      <c r="B226">
        <v>225</v>
      </c>
    </row>
    <row r="227" spans="1:2">
      <c r="A227" s="31">
        <v>21776</v>
      </c>
      <c r="B227">
        <v>226</v>
      </c>
    </row>
    <row r="228" spans="1:2">
      <c r="A228" s="31">
        <v>21777</v>
      </c>
      <c r="B228">
        <v>227</v>
      </c>
    </row>
    <row r="229" spans="1:2">
      <c r="A229" s="31">
        <v>21778</v>
      </c>
      <c r="B229">
        <v>228</v>
      </c>
    </row>
    <row r="230" spans="1:2">
      <c r="A230" s="31">
        <v>21779</v>
      </c>
      <c r="B230">
        <v>229</v>
      </c>
    </row>
    <row r="231" spans="1:2">
      <c r="A231" s="31">
        <v>21780</v>
      </c>
      <c r="B231">
        <v>230</v>
      </c>
    </row>
    <row r="232" spans="1:2">
      <c r="A232" s="31">
        <v>21781</v>
      </c>
      <c r="B232">
        <v>231</v>
      </c>
    </row>
    <row r="233" spans="1:2">
      <c r="A233" s="31">
        <v>21782</v>
      </c>
      <c r="B233">
        <v>232</v>
      </c>
    </row>
    <row r="234" spans="1:2">
      <c r="A234" s="31">
        <v>21783</v>
      </c>
      <c r="B234">
        <v>233</v>
      </c>
    </row>
    <row r="235" spans="1:2">
      <c r="A235" s="31">
        <v>21784</v>
      </c>
      <c r="B235">
        <v>234</v>
      </c>
    </row>
    <row r="236" spans="1:2">
      <c r="A236" s="31">
        <v>21785</v>
      </c>
      <c r="B236">
        <v>235</v>
      </c>
    </row>
    <row r="237" spans="1:2">
      <c r="A237" s="31">
        <v>21786</v>
      </c>
      <c r="B237">
        <v>236</v>
      </c>
    </row>
    <row r="238" spans="1:2">
      <c r="A238" s="31">
        <v>21787</v>
      </c>
      <c r="B238">
        <v>237</v>
      </c>
    </row>
    <row r="239" spans="1:2">
      <c r="A239" s="31">
        <v>21788</v>
      </c>
      <c r="B239">
        <v>238</v>
      </c>
    </row>
    <row r="240" spans="1:2">
      <c r="A240" s="31">
        <v>21789</v>
      </c>
      <c r="B240">
        <v>239</v>
      </c>
    </row>
    <row r="241" spans="1:2">
      <c r="A241" s="31">
        <v>21790</v>
      </c>
      <c r="B241">
        <v>240</v>
      </c>
    </row>
    <row r="242" spans="1:2">
      <c r="A242" s="31">
        <v>21791</v>
      </c>
      <c r="B242">
        <v>241</v>
      </c>
    </row>
    <row r="243" spans="1:2">
      <c r="A243" s="31">
        <v>21792</v>
      </c>
      <c r="B243">
        <v>242</v>
      </c>
    </row>
    <row r="244" spans="1:2">
      <c r="A244" s="31">
        <v>21793</v>
      </c>
      <c r="B244">
        <v>243</v>
      </c>
    </row>
    <row r="245" spans="1:2">
      <c r="A245" s="31">
        <v>21794</v>
      </c>
      <c r="B245">
        <v>244</v>
      </c>
    </row>
    <row r="246" spans="1:2">
      <c r="A246" s="31">
        <v>21795</v>
      </c>
      <c r="B246">
        <v>245</v>
      </c>
    </row>
    <row r="247" spans="1:2">
      <c r="A247" s="31">
        <v>21796</v>
      </c>
      <c r="B247">
        <v>246</v>
      </c>
    </row>
    <row r="248" spans="1:2">
      <c r="A248" s="31">
        <v>21797</v>
      </c>
      <c r="B248">
        <v>247</v>
      </c>
    </row>
    <row r="249" spans="1:2">
      <c r="A249" s="31">
        <v>21798</v>
      </c>
      <c r="B249">
        <v>248</v>
      </c>
    </row>
    <row r="250" spans="1:2">
      <c r="A250" s="31">
        <v>21799</v>
      </c>
      <c r="B250">
        <v>249</v>
      </c>
    </row>
    <row r="251" spans="1:2">
      <c r="A251" s="31">
        <v>21800</v>
      </c>
      <c r="B251">
        <v>250</v>
      </c>
    </row>
    <row r="252" spans="1:2">
      <c r="A252" s="31">
        <v>21801</v>
      </c>
      <c r="B252">
        <v>251</v>
      </c>
    </row>
    <row r="253" spans="1:2">
      <c r="A253" s="31">
        <v>21802</v>
      </c>
      <c r="B253">
        <v>252</v>
      </c>
    </row>
    <row r="254" spans="1:2">
      <c r="A254" s="31">
        <v>21803</v>
      </c>
      <c r="B254">
        <v>253</v>
      </c>
    </row>
    <row r="255" spans="1:2">
      <c r="A255" s="31">
        <v>21804</v>
      </c>
      <c r="B255">
        <v>254</v>
      </c>
    </row>
    <row r="256" spans="1:2">
      <c r="A256" s="31">
        <v>21805</v>
      </c>
      <c r="B256">
        <v>255</v>
      </c>
    </row>
    <row r="257" spans="1:2">
      <c r="A257" s="31">
        <v>21806</v>
      </c>
      <c r="B257">
        <v>256</v>
      </c>
    </row>
    <row r="258" spans="1:2">
      <c r="A258" s="31">
        <v>21807</v>
      </c>
      <c r="B258">
        <v>257</v>
      </c>
    </row>
    <row r="259" spans="1:2">
      <c r="A259" s="31">
        <v>21808</v>
      </c>
      <c r="B259">
        <v>258</v>
      </c>
    </row>
    <row r="260" spans="1:2">
      <c r="A260" s="31">
        <v>21809</v>
      </c>
      <c r="B260">
        <v>259</v>
      </c>
    </row>
    <row r="261" spans="1:2">
      <c r="A261" s="31">
        <v>21810</v>
      </c>
      <c r="B261">
        <v>260</v>
      </c>
    </row>
    <row r="262" spans="1:2">
      <c r="A262" s="31">
        <v>21811</v>
      </c>
      <c r="B262">
        <v>261</v>
      </c>
    </row>
    <row r="263" spans="1:2">
      <c r="A263" s="31">
        <v>21812</v>
      </c>
      <c r="B263">
        <v>262</v>
      </c>
    </row>
    <row r="264" spans="1:2">
      <c r="A264" s="31">
        <v>21813</v>
      </c>
      <c r="B264">
        <v>263</v>
      </c>
    </row>
    <row r="265" spans="1:2">
      <c r="A265" s="31">
        <v>21814</v>
      </c>
      <c r="B265">
        <v>264</v>
      </c>
    </row>
    <row r="266" spans="1:2">
      <c r="A266" s="31">
        <v>21815</v>
      </c>
      <c r="B266">
        <v>265</v>
      </c>
    </row>
    <row r="267" spans="1:2">
      <c r="A267" s="31">
        <v>21816</v>
      </c>
      <c r="B267">
        <v>266</v>
      </c>
    </row>
    <row r="268" spans="1:2">
      <c r="A268" s="31">
        <v>21817</v>
      </c>
      <c r="B268">
        <v>267</v>
      </c>
    </row>
    <row r="269" spans="1:2">
      <c r="A269" s="31">
        <v>21818</v>
      </c>
      <c r="B269">
        <v>268</v>
      </c>
    </row>
    <row r="270" spans="1:2">
      <c r="A270" s="31">
        <v>21819</v>
      </c>
      <c r="B270">
        <v>269</v>
      </c>
    </row>
    <row r="271" spans="1:2">
      <c r="A271" s="31">
        <v>21820</v>
      </c>
      <c r="B271">
        <v>270</v>
      </c>
    </row>
    <row r="272" spans="1:2">
      <c r="A272" s="31">
        <v>21821</v>
      </c>
      <c r="B272">
        <v>271</v>
      </c>
    </row>
    <row r="273" spans="1:2">
      <c r="A273" s="31">
        <v>21822</v>
      </c>
      <c r="B273">
        <v>272</v>
      </c>
    </row>
    <row r="274" spans="1:2">
      <c r="A274" s="31">
        <v>21823</v>
      </c>
      <c r="B274">
        <v>273</v>
      </c>
    </row>
    <row r="275" spans="1:2">
      <c r="A275" s="31">
        <v>21824</v>
      </c>
      <c r="B275">
        <v>274</v>
      </c>
    </row>
    <row r="276" spans="1:2">
      <c r="A276" s="31">
        <v>21825</v>
      </c>
      <c r="B276">
        <v>275</v>
      </c>
    </row>
    <row r="277" spans="1:2">
      <c r="A277" s="31">
        <v>21826</v>
      </c>
      <c r="B277">
        <v>276</v>
      </c>
    </row>
    <row r="278" spans="1:2">
      <c r="A278" s="31">
        <v>21827</v>
      </c>
      <c r="B278">
        <v>277</v>
      </c>
    </row>
    <row r="279" spans="1:2">
      <c r="A279" s="31">
        <v>21828</v>
      </c>
      <c r="B279">
        <v>278</v>
      </c>
    </row>
    <row r="280" spans="1:2">
      <c r="A280" s="31">
        <v>21829</v>
      </c>
      <c r="B280">
        <v>279</v>
      </c>
    </row>
    <row r="281" spans="1:2">
      <c r="A281" s="31">
        <v>21830</v>
      </c>
      <c r="B281">
        <v>280</v>
      </c>
    </row>
    <row r="282" spans="1:2">
      <c r="A282" s="31">
        <v>21831</v>
      </c>
      <c r="B282">
        <v>281</v>
      </c>
    </row>
    <row r="283" spans="1:2">
      <c r="A283" s="31">
        <v>21832</v>
      </c>
      <c r="B283">
        <v>282</v>
      </c>
    </row>
    <row r="284" spans="1:2">
      <c r="A284" s="31">
        <v>21833</v>
      </c>
      <c r="B284">
        <v>283</v>
      </c>
    </row>
    <row r="285" spans="1:2">
      <c r="A285" s="31">
        <v>21834</v>
      </c>
      <c r="B285">
        <v>284</v>
      </c>
    </row>
    <row r="286" spans="1:2">
      <c r="A286" s="31">
        <v>21835</v>
      </c>
      <c r="B286">
        <v>285</v>
      </c>
    </row>
    <row r="287" spans="1:2">
      <c r="A287" s="31">
        <v>21836</v>
      </c>
      <c r="B287">
        <v>286</v>
      </c>
    </row>
    <row r="288" spans="1:2">
      <c r="A288" s="31">
        <v>21837</v>
      </c>
      <c r="B288">
        <v>287</v>
      </c>
    </row>
    <row r="289" spans="1:2">
      <c r="A289" s="31">
        <v>21838</v>
      </c>
      <c r="B289">
        <v>288</v>
      </c>
    </row>
    <row r="290" spans="1:2">
      <c r="A290" s="31">
        <v>21839</v>
      </c>
      <c r="B290">
        <v>289</v>
      </c>
    </row>
    <row r="291" spans="1:2">
      <c r="A291" s="31">
        <v>21840</v>
      </c>
      <c r="B291">
        <v>290</v>
      </c>
    </row>
    <row r="292" spans="1:2">
      <c r="A292" s="31">
        <v>21841</v>
      </c>
      <c r="B292">
        <v>291</v>
      </c>
    </row>
    <row r="293" spans="1:2">
      <c r="A293" s="31">
        <v>21842</v>
      </c>
      <c r="B293">
        <v>292</v>
      </c>
    </row>
    <row r="294" spans="1:2">
      <c r="A294" s="31">
        <v>21843</v>
      </c>
      <c r="B294">
        <v>293</v>
      </c>
    </row>
    <row r="295" spans="1:2">
      <c r="A295" s="31">
        <v>21844</v>
      </c>
      <c r="B295">
        <v>294</v>
      </c>
    </row>
    <row r="296" spans="1:2">
      <c r="A296" s="31">
        <v>21845</v>
      </c>
      <c r="B296">
        <v>295</v>
      </c>
    </row>
    <row r="297" spans="1:2">
      <c r="A297" s="31">
        <v>21846</v>
      </c>
      <c r="B297">
        <v>296</v>
      </c>
    </row>
    <row r="298" spans="1:2">
      <c r="A298" s="31">
        <v>21847</v>
      </c>
      <c r="B298">
        <v>297</v>
      </c>
    </row>
    <row r="299" spans="1:2">
      <c r="A299" s="31">
        <v>21848</v>
      </c>
      <c r="B299">
        <v>298</v>
      </c>
    </row>
    <row r="300" spans="1:2">
      <c r="A300" s="31">
        <v>21849</v>
      </c>
      <c r="B300">
        <v>299</v>
      </c>
    </row>
    <row r="301" spans="1:2">
      <c r="A301" s="31">
        <v>21850</v>
      </c>
      <c r="B301">
        <v>300</v>
      </c>
    </row>
    <row r="302" spans="1:2">
      <c r="A302" s="31">
        <v>21851</v>
      </c>
      <c r="B302">
        <v>301</v>
      </c>
    </row>
    <row r="303" spans="1:2">
      <c r="A303" s="31">
        <v>21852</v>
      </c>
      <c r="B303">
        <v>302</v>
      </c>
    </row>
    <row r="304" spans="1:2">
      <c r="A304" s="31">
        <v>21853</v>
      </c>
      <c r="B304">
        <v>303</v>
      </c>
    </row>
    <row r="305" spans="1:2">
      <c r="A305" s="31">
        <v>21854</v>
      </c>
      <c r="B305">
        <v>304</v>
      </c>
    </row>
    <row r="306" spans="1:2">
      <c r="A306" s="31">
        <v>21855</v>
      </c>
      <c r="B306">
        <v>305</v>
      </c>
    </row>
    <row r="307" spans="1:2">
      <c r="A307" s="31">
        <v>21856</v>
      </c>
      <c r="B307">
        <v>306</v>
      </c>
    </row>
    <row r="308" spans="1:2">
      <c r="A308" s="31">
        <v>21857</v>
      </c>
      <c r="B308">
        <v>307</v>
      </c>
    </row>
    <row r="309" spans="1:2">
      <c r="A309" s="31">
        <v>21858</v>
      </c>
      <c r="B309">
        <v>308</v>
      </c>
    </row>
    <row r="310" spans="1:2">
      <c r="A310" s="31">
        <v>21859</v>
      </c>
      <c r="B310">
        <v>309</v>
      </c>
    </row>
    <row r="311" spans="1:2">
      <c r="A311" s="31">
        <v>21860</v>
      </c>
      <c r="B311">
        <v>310</v>
      </c>
    </row>
    <row r="312" spans="1:2">
      <c r="A312" s="31">
        <v>21861</v>
      </c>
      <c r="B312">
        <v>311</v>
      </c>
    </row>
    <row r="313" spans="1:2">
      <c r="A313" s="31">
        <v>21862</v>
      </c>
      <c r="B313">
        <v>312</v>
      </c>
    </row>
    <row r="314" spans="1:2">
      <c r="A314" s="31">
        <v>21863</v>
      </c>
      <c r="B314">
        <v>313</v>
      </c>
    </row>
    <row r="315" spans="1:2">
      <c r="A315" s="31">
        <v>21864</v>
      </c>
      <c r="B315">
        <v>314</v>
      </c>
    </row>
    <row r="316" spans="1:2">
      <c r="A316" s="31">
        <v>21865</v>
      </c>
      <c r="B316">
        <v>315</v>
      </c>
    </row>
    <row r="317" spans="1:2">
      <c r="A317" s="31">
        <v>21866</v>
      </c>
      <c r="B317">
        <v>316</v>
      </c>
    </row>
    <row r="318" spans="1:2">
      <c r="A318" s="31">
        <v>21867</v>
      </c>
      <c r="B318">
        <v>317</v>
      </c>
    </row>
    <row r="319" spans="1:2">
      <c r="A319" s="31">
        <v>21868</v>
      </c>
      <c r="B319">
        <v>318</v>
      </c>
    </row>
    <row r="320" spans="1:2">
      <c r="A320" s="31">
        <v>21869</v>
      </c>
      <c r="B320">
        <v>319</v>
      </c>
    </row>
    <row r="321" spans="1:2">
      <c r="A321" s="31">
        <v>21870</v>
      </c>
      <c r="B321">
        <v>320</v>
      </c>
    </row>
    <row r="322" spans="1:2">
      <c r="A322" s="31">
        <v>21871</v>
      </c>
      <c r="B322">
        <v>321</v>
      </c>
    </row>
    <row r="323" spans="1:2">
      <c r="A323" s="31">
        <v>21872</v>
      </c>
      <c r="B323">
        <v>322</v>
      </c>
    </row>
    <row r="324" spans="1:2">
      <c r="A324" s="31">
        <v>21873</v>
      </c>
      <c r="B324">
        <v>323</v>
      </c>
    </row>
    <row r="325" spans="1:2">
      <c r="A325" s="31">
        <v>21874</v>
      </c>
      <c r="B325">
        <v>324</v>
      </c>
    </row>
    <row r="326" spans="1:2">
      <c r="A326" s="31">
        <v>21875</v>
      </c>
      <c r="B326">
        <v>325</v>
      </c>
    </row>
    <row r="327" spans="1:2">
      <c r="A327" s="31">
        <v>21876</v>
      </c>
      <c r="B327">
        <v>326</v>
      </c>
    </row>
    <row r="328" spans="1:2">
      <c r="A328" s="31">
        <v>21877</v>
      </c>
      <c r="B328">
        <v>327</v>
      </c>
    </row>
    <row r="329" spans="1:2">
      <c r="A329" s="31">
        <v>21878</v>
      </c>
      <c r="B329">
        <v>328</v>
      </c>
    </row>
    <row r="330" spans="1:2">
      <c r="A330" s="31">
        <v>21879</v>
      </c>
      <c r="B330">
        <v>329</v>
      </c>
    </row>
    <row r="331" spans="1:2">
      <c r="A331" s="31">
        <v>21880</v>
      </c>
      <c r="B331">
        <v>330</v>
      </c>
    </row>
    <row r="332" spans="1:2">
      <c r="A332" s="31">
        <v>21881</v>
      </c>
      <c r="B332">
        <v>331</v>
      </c>
    </row>
    <row r="333" spans="1:2">
      <c r="A333" s="31">
        <v>21882</v>
      </c>
      <c r="B333">
        <v>332</v>
      </c>
    </row>
    <row r="334" spans="1:2">
      <c r="A334" s="31">
        <v>21883</v>
      </c>
      <c r="B334">
        <v>333</v>
      </c>
    </row>
    <row r="335" spans="1:2">
      <c r="A335" s="31">
        <v>21884</v>
      </c>
      <c r="B335">
        <v>334</v>
      </c>
    </row>
    <row r="336" spans="1:2">
      <c r="A336" s="31">
        <v>21885</v>
      </c>
      <c r="B336">
        <v>335</v>
      </c>
    </row>
    <row r="337" spans="1:2">
      <c r="A337" s="31">
        <v>21886</v>
      </c>
      <c r="B337">
        <v>336</v>
      </c>
    </row>
    <row r="338" spans="1:2">
      <c r="A338" s="31">
        <v>21887</v>
      </c>
      <c r="B338">
        <v>337</v>
      </c>
    </row>
    <row r="339" spans="1:2">
      <c r="A339" s="31">
        <v>21888</v>
      </c>
      <c r="B339">
        <v>338</v>
      </c>
    </row>
    <row r="340" spans="1:2">
      <c r="A340" s="31">
        <v>21889</v>
      </c>
      <c r="B340">
        <v>339</v>
      </c>
    </row>
    <row r="341" spans="1:2">
      <c r="A341" s="31">
        <v>21890</v>
      </c>
      <c r="B341">
        <v>340</v>
      </c>
    </row>
    <row r="342" spans="1:2">
      <c r="A342" s="31">
        <v>21891</v>
      </c>
      <c r="B342">
        <v>341</v>
      </c>
    </row>
    <row r="343" spans="1:2">
      <c r="A343" s="31">
        <v>21892</v>
      </c>
      <c r="B343">
        <v>342</v>
      </c>
    </row>
    <row r="344" spans="1:2">
      <c r="A344" s="31">
        <v>21893</v>
      </c>
      <c r="B344">
        <v>343</v>
      </c>
    </row>
    <row r="345" spans="1:2">
      <c r="A345" s="31">
        <v>21894</v>
      </c>
      <c r="B345">
        <v>344</v>
      </c>
    </row>
    <row r="346" spans="1:2">
      <c r="A346" s="31">
        <v>21895</v>
      </c>
      <c r="B346">
        <v>345</v>
      </c>
    </row>
    <row r="347" spans="1:2">
      <c r="A347" s="31">
        <v>21896</v>
      </c>
      <c r="B347">
        <v>346</v>
      </c>
    </row>
    <row r="348" spans="1:2">
      <c r="A348" s="31">
        <v>21897</v>
      </c>
      <c r="B348">
        <v>347</v>
      </c>
    </row>
    <row r="349" spans="1:2">
      <c r="A349" s="31">
        <v>21898</v>
      </c>
      <c r="B349">
        <v>348</v>
      </c>
    </row>
    <row r="350" spans="1:2">
      <c r="A350" s="31">
        <v>21899</v>
      </c>
      <c r="B350">
        <v>349</v>
      </c>
    </row>
    <row r="351" spans="1:2">
      <c r="A351" s="31">
        <v>21900</v>
      </c>
      <c r="B351">
        <v>350</v>
      </c>
    </row>
    <row r="352" spans="1:2">
      <c r="A352" s="31">
        <v>21901</v>
      </c>
      <c r="B352">
        <v>351</v>
      </c>
    </row>
    <row r="353" spans="1:5">
      <c r="A353" s="31">
        <v>21902</v>
      </c>
      <c r="B353">
        <v>352</v>
      </c>
    </row>
    <row r="354" spans="1:5">
      <c r="A354" s="31">
        <v>21903</v>
      </c>
      <c r="B354">
        <v>353</v>
      </c>
    </row>
    <row r="355" spans="1:5">
      <c r="A355" s="31">
        <v>21904</v>
      </c>
      <c r="B355">
        <v>354</v>
      </c>
    </row>
    <row r="356" spans="1:5">
      <c r="A356" s="31">
        <v>21905</v>
      </c>
      <c r="B356">
        <v>355</v>
      </c>
    </row>
    <row r="357" spans="1:5">
      <c r="A357" s="31">
        <v>21906</v>
      </c>
      <c r="B357">
        <v>356</v>
      </c>
    </row>
    <row r="358" spans="1:5">
      <c r="A358" s="31">
        <v>21907</v>
      </c>
      <c r="B358">
        <v>357</v>
      </c>
    </row>
    <row r="359" spans="1:5">
      <c r="A359" s="31">
        <v>21908</v>
      </c>
      <c r="B359">
        <v>358</v>
      </c>
    </row>
    <row r="360" spans="1:5">
      <c r="A360" s="31">
        <v>21909</v>
      </c>
      <c r="B360">
        <v>359</v>
      </c>
    </row>
    <row r="361" spans="1:5">
      <c r="A361" s="31">
        <v>21910</v>
      </c>
      <c r="B361">
        <v>360</v>
      </c>
    </row>
    <row r="362" spans="1:5">
      <c r="A362" s="31">
        <v>21911</v>
      </c>
      <c r="B362">
        <v>361</v>
      </c>
    </row>
    <row r="363" spans="1:5">
      <c r="A363" s="31">
        <v>21912</v>
      </c>
      <c r="B363">
        <v>362</v>
      </c>
    </row>
    <row r="364" spans="1:5">
      <c r="A364" s="31">
        <v>21913</v>
      </c>
      <c r="B364">
        <v>363</v>
      </c>
    </row>
    <row r="365" spans="1:5">
      <c r="A365" s="31">
        <v>21914</v>
      </c>
      <c r="B365">
        <v>364</v>
      </c>
    </row>
    <row r="366" spans="1:5">
      <c r="A366" s="31">
        <v>21915</v>
      </c>
      <c r="B366">
        <v>365</v>
      </c>
      <c r="C366">
        <v>365</v>
      </c>
      <c r="D366" s="32">
        <v>365</v>
      </c>
      <c r="E366" s="32">
        <v>365</v>
      </c>
    </row>
    <row r="367" spans="1:5">
      <c r="A367" s="31">
        <v>21916</v>
      </c>
      <c r="C367">
        <f>_xlfn.FORECAST.ETS(A367,$B$2:$B$366,$A$2:$A$366,1,1)</f>
        <v>366</v>
      </c>
      <c r="D367" s="32">
        <f>C367-_xlfn.FORECAST.ETS.CONFINT(A367,$B$2:$B$366,$A$2:$A$366,0.95,1,1)</f>
        <v>366</v>
      </c>
      <c r="E367" s="32">
        <f>C367+_xlfn.FORECAST.ETS.CONFINT(A367,$B$2:$B$366,$A$2:$A$366,0.95,1,1)</f>
        <v>366</v>
      </c>
    </row>
    <row r="368" spans="1:5">
      <c r="A368" s="31">
        <v>21917</v>
      </c>
      <c r="C368">
        <f>_xlfn.FORECAST.ETS(A368,$B$2:$B$366,$A$2:$A$366,1,1)</f>
        <v>367</v>
      </c>
      <c r="D368" s="32">
        <f>C368-_xlfn.FORECAST.ETS.CONFINT(A368,$B$2:$B$366,$A$2:$A$366,0.95,1,1)</f>
        <v>367</v>
      </c>
      <c r="E368" s="32">
        <f>C368+_xlfn.FORECAST.ETS.CONFINT(A368,$B$2:$B$366,$A$2:$A$366,0.95,1,1)</f>
        <v>367</v>
      </c>
    </row>
    <row r="369" spans="1:5">
      <c r="A369" s="31">
        <v>21918</v>
      </c>
      <c r="C369">
        <f>_xlfn.FORECAST.ETS(A369,$B$2:$B$366,$A$2:$A$366,1,1)</f>
        <v>368</v>
      </c>
      <c r="D369" s="32">
        <f>C369-_xlfn.FORECAST.ETS.CONFINT(A369,$B$2:$B$366,$A$2:$A$366,0.95,1,1)</f>
        <v>368</v>
      </c>
      <c r="E369" s="32">
        <f>C369+_xlfn.FORECAST.ETS.CONFINT(A369,$B$2:$B$366,$A$2:$A$366,0.95,1,1)</f>
        <v>368</v>
      </c>
    </row>
    <row r="370" spans="1:5">
      <c r="A370" s="31">
        <v>21919</v>
      </c>
      <c r="C370">
        <f>_xlfn.FORECAST.ETS(A370,$B$2:$B$366,$A$2:$A$366,1,1)</f>
        <v>369</v>
      </c>
      <c r="D370" s="32">
        <f>C370-_xlfn.FORECAST.ETS.CONFINT(A370,$B$2:$B$366,$A$2:$A$366,0.95,1,1)</f>
        <v>369</v>
      </c>
      <c r="E370" s="32">
        <f>C370+_xlfn.FORECAST.ETS.CONFINT(A370,$B$2:$B$366,$A$2:$A$366,0.95,1,1)</f>
        <v>369</v>
      </c>
    </row>
    <row r="371" spans="1:5">
      <c r="A371" s="31">
        <v>21920</v>
      </c>
      <c r="C371">
        <f>_xlfn.FORECAST.ETS(A371,$B$2:$B$366,$A$2:$A$366,1,1)</f>
        <v>370</v>
      </c>
      <c r="D371" s="32">
        <f>C371-_xlfn.FORECAST.ETS.CONFINT(A371,$B$2:$B$366,$A$2:$A$366,0.95,1,1)</f>
        <v>370</v>
      </c>
      <c r="E371" s="32">
        <f>C371+_xlfn.FORECAST.ETS.CONFINT(A371,$B$2:$B$366,$A$2:$A$366,0.95,1,1)</f>
        <v>370</v>
      </c>
    </row>
    <row r="372" spans="1:5">
      <c r="A372" s="31">
        <v>21921</v>
      </c>
      <c r="C372">
        <f>_xlfn.FORECAST.ETS(A372,$B$2:$B$366,$A$2:$A$366,1,1)</f>
        <v>371</v>
      </c>
      <c r="D372" s="32">
        <f>C372-_xlfn.FORECAST.ETS.CONFINT(A372,$B$2:$B$366,$A$2:$A$366,0.95,1,1)</f>
        <v>371</v>
      </c>
      <c r="E372" s="32">
        <f>C372+_xlfn.FORECAST.ETS.CONFINT(A372,$B$2:$B$366,$A$2:$A$366,0.95,1,1)</f>
        <v>371</v>
      </c>
    </row>
    <row r="373" spans="1:5">
      <c r="A373" s="31">
        <v>21922</v>
      </c>
      <c r="C373">
        <f>_xlfn.FORECAST.ETS(A373,$B$2:$B$366,$A$2:$A$366,1,1)</f>
        <v>372</v>
      </c>
      <c r="D373" s="32">
        <f>C373-_xlfn.FORECAST.ETS.CONFINT(A373,$B$2:$B$366,$A$2:$A$366,0.95,1,1)</f>
        <v>372</v>
      </c>
      <c r="E373" s="32">
        <f>C373+_xlfn.FORECAST.ETS.CONFINT(A373,$B$2:$B$366,$A$2:$A$366,0.95,1,1)</f>
        <v>372</v>
      </c>
    </row>
    <row r="374" spans="1:5">
      <c r="A374" s="31">
        <v>21923</v>
      </c>
      <c r="C374">
        <f>_xlfn.FORECAST.ETS(A374,$B$2:$B$366,$A$2:$A$366,1,1)</f>
        <v>373</v>
      </c>
      <c r="D374" s="32">
        <f>C374-_xlfn.FORECAST.ETS.CONFINT(A374,$B$2:$B$366,$A$2:$A$366,0.95,1,1)</f>
        <v>373</v>
      </c>
      <c r="E374" s="32">
        <f>C374+_xlfn.FORECAST.ETS.CONFINT(A374,$B$2:$B$366,$A$2:$A$366,0.95,1,1)</f>
        <v>373</v>
      </c>
    </row>
    <row r="375" spans="1:5">
      <c r="A375" s="31">
        <v>21924</v>
      </c>
      <c r="C375">
        <f>_xlfn.FORECAST.ETS(A375,$B$2:$B$366,$A$2:$A$366,1,1)</f>
        <v>374</v>
      </c>
      <c r="D375" s="32">
        <f>C375-_xlfn.FORECAST.ETS.CONFINT(A375,$B$2:$B$366,$A$2:$A$366,0.95,1,1)</f>
        <v>374</v>
      </c>
      <c r="E375" s="32">
        <f>C375+_xlfn.FORECAST.ETS.CONFINT(A375,$B$2:$B$366,$A$2:$A$366,0.95,1,1)</f>
        <v>374</v>
      </c>
    </row>
    <row r="376" spans="1:5">
      <c r="A376" s="31">
        <v>21925</v>
      </c>
      <c r="C376">
        <f>_xlfn.FORECAST.ETS(A376,$B$2:$B$366,$A$2:$A$366,1,1)</f>
        <v>375</v>
      </c>
      <c r="D376" s="32">
        <f>C376-_xlfn.FORECAST.ETS.CONFINT(A376,$B$2:$B$366,$A$2:$A$366,0.95,1,1)</f>
        <v>375</v>
      </c>
      <c r="E376" s="32">
        <f>C376+_xlfn.FORECAST.ETS.CONFINT(A376,$B$2:$B$366,$A$2:$A$366,0.95,1,1)</f>
        <v>375</v>
      </c>
    </row>
    <row r="377" spans="1:5">
      <c r="A377" s="31">
        <v>21926</v>
      </c>
      <c r="C377">
        <f>_xlfn.FORECAST.ETS(A377,$B$2:$B$366,$A$2:$A$366,1,1)</f>
        <v>376</v>
      </c>
      <c r="D377" s="32">
        <f>C377-_xlfn.FORECAST.ETS.CONFINT(A377,$B$2:$B$366,$A$2:$A$366,0.95,1,1)</f>
        <v>376</v>
      </c>
      <c r="E377" s="32">
        <f>C377+_xlfn.FORECAST.ETS.CONFINT(A377,$B$2:$B$366,$A$2:$A$366,0.95,1,1)</f>
        <v>376</v>
      </c>
    </row>
    <row r="378" spans="1:5">
      <c r="A378" s="31">
        <v>21927</v>
      </c>
      <c r="C378">
        <f>_xlfn.FORECAST.ETS(A378,$B$2:$B$366,$A$2:$A$366,1,1)</f>
        <v>377</v>
      </c>
      <c r="D378" s="32">
        <f>C378-_xlfn.FORECAST.ETS.CONFINT(A378,$B$2:$B$366,$A$2:$A$366,0.95,1,1)</f>
        <v>377</v>
      </c>
      <c r="E378" s="32">
        <f>C378+_xlfn.FORECAST.ETS.CONFINT(A378,$B$2:$B$366,$A$2:$A$366,0.95,1,1)</f>
        <v>377</v>
      </c>
    </row>
    <row r="379" spans="1:5">
      <c r="A379" s="31">
        <v>21928</v>
      </c>
      <c r="C379">
        <f>_xlfn.FORECAST.ETS(A379,$B$2:$B$366,$A$2:$A$366,1,1)</f>
        <v>378</v>
      </c>
      <c r="D379" s="32">
        <f>C379-_xlfn.FORECAST.ETS.CONFINT(A379,$B$2:$B$366,$A$2:$A$366,0.95,1,1)</f>
        <v>378</v>
      </c>
      <c r="E379" s="32">
        <f>C379+_xlfn.FORECAST.ETS.CONFINT(A379,$B$2:$B$366,$A$2:$A$366,0.95,1,1)</f>
        <v>378</v>
      </c>
    </row>
    <row r="380" spans="1:5">
      <c r="A380" s="31">
        <v>21929</v>
      </c>
      <c r="C380">
        <f>_xlfn.FORECAST.ETS(A380,$B$2:$B$366,$A$2:$A$366,1,1)</f>
        <v>379</v>
      </c>
      <c r="D380" s="32">
        <f>C380-_xlfn.FORECAST.ETS.CONFINT(A380,$B$2:$B$366,$A$2:$A$366,0.95,1,1)</f>
        <v>379</v>
      </c>
      <c r="E380" s="32">
        <f>C380+_xlfn.FORECAST.ETS.CONFINT(A380,$B$2:$B$366,$A$2:$A$366,0.95,1,1)</f>
        <v>379</v>
      </c>
    </row>
    <row r="381" spans="1:5">
      <c r="A381" s="31">
        <v>21930</v>
      </c>
      <c r="C381">
        <f>_xlfn.FORECAST.ETS(A381,$B$2:$B$366,$A$2:$A$366,1,1)</f>
        <v>380</v>
      </c>
      <c r="D381" s="32">
        <f>C381-_xlfn.FORECAST.ETS.CONFINT(A381,$B$2:$B$366,$A$2:$A$366,0.95,1,1)</f>
        <v>380</v>
      </c>
      <c r="E381" s="32">
        <f>C381+_xlfn.FORECAST.ETS.CONFINT(A381,$B$2:$B$366,$A$2:$A$366,0.95,1,1)</f>
        <v>380</v>
      </c>
    </row>
    <row r="382" spans="1:5">
      <c r="A382" s="31">
        <v>21931</v>
      </c>
      <c r="C382">
        <f>_xlfn.FORECAST.ETS(A382,$B$2:$B$366,$A$2:$A$366,1,1)</f>
        <v>381</v>
      </c>
      <c r="D382" s="32">
        <f>C382-_xlfn.FORECAST.ETS.CONFINT(A382,$B$2:$B$366,$A$2:$A$366,0.95,1,1)</f>
        <v>381</v>
      </c>
      <c r="E382" s="32">
        <f>C382+_xlfn.FORECAST.ETS.CONFINT(A382,$B$2:$B$366,$A$2:$A$366,0.95,1,1)</f>
        <v>381</v>
      </c>
    </row>
    <row r="383" spans="1:5">
      <c r="A383" s="31">
        <v>21932</v>
      </c>
      <c r="C383">
        <f>_xlfn.FORECAST.ETS(A383,$B$2:$B$366,$A$2:$A$366,1,1)</f>
        <v>382</v>
      </c>
      <c r="D383" s="32">
        <f>C383-_xlfn.FORECAST.ETS.CONFINT(A383,$B$2:$B$366,$A$2:$A$366,0.95,1,1)</f>
        <v>382</v>
      </c>
      <c r="E383" s="32">
        <f>C383+_xlfn.FORECAST.ETS.CONFINT(A383,$B$2:$B$366,$A$2:$A$366,0.95,1,1)</f>
        <v>382</v>
      </c>
    </row>
    <row r="384" spans="1:5">
      <c r="A384" s="31">
        <v>21933</v>
      </c>
      <c r="C384">
        <f>_xlfn.FORECAST.ETS(A384,$B$2:$B$366,$A$2:$A$366,1,1)</f>
        <v>383</v>
      </c>
      <c r="D384" s="32">
        <f>C384-_xlfn.FORECAST.ETS.CONFINT(A384,$B$2:$B$366,$A$2:$A$366,0.95,1,1)</f>
        <v>383</v>
      </c>
      <c r="E384" s="32">
        <f>C384+_xlfn.FORECAST.ETS.CONFINT(A384,$B$2:$B$366,$A$2:$A$366,0.95,1,1)</f>
        <v>383</v>
      </c>
    </row>
    <row r="385" spans="1:5">
      <c r="A385" s="31">
        <v>21934</v>
      </c>
      <c r="C385">
        <f>_xlfn.FORECAST.ETS(A385,$B$2:$B$366,$A$2:$A$366,1,1)</f>
        <v>384</v>
      </c>
      <c r="D385" s="32">
        <f>C385-_xlfn.FORECAST.ETS.CONFINT(A385,$B$2:$B$366,$A$2:$A$366,0.95,1,1)</f>
        <v>384</v>
      </c>
      <c r="E385" s="32">
        <f>C385+_xlfn.FORECAST.ETS.CONFINT(A385,$B$2:$B$366,$A$2:$A$366,0.95,1,1)</f>
        <v>384</v>
      </c>
    </row>
    <row r="386" spans="1:5">
      <c r="A386" s="31">
        <v>21935</v>
      </c>
      <c r="C386">
        <f>_xlfn.FORECAST.ETS(A386,$B$2:$B$366,$A$2:$A$366,1,1)</f>
        <v>385</v>
      </c>
      <c r="D386" s="32">
        <f>C386-_xlfn.FORECAST.ETS.CONFINT(A386,$B$2:$B$366,$A$2:$A$366,0.95,1,1)</f>
        <v>385</v>
      </c>
      <c r="E386" s="32">
        <f>C386+_xlfn.FORECAST.ETS.CONFINT(A386,$B$2:$B$366,$A$2:$A$366,0.95,1,1)</f>
        <v>385</v>
      </c>
    </row>
    <row r="387" spans="1:5">
      <c r="A387" s="31">
        <v>21936</v>
      </c>
      <c r="C387">
        <f>_xlfn.FORECAST.ETS(A387,$B$2:$B$366,$A$2:$A$366,1,1)</f>
        <v>386</v>
      </c>
      <c r="D387" s="32">
        <f>C387-_xlfn.FORECAST.ETS.CONFINT(A387,$B$2:$B$366,$A$2:$A$366,0.95,1,1)</f>
        <v>386</v>
      </c>
      <c r="E387" s="32">
        <f>C387+_xlfn.FORECAST.ETS.CONFINT(A387,$B$2:$B$366,$A$2:$A$366,0.95,1,1)</f>
        <v>386</v>
      </c>
    </row>
    <row r="388" spans="1:5">
      <c r="A388" s="31">
        <v>21937</v>
      </c>
      <c r="C388">
        <f>_xlfn.FORECAST.ETS(A388,$B$2:$B$366,$A$2:$A$366,1,1)</f>
        <v>387</v>
      </c>
      <c r="D388" s="32">
        <f>C388-_xlfn.FORECAST.ETS.CONFINT(A388,$B$2:$B$366,$A$2:$A$366,0.95,1,1)</f>
        <v>387</v>
      </c>
      <c r="E388" s="32">
        <f>C388+_xlfn.FORECAST.ETS.CONFINT(A388,$B$2:$B$366,$A$2:$A$366,0.95,1,1)</f>
        <v>387</v>
      </c>
    </row>
    <row r="389" spans="1:5">
      <c r="A389" s="31">
        <v>21938</v>
      </c>
      <c r="C389">
        <f>_xlfn.FORECAST.ETS(A389,$B$2:$B$366,$A$2:$A$366,1,1)</f>
        <v>388</v>
      </c>
      <c r="D389" s="32">
        <f>C389-_xlfn.FORECAST.ETS.CONFINT(A389,$B$2:$B$366,$A$2:$A$366,0.95,1,1)</f>
        <v>388</v>
      </c>
      <c r="E389" s="32">
        <f>C389+_xlfn.FORECAST.ETS.CONFINT(A389,$B$2:$B$366,$A$2:$A$366,0.95,1,1)</f>
        <v>388</v>
      </c>
    </row>
    <row r="390" spans="1:5">
      <c r="A390" s="31">
        <v>21939</v>
      </c>
      <c r="C390">
        <f>_xlfn.FORECAST.ETS(A390,$B$2:$B$366,$A$2:$A$366,1,1)</f>
        <v>389</v>
      </c>
      <c r="D390" s="32">
        <f>C390-_xlfn.FORECAST.ETS.CONFINT(A390,$B$2:$B$366,$A$2:$A$366,0.95,1,1)</f>
        <v>389</v>
      </c>
      <c r="E390" s="32">
        <f>C390+_xlfn.FORECAST.ETS.CONFINT(A390,$B$2:$B$366,$A$2:$A$366,0.95,1,1)</f>
        <v>389</v>
      </c>
    </row>
    <row r="391" spans="1:5">
      <c r="A391" s="31">
        <v>21940</v>
      </c>
      <c r="C391">
        <f>_xlfn.FORECAST.ETS(A391,$B$2:$B$366,$A$2:$A$366,1,1)</f>
        <v>390</v>
      </c>
      <c r="D391" s="32">
        <f>C391-_xlfn.FORECAST.ETS.CONFINT(A391,$B$2:$B$366,$A$2:$A$366,0.95,1,1)</f>
        <v>390</v>
      </c>
      <c r="E391" s="32">
        <f>C391+_xlfn.FORECAST.ETS.CONFINT(A391,$B$2:$B$366,$A$2:$A$366,0.95,1,1)</f>
        <v>390</v>
      </c>
    </row>
    <row r="392" spans="1:5">
      <c r="A392" s="31">
        <v>21941</v>
      </c>
      <c r="C392">
        <f>_xlfn.FORECAST.ETS(A392,$B$2:$B$366,$A$2:$A$366,1,1)</f>
        <v>391</v>
      </c>
      <c r="D392" s="32">
        <f>C392-_xlfn.FORECAST.ETS.CONFINT(A392,$B$2:$B$366,$A$2:$A$366,0.95,1,1)</f>
        <v>391</v>
      </c>
      <c r="E392" s="32">
        <f>C392+_xlfn.FORECAST.ETS.CONFINT(A392,$B$2:$B$366,$A$2:$A$366,0.95,1,1)</f>
        <v>391</v>
      </c>
    </row>
    <row r="393" spans="1:5">
      <c r="A393" s="31">
        <v>21942</v>
      </c>
      <c r="C393">
        <f>_xlfn.FORECAST.ETS(A393,$B$2:$B$366,$A$2:$A$366,1,1)</f>
        <v>392</v>
      </c>
      <c r="D393" s="32">
        <f>C393-_xlfn.FORECAST.ETS.CONFINT(A393,$B$2:$B$366,$A$2:$A$366,0.95,1,1)</f>
        <v>392</v>
      </c>
      <c r="E393" s="32">
        <f>C393+_xlfn.FORECAST.ETS.CONFINT(A393,$B$2:$B$366,$A$2:$A$366,0.95,1,1)</f>
        <v>392</v>
      </c>
    </row>
    <row r="394" spans="1:5">
      <c r="A394" s="31">
        <v>21943</v>
      </c>
      <c r="C394">
        <f>_xlfn.FORECAST.ETS(A394,$B$2:$B$366,$A$2:$A$366,1,1)</f>
        <v>393</v>
      </c>
      <c r="D394" s="32">
        <f>C394-_xlfn.FORECAST.ETS.CONFINT(A394,$B$2:$B$366,$A$2:$A$366,0.95,1,1)</f>
        <v>393</v>
      </c>
      <c r="E394" s="32">
        <f>C394+_xlfn.FORECAST.ETS.CONFINT(A394,$B$2:$B$366,$A$2:$A$366,0.95,1,1)</f>
        <v>393</v>
      </c>
    </row>
    <row r="395" spans="1:5">
      <c r="A395" s="31">
        <v>21944</v>
      </c>
      <c r="C395">
        <f>_xlfn.FORECAST.ETS(A395,$B$2:$B$366,$A$2:$A$366,1,1)</f>
        <v>394</v>
      </c>
      <c r="D395" s="32">
        <f>C395-_xlfn.FORECAST.ETS.CONFINT(A395,$B$2:$B$366,$A$2:$A$366,0.95,1,1)</f>
        <v>394</v>
      </c>
      <c r="E395" s="32">
        <f>C395+_xlfn.FORECAST.ETS.CONFINT(A395,$B$2:$B$366,$A$2:$A$366,0.95,1,1)</f>
        <v>394</v>
      </c>
    </row>
    <row r="396" spans="1:5">
      <c r="A396" s="31">
        <v>21945</v>
      </c>
      <c r="C396">
        <f>_xlfn.FORECAST.ETS(A396,$B$2:$B$366,$A$2:$A$366,1,1)</f>
        <v>395</v>
      </c>
      <c r="D396" s="32">
        <f>C396-_xlfn.FORECAST.ETS.CONFINT(A396,$B$2:$B$366,$A$2:$A$366,0.95,1,1)</f>
        <v>395</v>
      </c>
      <c r="E396" s="32">
        <f>C396+_xlfn.FORECAST.ETS.CONFINT(A396,$B$2:$B$366,$A$2:$A$366,0.95,1,1)</f>
        <v>395</v>
      </c>
    </row>
    <row r="397" spans="1:5">
      <c r="A397" s="31">
        <v>21946</v>
      </c>
      <c r="C397">
        <f>_xlfn.FORECAST.ETS(A397,$B$2:$B$366,$A$2:$A$366,1,1)</f>
        <v>396</v>
      </c>
      <c r="D397" s="32">
        <f>C397-_xlfn.FORECAST.ETS.CONFINT(A397,$B$2:$B$366,$A$2:$A$366,0.95,1,1)</f>
        <v>396</v>
      </c>
      <c r="E397" s="32">
        <f>C397+_xlfn.FORECAST.ETS.CONFINT(A397,$B$2:$B$366,$A$2:$A$366,0.95,1,1)</f>
        <v>396</v>
      </c>
    </row>
    <row r="398" spans="1:5">
      <c r="A398" s="31">
        <v>21947</v>
      </c>
      <c r="C398">
        <f>_xlfn.FORECAST.ETS(A398,$B$2:$B$366,$A$2:$A$366,1,1)</f>
        <v>397</v>
      </c>
      <c r="D398" s="32">
        <f>C398-_xlfn.FORECAST.ETS.CONFINT(A398,$B$2:$B$366,$A$2:$A$366,0.95,1,1)</f>
        <v>397</v>
      </c>
      <c r="E398" s="32">
        <f>C398+_xlfn.FORECAST.ETS.CONFINT(A398,$B$2:$B$366,$A$2:$A$366,0.95,1,1)</f>
        <v>397</v>
      </c>
    </row>
    <row r="399" spans="1:5">
      <c r="A399" s="31">
        <v>21948</v>
      </c>
      <c r="C399">
        <f>_xlfn.FORECAST.ETS(A399,$B$2:$B$366,$A$2:$A$366,1,1)</f>
        <v>398</v>
      </c>
      <c r="D399" s="32">
        <f>C399-_xlfn.FORECAST.ETS.CONFINT(A399,$B$2:$B$366,$A$2:$A$366,0.95,1,1)</f>
        <v>398</v>
      </c>
      <c r="E399" s="32">
        <f>C399+_xlfn.FORECAST.ETS.CONFINT(A399,$B$2:$B$366,$A$2:$A$366,0.95,1,1)</f>
        <v>398</v>
      </c>
    </row>
    <row r="400" spans="1:5">
      <c r="A400" s="31">
        <v>21949</v>
      </c>
      <c r="C400">
        <f>_xlfn.FORECAST.ETS(A400,$B$2:$B$366,$A$2:$A$366,1,1)</f>
        <v>399</v>
      </c>
      <c r="D400" s="32">
        <f>C400-_xlfn.FORECAST.ETS.CONFINT(A400,$B$2:$B$366,$A$2:$A$366,0.95,1,1)</f>
        <v>399</v>
      </c>
      <c r="E400" s="32">
        <f>C400+_xlfn.FORECAST.ETS.CONFINT(A400,$B$2:$B$366,$A$2:$A$366,0.95,1,1)</f>
        <v>399</v>
      </c>
    </row>
    <row r="401" spans="1:5">
      <c r="A401" s="31">
        <v>21950</v>
      </c>
      <c r="C401">
        <f>_xlfn.FORECAST.ETS(A401,$B$2:$B$366,$A$2:$A$366,1,1)</f>
        <v>400</v>
      </c>
      <c r="D401" s="32">
        <f>C401-_xlfn.FORECAST.ETS.CONFINT(A401,$B$2:$B$366,$A$2:$A$366,0.95,1,1)</f>
        <v>400</v>
      </c>
      <c r="E401" s="32">
        <f>C401+_xlfn.FORECAST.ETS.CONFINT(A401,$B$2:$B$366,$A$2:$A$366,0.95,1,1)</f>
        <v>400</v>
      </c>
    </row>
    <row r="402" spans="1:5">
      <c r="A402" s="31">
        <v>21951</v>
      </c>
      <c r="C402">
        <f>_xlfn.FORECAST.ETS(A402,$B$2:$B$366,$A$2:$A$366,1,1)</f>
        <v>401</v>
      </c>
      <c r="D402" s="32">
        <f>C402-_xlfn.FORECAST.ETS.CONFINT(A402,$B$2:$B$366,$A$2:$A$366,0.95,1,1)</f>
        <v>401</v>
      </c>
      <c r="E402" s="32">
        <f>C402+_xlfn.FORECAST.ETS.CONFINT(A402,$B$2:$B$366,$A$2:$A$366,0.95,1,1)</f>
        <v>401</v>
      </c>
    </row>
    <row r="403" spans="1:5">
      <c r="A403" s="31">
        <v>21952</v>
      </c>
      <c r="C403">
        <f>_xlfn.FORECAST.ETS(A403,$B$2:$B$366,$A$2:$A$366,1,1)</f>
        <v>402</v>
      </c>
      <c r="D403" s="32">
        <f>C403-_xlfn.FORECAST.ETS.CONFINT(A403,$B$2:$B$366,$A$2:$A$366,0.95,1,1)</f>
        <v>402</v>
      </c>
      <c r="E403" s="32">
        <f>C403+_xlfn.FORECAST.ETS.CONFINT(A403,$B$2:$B$366,$A$2:$A$366,0.95,1,1)</f>
        <v>402</v>
      </c>
    </row>
    <row r="404" spans="1:5">
      <c r="A404" s="31">
        <v>21953</v>
      </c>
      <c r="C404">
        <f>_xlfn.FORECAST.ETS(A404,$B$2:$B$366,$A$2:$A$366,1,1)</f>
        <v>403</v>
      </c>
      <c r="D404" s="32">
        <f>C404-_xlfn.FORECAST.ETS.CONFINT(A404,$B$2:$B$366,$A$2:$A$366,0.95,1,1)</f>
        <v>403</v>
      </c>
      <c r="E404" s="32">
        <f>C404+_xlfn.FORECAST.ETS.CONFINT(A404,$B$2:$B$366,$A$2:$A$366,0.95,1,1)</f>
        <v>403</v>
      </c>
    </row>
    <row r="405" spans="1:5">
      <c r="A405" s="31">
        <v>21954</v>
      </c>
      <c r="C405">
        <f>_xlfn.FORECAST.ETS(A405,$B$2:$B$366,$A$2:$A$366,1,1)</f>
        <v>404</v>
      </c>
      <c r="D405" s="32">
        <f>C405-_xlfn.FORECAST.ETS.CONFINT(A405,$B$2:$B$366,$A$2:$A$366,0.95,1,1)</f>
        <v>404</v>
      </c>
      <c r="E405" s="32">
        <f>C405+_xlfn.FORECAST.ETS.CONFINT(A405,$B$2:$B$366,$A$2:$A$366,0.95,1,1)</f>
        <v>404</v>
      </c>
    </row>
    <row r="406" spans="1:5">
      <c r="A406" s="31">
        <v>21955</v>
      </c>
      <c r="C406">
        <f>_xlfn.FORECAST.ETS(A406,$B$2:$B$366,$A$2:$A$366,1,1)</f>
        <v>405</v>
      </c>
      <c r="D406" s="32">
        <f>C406-_xlfn.FORECAST.ETS.CONFINT(A406,$B$2:$B$366,$A$2:$A$366,0.95,1,1)</f>
        <v>405</v>
      </c>
      <c r="E406" s="32">
        <f>C406+_xlfn.FORECAST.ETS.CONFINT(A406,$B$2:$B$366,$A$2:$A$366,0.95,1,1)</f>
        <v>405</v>
      </c>
    </row>
    <row r="407" spans="1:5">
      <c r="A407" s="31">
        <v>21956</v>
      </c>
      <c r="C407">
        <f>_xlfn.FORECAST.ETS(A407,$B$2:$B$366,$A$2:$A$366,1,1)</f>
        <v>406</v>
      </c>
      <c r="D407" s="32">
        <f>C407-_xlfn.FORECAST.ETS.CONFINT(A407,$B$2:$B$366,$A$2:$A$366,0.95,1,1)</f>
        <v>406</v>
      </c>
      <c r="E407" s="32">
        <f>C407+_xlfn.FORECAST.ETS.CONFINT(A407,$B$2:$B$366,$A$2:$A$366,0.95,1,1)</f>
        <v>406</v>
      </c>
    </row>
    <row r="408" spans="1:5">
      <c r="A408" s="31">
        <v>21957</v>
      </c>
      <c r="C408">
        <f>_xlfn.FORECAST.ETS(A408,$B$2:$B$366,$A$2:$A$366,1,1)</f>
        <v>407</v>
      </c>
      <c r="D408" s="32">
        <f>C408-_xlfn.FORECAST.ETS.CONFINT(A408,$B$2:$B$366,$A$2:$A$366,0.95,1,1)</f>
        <v>407</v>
      </c>
      <c r="E408" s="32">
        <f>C408+_xlfn.FORECAST.ETS.CONFINT(A408,$B$2:$B$366,$A$2:$A$366,0.95,1,1)</f>
        <v>407</v>
      </c>
    </row>
    <row r="409" spans="1:5">
      <c r="A409" s="31">
        <v>21958</v>
      </c>
      <c r="C409">
        <f>_xlfn.FORECAST.ETS(A409,$B$2:$B$366,$A$2:$A$366,1,1)</f>
        <v>408</v>
      </c>
      <c r="D409" s="32">
        <f>C409-_xlfn.FORECAST.ETS.CONFINT(A409,$B$2:$B$366,$A$2:$A$366,0.95,1,1)</f>
        <v>408</v>
      </c>
      <c r="E409" s="32">
        <f>C409+_xlfn.FORECAST.ETS.CONFINT(A409,$B$2:$B$366,$A$2:$A$366,0.95,1,1)</f>
        <v>408</v>
      </c>
    </row>
    <row r="410" spans="1:5">
      <c r="A410" s="31">
        <v>21959</v>
      </c>
      <c r="C410">
        <f>_xlfn.FORECAST.ETS(A410,$B$2:$B$366,$A$2:$A$366,1,1)</f>
        <v>409</v>
      </c>
      <c r="D410" s="32">
        <f>C410-_xlfn.FORECAST.ETS.CONFINT(A410,$B$2:$B$366,$A$2:$A$366,0.95,1,1)</f>
        <v>409</v>
      </c>
      <c r="E410" s="32">
        <f>C410+_xlfn.FORECAST.ETS.CONFINT(A410,$B$2:$B$366,$A$2:$A$366,0.95,1,1)</f>
        <v>409</v>
      </c>
    </row>
    <row r="411" spans="1:5">
      <c r="A411" s="31">
        <v>21960</v>
      </c>
      <c r="C411">
        <f>_xlfn.FORECAST.ETS(A411,$B$2:$B$366,$A$2:$A$366,1,1)</f>
        <v>410</v>
      </c>
      <c r="D411" s="32">
        <f>C411-_xlfn.FORECAST.ETS.CONFINT(A411,$B$2:$B$366,$A$2:$A$366,0.95,1,1)</f>
        <v>410</v>
      </c>
      <c r="E411" s="32">
        <f>C411+_xlfn.FORECAST.ETS.CONFINT(A411,$B$2:$B$366,$A$2:$A$366,0.95,1,1)</f>
        <v>410</v>
      </c>
    </row>
    <row r="412" spans="1:5">
      <c r="A412" s="31">
        <v>21961</v>
      </c>
      <c r="C412">
        <f>_xlfn.FORECAST.ETS(A412,$B$2:$B$366,$A$2:$A$366,1,1)</f>
        <v>411</v>
      </c>
      <c r="D412" s="32">
        <f>C412-_xlfn.FORECAST.ETS.CONFINT(A412,$B$2:$B$366,$A$2:$A$366,0.95,1,1)</f>
        <v>411</v>
      </c>
      <c r="E412" s="32">
        <f>C412+_xlfn.FORECAST.ETS.CONFINT(A412,$B$2:$B$366,$A$2:$A$366,0.95,1,1)</f>
        <v>411</v>
      </c>
    </row>
    <row r="413" spans="1:5">
      <c r="A413" s="31">
        <v>21962</v>
      </c>
      <c r="C413">
        <f>_xlfn.FORECAST.ETS(A413,$B$2:$B$366,$A$2:$A$366,1,1)</f>
        <v>412</v>
      </c>
      <c r="D413" s="32">
        <f>C413-_xlfn.FORECAST.ETS.CONFINT(A413,$B$2:$B$366,$A$2:$A$366,0.95,1,1)</f>
        <v>412</v>
      </c>
      <c r="E413" s="32">
        <f>C413+_xlfn.FORECAST.ETS.CONFINT(A413,$B$2:$B$366,$A$2:$A$366,0.95,1,1)</f>
        <v>412</v>
      </c>
    </row>
    <row r="414" spans="1:5">
      <c r="A414" s="31">
        <v>21963</v>
      </c>
      <c r="C414">
        <f>_xlfn.FORECAST.ETS(A414,$B$2:$B$366,$A$2:$A$366,1,1)</f>
        <v>413</v>
      </c>
      <c r="D414" s="32">
        <f>C414-_xlfn.FORECAST.ETS.CONFINT(A414,$B$2:$B$366,$A$2:$A$366,0.95,1,1)</f>
        <v>413</v>
      </c>
      <c r="E414" s="32">
        <f>C414+_xlfn.FORECAST.ETS.CONFINT(A414,$B$2:$B$366,$A$2:$A$366,0.95,1,1)</f>
        <v>413</v>
      </c>
    </row>
    <row r="415" spans="1:5">
      <c r="A415" s="31">
        <v>21964</v>
      </c>
      <c r="C415">
        <f>_xlfn.FORECAST.ETS(A415,$B$2:$B$366,$A$2:$A$366,1,1)</f>
        <v>414</v>
      </c>
      <c r="D415" s="32">
        <f>C415-_xlfn.FORECAST.ETS.CONFINT(A415,$B$2:$B$366,$A$2:$A$366,0.95,1,1)</f>
        <v>414</v>
      </c>
      <c r="E415" s="32">
        <f>C415+_xlfn.FORECAST.ETS.CONFINT(A415,$B$2:$B$366,$A$2:$A$366,0.95,1,1)</f>
        <v>414</v>
      </c>
    </row>
    <row r="416" spans="1:5">
      <c r="A416" s="31">
        <v>21965</v>
      </c>
      <c r="C416">
        <f>_xlfn.FORECAST.ETS(A416,$B$2:$B$366,$A$2:$A$366,1,1)</f>
        <v>415</v>
      </c>
      <c r="D416" s="32">
        <f>C416-_xlfn.FORECAST.ETS.CONFINT(A416,$B$2:$B$366,$A$2:$A$366,0.95,1,1)</f>
        <v>415</v>
      </c>
      <c r="E416" s="32">
        <f>C416+_xlfn.FORECAST.ETS.CONFINT(A416,$B$2:$B$366,$A$2:$A$366,0.95,1,1)</f>
        <v>415</v>
      </c>
    </row>
    <row r="417" spans="1:5">
      <c r="A417" s="31">
        <v>21966</v>
      </c>
      <c r="C417">
        <f>_xlfn.FORECAST.ETS(A417,$B$2:$B$366,$A$2:$A$366,1,1)</f>
        <v>416</v>
      </c>
      <c r="D417" s="32">
        <f>C417-_xlfn.FORECAST.ETS.CONFINT(A417,$B$2:$B$366,$A$2:$A$366,0.95,1,1)</f>
        <v>416</v>
      </c>
      <c r="E417" s="32">
        <f>C417+_xlfn.FORECAST.ETS.CONFINT(A417,$B$2:$B$366,$A$2:$A$366,0.95,1,1)</f>
        <v>416</v>
      </c>
    </row>
    <row r="418" spans="1:5">
      <c r="A418" s="31">
        <v>21967</v>
      </c>
      <c r="C418">
        <f>_xlfn.FORECAST.ETS(A418,$B$2:$B$366,$A$2:$A$366,1,1)</f>
        <v>417</v>
      </c>
      <c r="D418" s="32">
        <f>C418-_xlfn.FORECAST.ETS.CONFINT(A418,$B$2:$B$366,$A$2:$A$366,0.95,1,1)</f>
        <v>417</v>
      </c>
      <c r="E418" s="32">
        <f>C418+_xlfn.FORECAST.ETS.CONFINT(A418,$B$2:$B$366,$A$2:$A$366,0.95,1,1)</f>
        <v>417</v>
      </c>
    </row>
    <row r="419" spans="1:5">
      <c r="A419" s="31">
        <v>21968</v>
      </c>
      <c r="C419">
        <f>_xlfn.FORECAST.ETS(A419,$B$2:$B$366,$A$2:$A$366,1,1)</f>
        <v>418</v>
      </c>
      <c r="D419" s="32">
        <f>C419-_xlfn.FORECAST.ETS.CONFINT(A419,$B$2:$B$366,$A$2:$A$366,0.95,1,1)</f>
        <v>418</v>
      </c>
      <c r="E419" s="32">
        <f>C419+_xlfn.FORECAST.ETS.CONFINT(A419,$B$2:$B$366,$A$2:$A$366,0.95,1,1)</f>
        <v>418</v>
      </c>
    </row>
    <row r="420" spans="1:5">
      <c r="A420" s="31">
        <v>21969</v>
      </c>
      <c r="C420">
        <f>_xlfn.FORECAST.ETS(A420,$B$2:$B$366,$A$2:$A$366,1,1)</f>
        <v>419</v>
      </c>
      <c r="D420" s="32">
        <f>C420-_xlfn.FORECAST.ETS.CONFINT(A420,$B$2:$B$366,$A$2:$A$366,0.95,1,1)</f>
        <v>419</v>
      </c>
      <c r="E420" s="32">
        <f>C420+_xlfn.FORECAST.ETS.CONFINT(A420,$B$2:$B$366,$A$2:$A$366,0.95,1,1)</f>
        <v>419</v>
      </c>
    </row>
    <row r="421" spans="1:5">
      <c r="A421" s="31">
        <v>21970</v>
      </c>
      <c r="C421">
        <f>_xlfn.FORECAST.ETS(A421,$B$2:$B$366,$A$2:$A$366,1,1)</f>
        <v>420</v>
      </c>
      <c r="D421" s="32">
        <f>C421-_xlfn.FORECAST.ETS.CONFINT(A421,$B$2:$B$366,$A$2:$A$366,0.95,1,1)</f>
        <v>420</v>
      </c>
      <c r="E421" s="32">
        <f>C421+_xlfn.FORECAST.ETS.CONFINT(A421,$B$2:$B$366,$A$2:$A$366,0.95,1,1)</f>
        <v>420</v>
      </c>
    </row>
    <row r="422" spans="1:5">
      <c r="A422" s="31">
        <v>21971</v>
      </c>
      <c r="C422">
        <f>_xlfn.FORECAST.ETS(A422,$B$2:$B$366,$A$2:$A$366,1,1)</f>
        <v>421</v>
      </c>
      <c r="D422" s="32">
        <f>C422-_xlfn.FORECAST.ETS.CONFINT(A422,$B$2:$B$366,$A$2:$A$366,0.95,1,1)</f>
        <v>421</v>
      </c>
      <c r="E422" s="32">
        <f>C422+_xlfn.FORECAST.ETS.CONFINT(A422,$B$2:$B$366,$A$2:$A$366,0.95,1,1)</f>
        <v>421</v>
      </c>
    </row>
    <row r="423" spans="1:5">
      <c r="A423" s="31">
        <v>21972</v>
      </c>
      <c r="C423">
        <f>_xlfn.FORECAST.ETS(A423,$B$2:$B$366,$A$2:$A$366,1,1)</f>
        <v>422</v>
      </c>
      <c r="D423" s="32">
        <f>C423-_xlfn.FORECAST.ETS.CONFINT(A423,$B$2:$B$366,$A$2:$A$366,0.95,1,1)</f>
        <v>422</v>
      </c>
      <c r="E423" s="32">
        <f>C423+_xlfn.FORECAST.ETS.CONFINT(A423,$B$2:$B$366,$A$2:$A$366,0.95,1,1)</f>
        <v>422</v>
      </c>
    </row>
    <row r="424" spans="1:5">
      <c r="A424" s="31">
        <v>21973</v>
      </c>
      <c r="C424">
        <f>_xlfn.FORECAST.ETS(A424,$B$2:$B$366,$A$2:$A$366,1,1)</f>
        <v>423</v>
      </c>
      <c r="D424" s="32">
        <f>C424-_xlfn.FORECAST.ETS.CONFINT(A424,$B$2:$B$366,$A$2:$A$366,0.95,1,1)</f>
        <v>423</v>
      </c>
      <c r="E424" s="32">
        <f>C424+_xlfn.FORECAST.ETS.CONFINT(A424,$B$2:$B$366,$A$2:$A$366,0.95,1,1)</f>
        <v>423</v>
      </c>
    </row>
    <row r="425" spans="1:5">
      <c r="A425" s="31">
        <v>21974</v>
      </c>
      <c r="C425">
        <f>_xlfn.FORECAST.ETS(A425,$B$2:$B$366,$A$2:$A$366,1,1)</f>
        <v>424</v>
      </c>
      <c r="D425" s="32">
        <f>C425-_xlfn.FORECAST.ETS.CONFINT(A425,$B$2:$B$366,$A$2:$A$366,0.95,1,1)</f>
        <v>424</v>
      </c>
      <c r="E425" s="32">
        <f>C425+_xlfn.FORECAST.ETS.CONFINT(A425,$B$2:$B$366,$A$2:$A$366,0.95,1,1)</f>
        <v>424</v>
      </c>
    </row>
    <row r="426" spans="1:5">
      <c r="A426" s="31">
        <v>21975</v>
      </c>
      <c r="C426">
        <f>_xlfn.FORECAST.ETS(A426,$B$2:$B$366,$A$2:$A$366,1,1)</f>
        <v>425</v>
      </c>
      <c r="D426" s="32">
        <f>C426-_xlfn.FORECAST.ETS.CONFINT(A426,$B$2:$B$366,$A$2:$A$366,0.95,1,1)</f>
        <v>425</v>
      </c>
      <c r="E426" s="32">
        <f>C426+_xlfn.FORECAST.ETS.CONFINT(A426,$B$2:$B$366,$A$2:$A$366,0.95,1,1)</f>
        <v>425</v>
      </c>
    </row>
    <row r="427" spans="1:5">
      <c r="A427" s="31">
        <v>21976</v>
      </c>
      <c r="C427">
        <f>_xlfn.FORECAST.ETS(A427,$B$2:$B$366,$A$2:$A$366,1,1)</f>
        <v>426</v>
      </c>
      <c r="D427" s="32">
        <f>C427-_xlfn.FORECAST.ETS.CONFINT(A427,$B$2:$B$366,$A$2:$A$366,0.95,1,1)</f>
        <v>426</v>
      </c>
      <c r="E427" s="32">
        <f>C427+_xlfn.FORECAST.ETS.CONFINT(A427,$B$2:$B$366,$A$2:$A$366,0.95,1,1)</f>
        <v>426</v>
      </c>
    </row>
    <row r="428" spans="1:5">
      <c r="A428" s="31">
        <v>21977</v>
      </c>
      <c r="C428">
        <f>_xlfn.FORECAST.ETS(A428,$B$2:$B$366,$A$2:$A$366,1,1)</f>
        <v>427</v>
      </c>
      <c r="D428" s="32">
        <f>C428-_xlfn.FORECAST.ETS.CONFINT(A428,$B$2:$B$366,$A$2:$A$366,0.95,1,1)</f>
        <v>427</v>
      </c>
      <c r="E428" s="32">
        <f>C428+_xlfn.FORECAST.ETS.CONFINT(A428,$B$2:$B$366,$A$2:$A$366,0.95,1,1)</f>
        <v>427</v>
      </c>
    </row>
    <row r="429" spans="1:5">
      <c r="A429" s="31">
        <v>21978</v>
      </c>
      <c r="C429">
        <f>_xlfn.FORECAST.ETS(A429,$B$2:$B$366,$A$2:$A$366,1,1)</f>
        <v>428</v>
      </c>
      <c r="D429" s="32">
        <f>C429-_xlfn.FORECAST.ETS.CONFINT(A429,$B$2:$B$366,$A$2:$A$366,0.95,1,1)</f>
        <v>428</v>
      </c>
      <c r="E429" s="32">
        <f>C429+_xlfn.FORECAST.ETS.CONFINT(A429,$B$2:$B$366,$A$2:$A$366,0.95,1,1)</f>
        <v>428</v>
      </c>
    </row>
    <row r="430" spans="1:5">
      <c r="A430" s="31">
        <v>21979</v>
      </c>
      <c r="C430">
        <f>_xlfn.FORECAST.ETS(A430,$B$2:$B$366,$A$2:$A$366,1,1)</f>
        <v>429</v>
      </c>
      <c r="D430" s="32">
        <f>C430-_xlfn.FORECAST.ETS.CONFINT(A430,$B$2:$B$366,$A$2:$A$366,0.95,1,1)</f>
        <v>429</v>
      </c>
      <c r="E430" s="32">
        <f>C430+_xlfn.FORECAST.ETS.CONFINT(A430,$B$2:$B$366,$A$2:$A$366,0.95,1,1)</f>
        <v>429</v>
      </c>
    </row>
    <row r="431" spans="1:5">
      <c r="A431" s="31">
        <v>21980</v>
      </c>
      <c r="C431">
        <f>_xlfn.FORECAST.ETS(A431,$B$2:$B$366,$A$2:$A$366,1,1)</f>
        <v>430</v>
      </c>
      <c r="D431" s="32">
        <f>C431-_xlfn.FORECAST.ETS.CONFINT(A431,$B$2:$B$366,$A$2:$A$366,0.95,1,1)</f>
        <v>430</v>
      </c>
      <c r="E431" s="32">
        <f>C431+_xlfn.FORECAST.ETS.CONFINT(A431,$B$2:$B$366,$A$2:$A$366,0.95,1,1)</f>
        <v>430</v>
      </c>
    </row>
    <row r="432" spans="1:5">
      <c r="A432" s="31">
        <v>21981</v>
      </c>
      <c r="C432">
        <f>_xlfn.FORECAST.ETS(A432,$B$2:$B$366,$A$2:$A$366,1,1)</f>
        <v>431</v>
      </c>
      <c r="D432" s="32">
        <f>C432-_xlfn.FORECAST.ETS.CONFINT(A432,$B$2:$B$366,$A$2:$A$366,0.95,1,1)</f>
        <v>431</v>
      </c>
      <c r="E432" s="32">
        <f>C432+_xlfn.FORECAST.ETS.CONFINT(A432,$B$2:$B$366,$A$2:$A$366,0.95,1,1)</f>
        <v>431</v>
      </c>
    </row>
    <row r="433" spans="1:5">
      <c r="A433" s="31">
        <v>21982</v>
      </c>
      <c r="C433">
        <f>_xlfn.FORECAST.ETS(A433,$B$2:$B$366,$A$2:$A$366,1,1)</f>
        <v>432</v>
      </c>
      <c r="D433" s="32">
        <f>C433-_xlfn.FORECAST.ETS.CONFINT(A433,$B$2:$B$366,$A$2:$A$366,0.95,1,1)</f>
        <v>432</v>
      </c>
      <c r="E433" s="32">
        <f>C433+_xlfn.FORECAST.ETS.CONFINT(A433,$B$2:$B$366,$A$2:$A$366,0.95,1,1)</f>
        <v>432</v>
      </c>
    </row>
    <row r="434" spans="1:5">
      <c r="A434" s="31">
        <v>21983</v>
      </c>
      <c r="C434">
        <f>_xlfn.FORECAST.ETS(A434,$B$2:$B$366,$A$2:$A$366,1,1)</f>
        <v>433</v>
      </c>
      <c r="D434" s="32">
        <f>C434-_xlfn.FORECAST.ETS.CONFINT(A434,$B$2:$B$366,$A$2:$A$366,0.95,1,1)</f>
        <v>433</v>
      </c>
      <c r="E434" s="32">
        <f>C434+_xlfn.FORECAST.ETS.CONFINT(A434,$B$2:$B$366,$A$2:$A$366,0.95,1,1)</f>
        <v>433</v>
      </c>
    </row>
    <row r="435" spans="1:5">
      <c r="A435" s="31">
        <v>21984</v>
      </c>
      <c r="C435">
        <f>_xlfn.FORECAST.ETS(A435,$B$2:$B$366,$A$2:$A$366,1,1)</f>
        <v>434</v>
      </c>
      <c r="D435" s="32">
        <f>C435-_xlfn.FORECAST.ETS.CONFINT(A435,$B$2:$B$366,$A$2:$A$366,0.95,1,1)</f>
        <v>434</v>
      </c>
      <c r="E435" s="32">
        <f>C435+_xlfn.FORECAST.ETS.CONFINT(A435,$B$2:$B$366,$A$2:$A$366,0.95,1,1)</f>
        <v>434</v>
      </c>
    </row>
    <row r="436" spans="1:5">
      <c r="A436" s="31">
        <v>21985</v>
      </c>
      <c r="C436">
        <f>_xlfn.FORECAST.ETS(A436,$B$2:$B$366,$A$2:$A$366,1,1)</f>
        <v>435</v>
      </c>
      <c r="D436" s="32">
        <f>C436-_xlfn.FORECAST.ETS.CONFINT(A436,$B$2:$B$366,$A$2:$A$366,0.95,1,1)</f>
        <v>435</v>
      </c>
      <c r="E436" s="32">
        <f>C436+_xlfn.FORECAST.ETS.CONFINT(A436,$B$2:$B$366,$A$2:$A$366,0.95,1,1)</f>
        <v>435</v>
      </c>
    </row>
    <row r="437" spans="1:5">
      <c r="A437" s="31">
        <v>21986</v>
      </c>
      <c r="C437">
        <f>_xlfn.FORECAST.ETS(A437,$B$2:$B$366,$A$2:$A$366,1,1)</f>
        <v>436</v>
      </c>
      <c r="D437" s="32">
        <f>C437-_xlfn.FORECAST.ETS.CONFINT(A437,$B$2:$B$366,$A$2:$A$366,0.95,1,1)</f>
        <v>436</v>
      </c>
      <c r="E437" s="32">
        <f>C437+_xlfn.FORECAST.ETS.CONFINT(A437,$B$2:$B$366,$A$2:$A$366,0.95,1,1)</f>
        <v>436</v>
      </c>
    </row>
    <row r="438" spans="1:5">
      <c r="A438" s="31">
        <v>21987</v>
      </c>
      <c r="C438">
        <f>_xlfn.FORECAST.ETS(A438,$B$2:$B$366,$A$2:$A$366,1,1)</f>
        <v>437</v>
      </c>
      <c r="D438" s="32">
        <f>C438-_xlfn.FORECAST.ETS.CONFINT(A438,$B$2:$B$366,$A$2:$A$366,0.95,1,1)</f>
        <v>437</v>
      </c>
      <c r="E438" s="32">
        <f>C438+_xlfn.FORECAST.ETS.CONFINT(A438,$B$2:$B$366,$A$2:$A$366,0.95,1,1)</f>
        <v>437</v>
      </c>
    </row>
    <row r="439" spans="1:5">
      <c r="A439" s="31">
        <v>21988</v>
      </c>
      <c r="C439">
        <f>_xlfn.FORECAST.ETS(A439,$B$2:$B$366,$A$2:$A$366,1,1)</f>
        <v>438</v>
      </c>
      <c r="D439" s="32">
        <f>C439-_xlfn.FORECAST.ETS.CONFINT(A439,$B$2:$B$366,$A$2:$A$366,0.95,1,1)</f>
        <v>438</v>
      </c>
      <c r="E439" s="32">
        <f>C439+_xlfn.FORECAST.ETS.CONFINT(A439,$B$2:$B$366,$A$2:$A$366,0.95,1,1)</f>
        <v>438</v>
      </c>
    </row>
    <row r="440" spans="1:5">
      <c r="A440" s="31">
        <v>21989</v>
      </c>
      <c r="C440">
        <f>_xlfn.FORECAST.ETS(A440,$B$2:$B$366,$A$2:$A$366,1,1)</f>
        <v>439</v>
      </c>
      <c r="D440" s="32">
        <f>C440-_xlfn.FORECAST.ETS.CONFINT(A440,$B$2:$B$366,$A$2:$A$366,0.95,1,1)</f>
        <v>439</v>
      </c>
      <c r="E440" s="32">
        <f>C440+_xlfn.FORECAST.ETS.CONFINT(A440,$B$2:$B$366,$A$2:$A$366,0.95,1,1)</f>
        <v>439</v>
      </c>
    </row>
    <row r="441" spans="1:5">
      <c r="A441" s="31">
        <v>21990</v>
      </c>
      <c r="C441">
        <f>_xlfn.FORECAST.ETS(A441,$B$2:$B$366,$A$2:$A$366,1,1)</f>
        <v>440</v>
      </c>
      <c r="D441" s="32">
        <f>C441-_xlfn.FORECAST.ETS.CONFINT(A441,$B$2:$B$366,$A$2:$A$366,0.95,1,1)</f>
        <v>440</v>
      </c>
      <c r="E441" s="32">
        <f>C441+_xlfn.FORECAST.ETS.CONFINT(A441,$B$2:$B$366,$A$2:$A$366,0.95,1,1)</f>
        <v>440</v>
      </c>
    </row>
    <row r="442" spans="1:5">
      <c r="A442" s="31">
        <v>21991</v>
      </c>
      <c r="C442">
        <f>_xlfn.FORECAST.ETS(A442,$B$2:$B$366,$A$2:$A$366,1,1)</f>
        <v>441</v>
      </c>
      <c r="D442" s="32">
        <f>C442-_xlfn.FORECAST.ETS.CONFINT(A442,$B$2:$B$366,$A$2:$A$366,0.95,1,1)</f>
        <v>441</v>
      </c>
      <c r="E442" s="32">
        <f>C442+_xlfn.FORECAST.ETS.CONFINT(A442,$B$2:$B$366,$A$2:$A$366,0.95,1,1)</f>
        <v>441</v>
      </c>
    </row>
    <row r="443" spans="1:5">
      <c r="A443" s="31">
        <v>21992</v>
      </c>
      <c r="C443">
        <f>_xlfn.FORECAST.ETS(A443,$B$2:$B$366,$A$2:$A$366,1,1)</f>
        <v>442</v>
      </c>
      <c r="D443" s="32">
        <f>C443-_xlfn.FORECAST.ETS.CONFINT(A443,$B$2:$B$366,$A$2:$A$366,0.95,1,1)</f>
        <v>442</v>
      </c>
      <c r="E443" s="32">
        <f>C443+_xlfn.FORECAST.ETS.CONFINT(A443,$B$2:$B$366,$A$2:$A$366,0.95,1,1)</f>
        <v>442</v>
      </c>
    </row>
    <row r="444" spans="1:5">
      <c r="A444" s="31">
        <v>21993</v>
      </c>
      <c r="C444">
        <f>_xlfn.FORECAST.ETS(A444,$B$2:$B$366,$A$2:$A$366,1,1)</f>
        <v>443</v>
      </c>
      <c r="D444" s="32">
        <f>C444-_xlfn.FORECAST.ETS.CONFINT(A444,$B$2:$B$366,$A$2:$A$366,0.95,1,1)</f>
        <v>443</v>
      </c>
      <c r="E444" s="32">
        <f>C444+_xlfn.FORECAST.ETS.CONFINT(A444,$B$2:$B$366,$A$2:$A$366,0.95,1,1)</f>
        <v>443</v>
      </c>
    </row>
    <row r="445" spans="1:5">
      <c r="A445" s="31">
        <v>21994</v>
      </c>
      <c r="C445">
        <f>_xlfn.FORECAST.ETS(A445,$B$2:$B$366,$A$2:$A$366,1,1)</f>
        <v>444</v>
      </c>
      <c r="D445" s="32">
        <f>C445-_xlfn.FORECAST.ETS.CONFINT(A445,$B$2:$B$366,$A$2:$A$366,0.95,1,1)</f>
        <v>444</v>
      </c>
      <c r="E445" s="32">
        <f>C445+_xlfn.FORECAST.ETS.CONFINT(A445,$B$2:$B$366,$A$2:$A$366,0.95,1,1)</f>
        <v>444</v>
      </c>
    </row>
    <row r="446" spans="1:5">
      <c r="A446" s="31">
        <v>21995</v>
      </c>
      <c r="C446">
        <f>_xlfn.FORECAST.ETS(A446,$B$2:$B$366,$A$2:$A$366,1,1)</f>
        <v>445</v>
      </c>
      <c r="D446" s="32">
        <f>C446-_xlfn.FORECAST.ETS.CONFINT(A446,$B$2:$B$366,$A$2:$A$366,0.95,1,1)</f>
        <v>445</v>
      </c>
      <c r="E446" s="32">
        <f>C446+_xlfn.FORECAST.ETS.CONFINT(A446,$B$2:$B$366,$A$2:$A$366,0.95,1,1)</f>
        <v>445</v>
      </c>
    </row>
    <row r="447" spans="1:5">
      <c r="A447" s="31">
        <v>21996</v>
      </c>
      <c r="C447">
        <f>_xlfn.FORECAST.ETS(A447,$B$2:$B$366,$A$2:$A$366,1,1)</f>
        <v>446</v>
      </c>
      <c r="D447" s="32">
        <f>C447-_xlfn.FORECAST.ETS.CONFINT(A447,$B$2:$B$366,$A$2:$A$366,0.95,1,1)</f>
        <v>446</v>
      </c>
      <c r="E447" s="32">
        <f>C447+_xlfn.FORECAST.ETS.CONFINT(A447,$B$2:$B$366,$A$2:$A$366,0.95,1,1)</f>
        <v>446</v>
      </c>
    </row>
    <row r="448" spans="1:5">
      <c r="A448" s="31">
        <v>21997</v>
      </c>
      <c r="C448">
        <f>_xlfn.FORECAST.ETS(A448,$B$2:$B$366,$A$2:$A$366,1,1)</f>
        <v>447</v>
      </c>
      <c r="D448" s="32">
        <f>C448-_xlfn.FORECAST.ETS.CONFINT(A448,$B$2:$B$366,$A$2:$A$366,0.95,1,1)</f>
        <v>447</v>
      </c>
      <c r="E448" s="32">
        <f>C448+_xlfn.FORECAST.ETS.CONFINT(A448,$B$2:$B$366,$A$2:$A$366,0.95,1,1)</f>
        <v>447</v>
      </c>
    </row>
    <row r="449" spans="1:5">
      <c r="A449" s="31">
        <v>21998</v>
      </c>
      <c r="C449">
        <f>_xlfn.FORECAST.ETS(A449,$B$2:$B$366,$A$2:$A$366,1,1)</f>
        <v>448</v>
      </c>
      <c r="D449" s="32">
        <f>C449-_xlfn.FORECAST.ETS.CONFINT(A449,$B$2:$B$366,$A$2:$A$366,0.95,1,1)</f>
        <v>448</v>
      </c>
      <c r="E449" s="32">
        <f>C449+_xlfn.FORECAST.ETS.CONFINT(A449,$B$2:$B$366,$A$2:$A$366,0.95,1,1)</f>
        <v>448</v>
      </c>
    </row>
    <row r="450" spans="1:5">
      <c r="A450" s="31">
        <v>21999</v>
      </c>
      <c r="C450">
        <f>_xlfn.FORECAST.ETS(A450,$B$2:$B$366,$A$2:$A$366,1,1)</f>
        <v>449</v>
      </c>
      <c r="D450" s="32">
        <f>C450-_xlfn.FORECAST.ETS.CONFINT(A450,$B$2:$B$366,$A$2:$A$366,0.95,1,1)</f>
        <v>449</v>
      </c>
      <c r="E450" s="32">
        <f>C450+_xlfn.FORECAST.ETS.CONFINT(A450,$B$2:$B$366,$A$2:$A$366,0.95,1,1)</f>
        <v>449</v>
      </c>
    </row>
    <row r="451" spans="1:5">
      <c r="A451" s="31">
        <v>22000</v>
      </c>
      <c r="C451">
        <f>_xlfn.FORECAST.ETS(A451,$B$2:$B$366,$A$2:$A$366,1,1)</f>
        <v>450</v>
      </c>
      <c r="D451" s="32">
        <f>C451-_xlfn.FORECAST.ETS.CONFINT(A451,$B$2:$B$366,$A$2:$A$366,0.95,1,1)</f>
        <v>450</v>
      </c>
      <c r="E451" s="32">
        <f>C451+_xlfn.FORECAST.ETS.CONFINT(A451,$B$2:$B$366,$A$2:$A$366,0.95,1,1)</f>
        <v>450</v>
      </c>
    </row>
    <row r="452" spans="1:5">
      <c r="A452" s="31">
        <v>22001</v>
      </c>
      <c r="C452">
        <f>_xlfn.FORECAST.ETS(A452,$B$2:$B$366,$A$2:$A$366,1,1)</f>
        <v>451</v>
      </c>
      <c r="D452" s="32">
        <f>C452-_xlfn.FORECAST.ETS.CONFINT(A452,$B$2:$B$366,$A$2:$A$366,0.95,1,1)</f>
        <v>451</v>
      </c>
      <c r="E452" s="32">
        <f>C452+_xlfn.FORECAST.ETS.CONFINT(A452,$B$2:$B$366,$A$2:$A$366,0.95,1,1)</f>
        <v>451</v>
      </c>
    </row>
    <row r="453" spans="1:5">
      <c r="A453" s="31">
        <v>22002</v>
      </c>
      <c r="C453">
        <f>_xlfn.FORECAST.ETS(A453,$B$2:$B$366,$A$2:$A$366,1,1)</f>
        <v>452</v>
      </c>
      <c r="D453" s="32">
        <f>C453-_xlfn.FORECAST.ETS.CONFINT(A453,$B$2:$B$366,$A$2:$A$366,0.95,1,1)</f>
        <v>452</v>
      </c>
      <c r="E453" s="32">
        <f>C453+_xlfn.FORECAST.ETS.CONFINT(A453,$B$2:$B$366,$A$2:$A$366,0.95,1,1)</f>
        <v>452</v>
      </c>
    </row>
    <row r="454" spans="1:5">
      <c r="A454" s="31">
        <v>22003</v>
      </c>
      <c r="C454">
        <f>_xlfn.FORECAST.ETS(A454,$B$2:$B$366,$A$2:$A$366,1,1)</f>
        <v>453</v>
      </c>
      <c r="D454" s="32">
        <f>C454-_xlfn.FORECAST.ETS.CONFINT(A454,$B$2:$B$366,$A$2:$A$366,0.95,1,1)</f>
        <v>453</v>
      </c>
      <c r="E454" s="32">
        <f>C454+_xlfn.FORECAST.ETS.CONFINT(A454,$B$2:$B$366,$A$2:$A$366,0.95,1,1)</f>
        <v>453</v>
      </c>
    </row>
    <row r="455" spans="1:5">
      <c r="A455" s="31">
        <v>22004</v>
      </c>
      <c r="C455">
        <f>_xlfn.FORECAST.ETS(A455,$B$2:$B$366,$A$2:$A$366,1,1)</f>
        <v>454</v>
      </c>
      <c r="D455" s="32">
        <f>C455-_xlfn.FORECAST.ETS.CONFINT(A455,$B$2:$B$366,$A$2:$A$366,0.95,1,1)</f>
        <v>454</v>
      </c>
      <c r="E455" s="32">
        <f>C455+_xlfn.FORECAST.ETS.CONFINT(A455,$B$2:$B$366,$A$2:$A$366,0.95,1,1)</f>
        <v>454</v>
      </c>
    </row>
    <row r="456" spans="1:5">
      <c r="A456" s="31">
        <v>22005</v>
      </c>
      <c r="C456">
        <f>_xlfn.FORECAST.ETS(A456,$B$2:$B$366,$A$2:$A$366,1,1)</f>
        <v>455</v>
      </c>
      <c r="D456" s="32">
        <f>C456-_xlfn.FORECAST.ETS.CONFINT(A456,$B$2:$B$366,$A$2:$A$366,0.95,1,1)</f>
        <v>455</v>
      </c>
      <c r="E456" s="32">
        <f>C456+_xlfn.FORECAST.ETS.CONFINT(A456,$B$2:$B$366,$A$2:$A$366,0.95,1,1)</f>
        <v>455</v>
      </c>
    </row>
    <row r="457" spans="1:5">
      <c r="A457" s="31">
        <v>22006</v>
      </c>
      <c r="C457">
        <f>_xlfn.FORECAST.ETS(A457,$B$2:$B$366,$A$2:$A$366,1,1)</f>
        <v>456</v>
      </c>
      <c r="D457" s="32">
        <f>C457-_xlfn.FORECAST.ETS.CONFINT(A457,$B$2:$B$366,$A$2:$A$366,0.95,1,1)</f>
        <v>456</v>
      </c>
      <c r="E457" s="32">
        <f>C457+_xlfn.FORECAST.ETS.CONFINT(A457,$B$2:$B$366,$A$2:$A$366,0.95,1,1)</f>
        <v>456</v>
      </c>
    </row>
    <row r="458" spans="1:5">
      <c r="A458" s="31">
        <v>22007</v>
      </c>
      <c r="C458">
        <f>_xlfn.FORECAST.ETS(A458,$B$2:$B$366,$A$2:$A$366,1,1)</f>
        <v>457</v>
      </c>
      <c r="D458" s="32">
        <f>C458-_xlfn.FORECAST.ETS.CONFINT(A458,$B$2:$B$366,$A$2:$A$366,0.95,1,1)</f>
        <v>457</v>
      </c>
      <c r="E458" s="32">
        <f>C458+_xlfn.FORECAST.ETS.CONFINT(A458,$B$2:$B$366,$A$2:$A$366,0.95,1,1)</f>
        <v>457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Naive</vt:lpstr>
      <vt:lpstr>Naive Forcast</vt:lpstr>
      <vt:lpstr>Moving Average</vt:lpstr>
      <vt:lpstr>MV Forcast</vt:lpstr>
      <vt:lpstr>Exponential smoothing </vt:lpstr>
      <vt:lpstr>EX-S Forcast</vt:lpstr>
      <vt:lpstr>Linear Forecast</vt:lpstr>
      <vt:lpstr>LF Forcast</vt:lpstr>
      <vt:lpstr>SLR</vt:lpstr>
      <vt:lpstr>SLR Forcast</vt:lpstr>
      <vt:lpstr>'Linear Forecast'!solver_opt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Lawan</cp:lastModifiedBy>
  <dcterms:modified xsi:type="dcterms:W3CDTF">2026-03-05T12:09:52Z</dcterms:modified>
</cp:coreProperties>
</file>